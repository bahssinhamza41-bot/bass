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OCIÉS" sheetId="1" state="visible" r:id="rId3"/>
    <sheet name="ARCHIVE DIVER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<sst xmlns="http://schemas.openxmlformats.org/spreadsheetml/2006/main" count="155" uniqueCount="138">
  <si>
    <t xml:space="preserve">COMPTES DES ASSOCIÉS</t>
  </si>
  <si>
    <t xml:space="preserve">Archive — hors système de caisse. Apports de Hamid et Mouhssine, repris ligne par ligne de la feuille DEPENSE_CAFE de l’ancien classeur.</t>
  </si>
  <si>
    <t xml:space="preserve">SYNTHÈSE</t>
  </si>
  <si>
    <t xml:space="preserve">POSTE</t>
  </si>
  <si>
    <t xml:space="preserve">HAMID</t>
  </si>
  <si>
    <t xml:space="preserve">MOUHSSINE</t>
  </si>
  <si>
    <t xml:space="preserve">TOTAL</t>
  </si>
  <si>
    <t xml:space="preserve">Achat du fonds de commerce (Saadaoui)</t>
  </si>
  <si>
    <t xml:space="preserve">Aménagement du Café Victor Hugo</t>
  </si>
  <si>
    <t xml:space="preserve">TOTAL APPORTÉ PAR ASSOCIÉ</t>
  </si>
  <si>
    <t xml:space="preserve">Part théorique due sur le fonds (795 000 DH / 2)</t>
  </si>
  <si>
    <t xml:space="preserve">Reste à payer sur le fonds  (+ = doit,  - = a trop versé)</t>
  </si>
  <si>
    <t xml:space="preserve">Écart sur le fonds seul (Hamid - Mouhssine)</t>
  </si>
  <si>
    <t xml:space="preserve">Écart sur l’aménagement seul (Hamid - Mouhssine)</t>
  </si>
  <si>
    <t xml:space="preserve">ÉCART TOTAL ENTRE LES DEUX ASSOCIÉS</t>
  </si>
  <si>
    <t xml:space="preserve">Lecture : un « reste à payer » négatif signifie que l’associé a versé plus que sa part. Au dernier pointage, Hamid avait versé 238 DH de trop et Mouhssine 7 200 DH de trop sur l’achat du fonds, soit 6 962 DH d’écart entre eux. Sur l’aménagement du café, Mouhssine a apporté 150 779 DH de plus que Hamid, ce qui porte l’écart cumulé à 157 741 DH.</t>
  </si>
  <si>
    <t xml:space="preserve">DÉTAIL — ACHAT DU FONDS DE COMMERCE (SAADAOUI, 795 000 DH)</t>
  </si>
  <si>
    <t xml:space="preserve">N°</t>
  </si>
  <si>
    <t xml:space="preserve">OPÉRATION</t>
  </si>
  <si>
    <t xml:space="preserve">ESPECE(HAMID:10000/MH:90000) HOURI</t>
  </si>
  <si>
    <t xml:space="preserve">ESPECE</t>
  </si>
  <si>
    <t xml:space="preserve">VIREMENT 1</t>
  </si>
  <si>
    <t xml:space="preserve">VIREMENT 2</t>
  </si>
  <si>
    <t xml:space="preserve">cheque ahmed</t>
  </si>
  <si>
    <t xml:space="preserve">LOYER NOVEMBRE</t>
  </si>
  <si>
    <t xml:space="preserve">NOTAIRE</t>
  </si>
  <si>
    <t xml:space="preserve">CHEQUE</t>
  </si>
  <si>
    <t xml:space="preserve">ESPECE  RADIATION SAADAOUI</t>
  </si>
  <si>
    <t xml:space="preserve">ESPECE LE 15/06/24</t>
  </si>
  <si>
    <t xml:space="preserve">EAU+ELEC</t>
  </si>
  <si>
    <t xml:space="preserve">ESPECE berkane</t>
  </si>
  <si>
    <t xml:space="preserve">CHEQUE HAMID(VIREMENT MOUHSSINE)</t>
  </si>
  <si>
    <t xml:space="preserve">43TAXE LE 22/02/2024-DEBIT BOISSON</t>
  </si>
  <si>
    <t xml:space="preserve">TAPISSIER CHAISE</t>
  </si>
  <si>
    <t xml:space="preserve">credit Paradise à12/07/2024</t>
  </si>
  <si>
    <t xml:space="preserve">ESPECE LE 15/07/24-ateliersaadaoui-</t>
  </si>
  <si>
    <t xml:space="preserve">ESPECE LE (BL PARADISE zenata)</t>
  </si>
  <si>
    <t xml:space="preserve">ESPECE LE 19/07/24-(BL PARADISE zenata)</t>
  </si>
  <si>
    <t xml:space="preserve">ESPECE LE 22/07/24-ateliersaadaoui-</t>
  </si>
  <si>
    <t xml:space="preserve">ESPECE LE 31/07/24-(BL PARADISE zenata)</t>
  </si>
  <si>
    <t xml:space="preserve">ESPECE LE 03/08/24-LABORATOIRE 17-</t>
  </si>
  <si>
    <t xml:space="preserve">ESPECE LE 08/08/24-(BL PARADISE zenata)</t>
  </si>
  <si>
    <t xml:space="preserve">ESPECE LE 29/08/24-(BL PARADISE zenata)</t>
  </si>
  <si>
    <t xml:space="preserve">ESPECE LE 30/08/24-(BL PARADISE zenata)</t>
  </si>
  <si>
    <t xml:space="preserve">ESPECE LE 05/09/24-(BL PARADISE zenata)</t>
  </si>
  <si>
    <t xml:space="preserve">ESPECE LE 06/09/24-(BL PARADISE zenata)</t>
  </si>
  <si>
    <t xml:space="preserve">ESPECE LE 10/09/24-(BL PARADISE zenata)</t>
  </si>
  <si>
    <t xml:space="preserve">ESPECE LE 08/10/24-(BL PARADISE zenata)</t>
  </si>
  <si>
    <t xml:space="preserve">CHEQUE LE 08/10/24-(HAMID)</t>
  </si>
  <si>
    <t xml:space="preserve">ESPECE LE 12/10/24-(BL PARADISE zenata)</t>
  </si>
  <si>
    <t xml:space="preserve">ESPECE LE 14/10/24-(BL PARADISE zenata)</t>
  </si>
  <si>
    <t xml:space="preserve">ESPECE LE 28/10/24-(BL PARADISE zenata)</t>
  </si>
  <si>
    <t xml:space="preserve">ESPECE LE 06/11/24-(BL PARADISE zenata)</t>
  </si>
  <si>
    <t xml:space="preserve">ESPECE LE 11/11/24-(BL PARADISE zenata)</t>
  </si>
  <si>
    <t xml:space="preserve">ESPECE LE 14/11/24-(BL PARADISE zenata)</t>
  </si>
  <si>
    <t xml:space="preserve">ESPECE LE 19/11/24-(BL PARADISE )</t>
  </si>
  <si>
    <t xml:space="preserve">ESPECE LE 21/11/24-(BL PARADISE )</t>
  </si>
  <si>
    <t xml:space="preserve">ESPECE 30/11/2024</t>
  </si>
  <si>
    <t xml:space="preserve">ESPECE LE 04/12/24-(BL PARADISE )</t>
  </si>
  <si>
    <t xml:space="preserve">ESPECE LE 05/12/24-(BL PARADISE )</t>
  </si>
  <si>
    <t xml:space="preserve">ESPECE LE 10/12/24-(BL PARADISE )</t>
  </si>
  <si>
    <t xml:space="preserve">ESPECE LE 24/12/24-(BL PARADISE )</t>
  </si>
  <si>
    <t xml:space="preserve">ESPECE LE 30/12/24-(BL PARADISE )</t>
  </si>
  <si>
    <t xml:space="preserve">ESPECE LE 31/12/24-(BL PARADISE )</t>
  </si>
  <si>
    <t xml:space="preserve">ESPECE LE 03/01/25</t>
  </si>
  <si>
    <t xml:space="preserve">ESPECE LE 11/01/25-(BL PARADISE )</t>
  </si>
  <si>
    <t xml:space="preserve">ESPECE LE 15/01/25-(BL PARADISE )</t>
  </si>
  <si>
    <t xml:space="preserve">ESPECE LE 16/01/25-(BL PARADISE )</t>
  </si>
  <si>
    <t xml:space="preserve">ESPECE LE 17/01/25-(BL PARADISE )</t>
  </si>
  <si>
    <t xml:space="preserve">ESPECE LE 28/01/25-(BL PARADISE )</t>
  </si>
  <si>
    <t xml:space="preserve">ESPECE STATION AFRIQUIA 17</t>
  </si>
  <si>
    <t xml:space="preserve">ESPECE LE 04/02/25-(BL PARADISE )</t>
  </si>
  <si>
    <t xml:space="preserve">ESPECE LE 19/02/25-(BL PARADISE )</t>
  </si>
  <si>
    <t xml:space="preserve">ESPECE LE 07/03/25-(BL PARADISE )</t>
  </si>
  <si>
    <t xml:space="preserve">ESPECE LE 13/03/25 atelier 17</t>
  </si>
  <si>
    <t xml:space="preserve">ESPECE LE 07/04/25-(BL PARADISE )</t>
  </si>
  <si>
    <t xml:space="preserve">ESPECE LE 18/04/25-(CAFE VICTOR )</t>
  </si>
  <si>
    <t xml:space="preserve">DÉTAIL — AMÉNAGEMENT ET ÉQUIPEMENT DU CAFÉ VICTOR HUGO</t>
  </si>
  <si>
    <t xml:space="preserve">ACHAT STOCK</t>
  </si>
  <si>
    <t xml:space="preserve">SARF</t>
  </si>
  <si>
    <t xml:space="preserve">FRIGO ASTORIA</t>
  </si>
  <si>
    <t xml:space="preserve">MACHINE ASTORIA</t>
  </si>
  <si>
    <t xml:space="preserve">CONGELATEUR ASWAK SALAM</t>
  </si>
  <si>
    <t xml:space="preserve">BEIN SPORT</t>
  </si>
  <si>
    <t xml:space="preserve">Travaux Eléctricien</t>
  </si>
  <si>
    <t xml:space="preserve">ACHAT TV</t>
  </si>
  <si>
    <t xml:space="preserve">HABILLAGE MURE 12000 DH</t>
  </si>
  <si>
    <t xml:space="preserve">HABILLAGE DERIERE COMPTOIRE 2300DH</t>
  </si>
  <si>
    <t xml:space="preserve">SUPPORT INOX</t>
  </si>
  <si>
    <t xml:space="preserve">Travaux Eléctricien SUPPLIMENT</t>
  </si>
  <si>
    <t xml:space="preserve">LOYER decembre</t>
  </si>
  <si>
    <t xml:space="preserve">HABILLAGE COMPTOIRE+ENSIGNE</t>
  </si>
  <si>
    <t xml:space="preserve">achat 7 pots</t>
  </si>
  <si>
    <t xml:space="preserve">achat diffuseur</t>
  </si>
  <si>
    <t xml:space="preserve">POSE ALUMINIUM</t>
  </si>
  <si>
    <t xml:space="preserve">achat SANITAIRE</t>
  </si>
  <si>
    <t xml:space="preserve">REMPLISSAGE 7 pots</t>
  </si>
  <si>
    <t xml:space="preserve">BACHE TERRASSE+CASQUETTE</t>
  </si>
  <si>
    <t xml:space="preserve">ACHAT PEINTREUR</t>
  </si>
  <si>
    <t xml:space="preserve">MAIN D ŒUVRE PEINTRE</t>
  </si>
  <si>
    <t xml:space="preserve">MACHINE ASTORIA(CHEQUE)</t>
  </si>
  <si>
    <t xml:space="preserve">PAYE AUTORISATION CAFE</t>
  </si>
  <si>
    <t xml:space="preserve">AVANCE SALAIRE AHMED</t>
  </si>
  <si>
    <t xml:space="preserve">REPARATION TV 85</t>
  </si>
  <si>
    <t xml:space="preserve">MACHINE GLACE</t>
  </si>
  <si>
    <t xml:space="preserve">LAMPE BRICOMA</t>
  </si>
  <si>
    <t xml:space="preserve">CHARGEUR PARFUM</t>
  </si>
  <si>
    <t xml:space="preserve">telephone+tablette</t>
  </si>
  <si>
    <t xml:space="preserve">placard</t>
  </si>
  <si>
    <t xml:space="preserve">Jama3a taxe terrasse 11/02/2025</t>
  </si>
  <si>
    <t xml:space="preserve">Verre terrasse 13/05/2025</t>
  </si>
  <si>
    <t xml:space="preserve">bardage   mur espece 5000 dh</t>
  </si>
  <si>
    <t xml:space="preserve">table terasse  espece 4000 dh</t>
  </si>
  <si>
    <t xml:space="preserve">espece 3600 dh(1300 dh glace+2 table 1300 dh+600 najar)</t>
  </si>
  <si>
    <t xml:space="preserve">bardage:12370 elect:898 dh cor:1545 dh trnp:500 dh MDCV:4500 dh avance chese:1000 dh</t>
  </si>
  <si>
    <t xml:space="preserve">reliquat les cheses</t>
  </si>
  <si>
    <t xml:space="preserve">TAXE nadafa 2024 haj</t>
  </si>
  <si>
    <t xml:space="preserve">Salaire depart ahmed</t>
  </si>
  <si>
    <t xml:space="preserve">RELIquat SAADAOUI</t>
  </si>
  <si>
    <t xml:space="preserve">Historique complet repris de la feuille DEPENSE_CAFE, ligne par ligne, sans modification. Données figées : elles ne bougent plus. Les montants en bleu sont des valeurs saisies.</t>
  </si>
  <si>
    <t xml:space="preserve">ARCHIVE — COMMANDE HORS CAFÉ</t>
  </si>
  <si>
    <t xml:space="preserve">Commande de matériel d’irrigation reprise de la feuille « PVC ». Sans rapport avec le café, conservée pour ne rien perdre.</t>
  </si>
  <si>
    <t xml:space="preserve">COMMANDE TEST CHINE — environ 25 000 DH</t>
  </si>
  <si>
    <t xml:space="preserve">COMMANDE TEST TURQUIE — environ 30 000 DH</t>
  </si>
  <si>
    <t xml:space="preserve">DÉSIGNATION</t>
  </si>
  <si>
    <t xml:space="preserve">QUANTITÉ</t>
  </si>
  <si>
    <t xml:space="preserve">raccord droit 16 mm</t>
  </si>
  <si>
    <t xml:space="preserve">filtre disque 2"</t>
  </si>
  <si>
    <t xml:space="preserve">té 16 mm</t>
  </si>
  <si>
    <t xml:space="preserve">filtre tamis 2"</t>
  </si>
  <si>
    <t xml:space="preserve">coude 16 mm</t>
  </si>
  <si>
    <t xml:space="preserve">manomètre</t>
  </si>
  <si>
    <t xml:space="preserve">bouchon 16 mm</t>
  </si>
  <si>
    <t xml:space="preserve">régulateur</t>
  </si>
  <si>
    <t xml:space="preserve">départ 16 mm</t>
  </si>
  <si>
    <t xml:space="preserve">vanne</t>
  </si>
  <si>
    <t xml:space="preserve">vannette 16 mm</t>
  </si>
  <si>
    <t xml:space="preserve">raccords PE 32/40/50 mm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</si>
</sst>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DH&quot;;[RED]\-#,##0&quot; DH&quot;;\–"/>
    <numFmt numFmtId="166" formatCode="#,##0&quot; DH&quot;;\-#,##0&quot; DH&quot;;\–"/>
    <numFmt numFmtId="167" formatCode="#,##0"/>
    <numFmt numFmtId="168" formatCode="#,##0;[RED]\-#,##0;\–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3E27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F1A17"/>
      <name val="Arial"/>
      <family val="0"/>
      <charset val="1"/>
    </font>
    <font>
      <b val="true"/>
      <sz val="10"/>
      <color rgb="FF3E2723"/>
      <name val="Arial"/>
      <family val="0"/>
      <charset val="1"/>
    </font>
    <font>
      <i val="true"/>
      <sz val="8.5"/>
      <color rgb="FF7A6E66"/>
      <name val="Arial"/>
      <family val="0"/>
      <charset val="1"/>
    </font>
    <font>
      <sz val="8"/>
      <color rgb="FF7A6E66"/>
      <name val="Arial"/>
      <family val="0"/>
      <charset val="1"/>
    </font>
    <font>
      <sz val="9"/>
      <color rgb="FF1F1A17"/>
      <name val="Arial"/>
      <family val="0"/>
      <charset val="1"/>
    </font>
    <font>
      <sz val="9"/>
      <color rgb="FF1A56A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E2723"/>
        <bgColor rgb="FF1F1A17"/>
      </patternFill>
    </fill>
    <fill>
      <patternFill patternType="solid">
        <fgColor rgb="FFC8A265"/>
        <bgColor rgb="FFC0C0C0"/>
      </patternFill>
    </fill>
    <fill>
      <patternFill patternType="solid">
        <fgColor rgb="FF5D4037"/>
        <bgColor rgb="FF3E2723"/>
      </patternFill>
    </fill>
    <fill>
      <patternFill patternType="solid">
        <fgColor rgb="FFFFFFFF"/>
        <bgColor rgb="FFFBF6EF"/>
      </patternFill>
    </fill>
    <fill>
      <patternFill patternType="solid">
        <fgColor rgb="FFFBF6EF"/>
        <bgColor rgb="FFFFFFFF"/>
      </patternFill>
    </fill>
    <fill>
      <patternFill patternType="solid">
        <fgColor rgb="FFF3EADD"/>
        <bgColor rgb="FFFBF6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5D4037"/>
      </top>
      <bottom style="medium">
        <color rgb="FFC8A265"/>
      </bottom>
      <diagonal/>
    </border>
    <border diagonalUp="false" diagonalDown="false">
      <left style="thin">
        <color rgb="FFE8DCC8"/>
      </left>
      <right style="thin">
        <color rgb="FFE8DCC8"/>
      </right>
      <top style="thin">
        <color rgb="FFE8DCC8"/>
      </top>
      <bottom style="thin">
        <color rgb="FFE8DCC8"/>
      </bottom>
      <diagonal/>
    </border>
    <border diagonalUp="false" diagonalDown="false">
      <left/>
      <right/>
      <top style="medium">
        <color rgb="FFC8A26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7D32"/>
        <sz val="10"/>
      </font>
    </dxf>
    <dxf>
      <font>
        <name val="Arial"/>
        <charset val="1"/>
        <family val="0"/>
        <b val="1"/>
        <color rgb="FFB3261E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5D4037"/>
      <rgbColor rgb="FFFBF6EF"/>
      <rgbColor rgb="FFCCFFFF"/>
      <rgbColor rgb="FF660066"/>
      <rgbColor rgb="FFFF8080"/>
      <rgbColor rgb="FF1A56A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ADD"/>
      <rgbColor rgb="FFFFFF99"/>
      <rgbColor rgb="FF99CCFF"/>
      <rgbColor rgb="FFFF99CC"/>
      <rgbColor rgb="FFCC99FF"/>
      <rgbColor rgb="FFE8DCC8"/>
      <rgbColor rgb="FF3366FF"/>
      <rgbColor rgb="FF33CCCC"/>
      <rgbColor rgb="FF99CC00"/>
      <rgbColor rgb="FFFFCC00"/>
      <rgbColor rgb="FFFF9900"/>
      <rgbColor rgb="FFFF6600"/>
      <rgbColor rgb="FF7A6E66"/>
      <rgbColor rgb="FFC8A265"/>
      <rgbColor rgb="FF003366"/>
      <rgbColor rgb="FF2E7D32"/>
      <rgbColor rgb="FF003300"/>
      <rgbColor rgb="FF1F1A17"/>
      <rgbColor rgb="FFB3261E"/>
      <rgbColor rgb="FF993366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Apports par associé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ASSOCIÉS!D5</c:f>
              <c:strCache>
                <c:ptCount val="1"/>
                <c:pt idx="0">
                  <c:v>HAMID</c:v>
                </c:pt>
              </c:strCache>
            </c:strRef>
          </c:tx>
          <c:spPr>
            <a:solidFill>
              <a:srgbClr val="5d40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ASSOCIÉS!$C$6:$C$7</c:f>
              <c:strCache>
                <c:ptCount val="2"/>
                <c:pt idx="0">
                  <c:v>Achat du fonds de commerce (Saadaoui)</c:v>
                </c:pt>
                <c:pt idx="1">
                  <c:v>Aménagement du Café Victor Hugo</c:v>
                </c:pt>
              </c:strCache>
            </c:strRef>
          </c:cat>
          <c:val>
            <c:numRef>
              <c:f>ASSOCIÉS!$D$6:$D$7</c:f>
              <c:numCache>
                <c:formatCode>#,##0" DH";[RED]\-#,##0" DH";\–</c:formatCode>
                <c:ptCount val="2"/>
                <c:pt idx="0">
                  <c:v>397738</c:v>
                </c:pt>
                <c:pt idx="1">
                  <c:v>148042</c:v>
                </c:pt>
              </c:numCache>
            </c:numRef>
          </c:val>
        </c:ser>
        <c:ser>
          <c:idx val="1"/>
          <c:order val="1"/>
          <c:tx>
            <c:strRef>
              <c:f>ASSOCIÉS!E5</c:f>
              <c:strCache>
                <c:ptCount val="1"/>
                <c:pt idx="0">
                  <c:v>MOUHSSINE</c:v>
                </c:pt>
              </c:strCache>
            </c:strRef>
          </c:tx>
          <c:spPr>
            <a:solidFill>
              <a:srgbClr val="c8a26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ASSOCIÉS!$C$6:$C$7</c:f>
              <c:strCache>
                <c:ptCount val="2"/>
                <c:pt idx="0">
                  <c:v>Achat du fonds de commerce (Saadaoui)</c:v>
                </c:pt>
                <c:pt idx="1">
                  <c:v>Aménagement du Café Victor Hugo</c:v>
                </c:pt>
              </c:strCache>
            </c:strRef>
          </c:cat>
          <c:val>
            <c:numRef>
              <c:f>ASSOCIÉS!$E$6:$E$7</c:f>
              <c:numCache>
                <c:formatCode>#,##0" DH";[RED]\-#,##0" DH";\–</c:formatCode>
                <c:ptCount val="2"/>
                <c:pt idx="0">
                  <c:v>404700</c:v>
                </c:pt>
                <c:pt idx="1">
                  <c:v>298821</c:v>
                </c:pt>
              </c:numCache>
            </c:numRef>
          </c:val>
        </c:ser>
        <c:gapWidth val="60"/>
        <c:overlap val="100"/>
        <c:axId val="32807270"/>
        <c:axId val="73324857"/>
      </c:barChart>
      <c:catAx>
        <c:axId val="32807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24857"/>
        <c:crosses val="autoZero"/>
        <c:auto val="1"/>
        <c:lblAlgn val="ctr"/>
        <c:lblOffset val="100"/>
        <c:noMultiLvlLbl val="0"/>
      </c:catAx>
      <c:valAx>
        <c:axId val="73324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072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0</xdr:rowOff>
    </xdr:from>
    <xdr:to>
      <xdr:col>3</xdr:col>
      <xdr:colOff>430200</xdr:colOff>
      <xdr:row>30</xdr:row>
      <xdr:rowOff>289080</xdr:rowOff>
    </xdr:to>
    <xdr:graphicFrame>
      <xdr:nvGraphicFramePr>
        <xdr:cNvPr id="0" name="Chart 1"/>
        <xdr:cNvGraphicFramePr/>
      </xdr:nvGraphicFramePr>
      <xdr:xfrm>
        <a:off x="355680" y="46864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true"/>
  </sheetPr>
  <dimension ref="B1:F1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58"/>
    <col collapsed="false" customWidth="true" hidden="false" outlineLevel="0" max="6" min="4" style="0" width="16"/>
    <col collapsed="false" customWidth="true" hidden="false" outlineLevel="0" max="7" min="7" style="0" width="4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</row>
    <row r="4" customFormat="false" ht="24" hidden="false" customHeight="true" outlineLevel="0" collapsed="false">
      <c r="B4" s="3" t="s">
        <v>2</v>
      </c>
      <c r="C4" s="3"/>
      <c r="D4" s="3"/>
      <c r="E4" s="3"/>
      <c r="F4" s="3"/>
    </row>
    <row r="5" customFormat="false" ht="30" hidden="false" customHeight="true" outlineLevel="0" collapsed="false">
      <c r="B5" s="4"/>
      <c r="C5" s="4" t="s">
        <v>3</v>
      </c>
      <c r="D5" s="4" t="s">
        <v>4</v>
      </c>
      <c r="E5" s="4" t="s">
        <v>5</v>
      </c>
      <c r="F5" s="4" t="s">
        <v>6</v>
      </c>
    </row>
    <row r="6" customFormat="false" ht="19.5" hidden="false" customHeight="true" outlineLevel="0" collapsed="false">
      <c r="B6" s="5"/>
      <c r="C6" s="6" t="s">
        <v>7</v>
      </c>
      <c r="D6" s="5" t="n">
        <f aca="false">$D$93</f>
        <v>397738</v>
      </c>
      <c r="E6" s="5" t="n">
        <f aca="false">$E$93</f>
        <v>404700</v>
      </c>
      <c r="F6" s="5" t="n">
        <f aca="false">$D6+$E6</f>
        <v>802438</v>
      </c>
    </row>
    <row r="7" customFormat="false" ht="19.5" hidden="false" customHeight="true" outlineLevel="0" collapsed="false">
      <c r="B7" s="7"/>
      <c r="C7" s="8" t="s">
        <v>8</v>
      </c>
      <c r="D7" s="7" t="n">
        <f aca="false">$D$141</f>
        <v>148042</v>
      </c>
      <c r="E7" s="7" t="n">
        <f aca="false">$E$141</f>
        <v>298821</v>
      </c>
      <c r="F7" s="7" t="n">
        <f aca="false">$D7+$E7</f>
        <v>446863</v>
      </c>
    </row>
    <row r="8" customFormat="false" ht="19.5" hidden="false" customHeight="true" outlineLevel="0" collapsed="false">
      <c r="B8" s="9"/>
      <c r="C8" s="10" t="s">
        <v>9</v>
      </c>
      <c r="D8" s="9" t="n">
        <f aca="false">SUM($D$6:$D$7)</f>
        <v>545780</v>
      </c>
      <c r="E8" s="9" t="n">
        <f aca="false">SUM($E$6:$E$7)</f>
        <v>703521</v>
      </c>
      <c r="F8" s="9" t="n">
        <f aca="false">$D8+$E8</f>
        <v>1249301</v>
      </c>
    </row>
    <row r="9" customFormat="false" ht="19.5" hidden="false" customHeight="true" outlineLevel="0" collapsed="false">
      <c r="B9" s="7"/>
      <c r="C9" s="8" t="s">
        <v>10</v>
      </c>
      <c r="D9" s="7" t="n">
        <v>397500</v>
      </c>
      <c r="E9" s="7" t="n">
        <v>397500</v>
      </c>
      <c r="F9" s="7" t="n">
        <f aca="false">$D9+$E9</f>
        <v>795000</v>
      </c>
    </row>
    <row r="10" customFormat="false" ht="19.5" hidden="false" customHeight="true" outlineLevel="0" collapsed="false">
      <c r="B10" s="9"/>
      <c r="C10" s="10" t="s">
        <v>11</v>
      </c>
      <c r="D10" s="9" t="n">
        <f aca="false">$D$9-$D$6</f>
        <v>-238</v>
      </c>
      <c r="E10" s="9" t="n">
        <f aca="false">$E$9-$E$6</f>
        <v>-7200</v>
      </c>
      <c r="F10" s="9" t="n">
        <f aca="false">$D10+$E10</f>
        <v>-7438</v>
      </c>
    </row>
    <row r="11" customFormat="false" ht="19.5" hidden="false" customHeight="true" outlineLevel="0" collapsed="false">
      <c r="B11" s="7"/>
      <c r="C11" s="8" t="s">
        <v>12</v>
      </c>
      <c r="D11" s="7"/>
      <c r="E11" s="7"/>
      <c r="F11" s="7" t="n">
        <f aca="false">$D$6-$E$6</f>
        <v>-6962</v>
      </c>
    </row>
    <row r="12" customFormat="false" ht="19.5" hidden="false" customHeight="true" outlineLevel="0" collapsed="false">
      <c r="B12" s="5"/>
      <c r="C12" s="6" t="s">
        <v>13</v>
      </c>
      <c r="D12" s="5"/>
      <c r="E12" s="5"/>
      <c r="F12" s="5" t="n">
        <f aca="false">$D$7-$E$7</f>
        <v>-150779</v>
      </c>
    </row>
    <row r="13" customFormat="false" ht="19.5" hidden="false" customHeight="true" outlineLevel="0" collapsed="false">
      <c r="B13" s="9"/>
      <c r="C13" s="10" t="s">
        <v>14</v>
      </c>
      <c r="D13" s="9"/>
      <c r="E13" s="9"/>
      <c r="F13" s="9" t="n">
        <f aca="false">$D$8-$E$8</f>
        <v>-157741</v>
      </c>
    </row>
    <row r="15" customFormat="false" ht="43.5" hidden="false" customHeight="true" outlineLevel="0" collapsed="false">
      <c r="B15" s="11" t="s">
        <v>15</v>
      </c>
      <c r="C15" s="11"/>
      <c r="D15" s="11"/>
      <c r="E15" s="11"/>
      <c r="F15" s="11"/>
    </row>
    <row r="30" customFormat="false" ht="24" hidden="false" customHeight="true" outlineLevel="0" collapsed="false">
      <c r="B30" s="3" t="s">
        <v>16</v>
      </c>
      <c r="C30" s="3"/>
      <c r="D30" s="3"/>
      <c r="E30" s="3"/>
      <c r="F30" s="3"/>
    </row>
    <row r="31" customFormat="false" ht="30" hidden="false" customHeight="true" outlineLevel="0" collapsed="false">
      <c r="B31" s="4" t="s">
        <v>17</v>
      </c>
      <c r="C31" s="4" t="s">
        <v>18</v>
      </c>
      <c r="D31" s="4" t="s">
        <v>4</v>
      </c>
      <c r="E31" s="4" t="s">
        <v>5</v>
      </c>
      <c r="F31" s="4" t="s">
        <v>6</v>
      </c>
    </row>
    <row r="32" customFormat="false" ht="15.75" hidden="false" customHeight="true" outlineLevel="0" collapsed="false">
      <c r="B32" s="12" t="n">
        <v>1</v>
      </c>
      <c r="C32" s="13" t="s">
        <v>19</v>
      </c>
      <c r="D32" s="14" t="n">
        <v>10000</v>
      </c>
      <c r="E32" s="14" t="n">
        <v>90000</v>
      </c>
      <c r="F32" s="15" t="n">
        <f aca="false">N($D32)+N($E32)</f>
        <v>100000</v>
      </c>
    </row>
    <row r="33" customFormat="false" ht="15.75" hidden="false" customHeight="true" outlineLevel="0" collapsed="false">
      <c r="B33" s="16" t="n">
        <v>2</v>
      </c>
      <c r="C33" s="17" t="s">
        <v>20</v>
      </c>
      <c r="D33" s="18" t="n">
        <v>20000</v>
      </c>
      <c r="E33" s="18"/>
      <c r="F33" s="19" t="n">
        <f aca="false">N($D33)+N($E33)</f>
        <v>20000</v>
      </c>
    </row>
    <row r="34" customFormat="false" ht="15.75" hidden="false" customHeight="true" outlineLevel="0" collapsed="false">
      <c r="B34" s="12" t="n">
        <v>3</v>
      </c>
      <c r="C34" s="13" t="s">
        <v>20</v>
      </c>
      <c r="D34" s="14" t="n">
        <v>30000</v>
      </c>
      <c r="E34" s="14"/>
      <c r="F34" s="15" t="n">
        <f aca="false">N($D34)+N($E34)</f>
        <v>30000</v>
      </c>
    </row>
    <row r="35" customFormat="false" ht="15.75" hidden="false" customHeight="true" outlineLevel="0" collapsed="false">
      <c r="B35" s="16" t="n">
        <v>4</v>
      </c>
      <c r="C35" s="17" t="s">
        <v>21</v>
      </c>
      <c r="D35" s="18"/>
      <c r="E35" s="18" t="n">
        <v>20000</v>
      </c>
      <c r="F35" s="19" t="n">
        <f aca="false">N($D35)+N($E35)</f>
        <v>20000</v>
      </c>
    </row>
    <row r="36" customFormat="false" ht="15.75" hidden="false" customHeight="true" outlineLevel="0" collapsed="false">
      <c r="B36" s="12" t="n">
        <v>5</v>
      </c>
      <c r="C36" s="13" t="s">
        <v>22</v>
      </c>
      <c r="D36" s="14"/>
      <c r="E36" s="14" t="n">
        <v>20000</v>
      </c>
      <c r="F36" s="15" t="n">
        <f aca="false">N($D36)+N($E36)</f>
        <v>20000</v>
      </c>
    </row>
    <row r="37" customFormat="false" ht="15.75" hidden="false" customHeight="true" outlineLevel="0" collapsed="false">
      <c r="B37" s="16" t="n">
        <v>6</v>
      </c>
      <c r="C37" s="17" t="s">
        <v>23</v>
      </c>
      <c r="D37" s="18"/>
      <c r="E37" s="18" t="n">
        <v>20000</v>
      </c>
      <c r="F37" s="19" t="n">
        <f aca="false">N($D37)+N($E37)</f>
        <v>20000</v>
      </c>
    </row>
    <row r="38" customFormat="false" ht="15.75" hidden="false" customHeight="true" outlineLevel="0" collapsed="false">
      <c r="B38" s="12" t="n">
        <v>7</v>
      </c>
      <c r="C38" s="13" t="s">
        <v>24</v>
      </c>
      <c r="D38" s="14"/>
      <c r="E38" s="14" t="n">
        <v>15000</v>
      </c>
      <c r="F38" s="15" t="n">
        <f aca="false">N($D38)+N($E38)</f>
        <v>15000</v>
      </c>
    </row>
    <row r="39" customFormat="false" ht="15.75" hidden="false" customHeight="true" outlineLevel="0" collapsed="false">
      <c r="B39" s="16" t="n">
        <v>8</v>
      </c>
      <c r="C39" s="17" t="s">
        <v>25</v>
      </c>
      <c r="D39" s="18"/>
      <c r="E39" s="18"/>
      <c r="F39" s="19" t="n">
        <f aca="false">N($D39)+N($E39)</f>
        <v>0</v>
      </c>
    </row>
    <row r="40" customFormat="false" ht="15.75" hidden="false" customHeight="true" outlineLevel="0" collapsed="false">
      <c r="B40" s="12" t="n">
        <v>9</v>
      </c>
      <c r="C40" s="13" t="s">
        <v>26</v>
      </c>
      <c r="D40" s="14"/>
      <c r="E40" s="14" t="n">
        <v>60000</v>
      </c>
      <c r="F40" s="15" t="n">
        <f aca="false">N($D40)+N($E40)</f>
        <v>60000</v>
      </c>
    </row>
    <row r="41" customFormat="false" ht="15.75" hidden="false" customHeight="true" outlineLevel="0" collapsed="false">
      <c r="B41" s="16" t="n">
        <v>10</v>
      </c>
      <c r="C41" s="17" t="s">
        <v>23</v>
      </c>
      <c r="D41" s="18"/>
      <c r="E41" s="18" t="n">
        <v>20000</v>
      </c>
      <c r="F41" s="19" t="n">
        <f aca="false">N($D41)+N($E41)</f>
        <v>20000</v>
      </c>
    </row>
    <row r="42" customFormat="false" ht="15.75" hidden="false" customHeight="true" outlineLevel="0" collapsed="false">
      <c r="B42" s="12" t="n">
        <v>11</v>
      </c>
      <c r="C42" s="13" t="s">
        <v>27</v>
      </c>
      <c r="D42" s="14"/>
      <c r="E42" s="14"/>
      <c r="F42" s="15" t="n">
        <f aca="false">N($D42)+N($E42)</f>
        <v>0</v>
      </c>
    </row>
    <row r="43" customFormat="false" ht="15.75" hidden="false" customHeight="true" outlineLevel="0" collapsed="false">
      <c r="B43" s="16" t="n">
        <v>12</v>
      </c>
      <c r="C43" s="17" t="s">
        <v>28</v>
      </c>
      <c r="D43" s="18" t="n">
        <v>25000</v>
      </c>
      <c r="E43" s="18"/>
      <c r="F43" s="19" t="n">
        <f aca="false">N($D43)+N($E43)</f>
        <v>25000</v>
      </c>
    </row>
    <row r="44" customFormat="false" ht="15.75" hidden="false" customHeight="true" outlineLevel="0" collapsed="false">
      <c r="B44" s="12" t="n">
        <v>13</v>
      </c>
      <c r="C44" s="13" t="s">
        <v>29</v>
      </c>
      <c r="D44" s="14" t="n">
        <v>7800</v>
      </c>
      <c r="E44" s="14"/>
      <c r="F44" s="15" t="n">
        <f aca="false">N($D44)+N($E44)</f>
        <v>7800</v>
      </c>
    </row>
    <row r="45" customFormat="false" ht="15.75" hidden="false" customHeight="true" outlineLevel="0" collapsed="false">
      <c r="B45" s="16" t="n">
        <v>14</v>
      </c>
      <c r="C45" s="17" t="s">
        <v>30</v>
      </c>
      <c r="D45" s="18"/>
      <c r="E45" s="18" t="n">
        <v>60000</v>
      </c>
      <c r="F45" s="19" t="n">
        <f aca="false">N($D45)+N($E45)</f>
        <v>60000</v>
      </c>
    </row>
    <row r="46" customFormat="false" ht="15.75" hidden="false" customHeight="true" outlineLevel="0" collapsed="false">
      <c r="B46" s="12" t="n">
        <v>15</v>
      </c>
      <c r="C46" s="13" t="s">
        <v>31</v>
      </c>
      <c r="D46" s="14"/>
      <c r="E46" s="14" t="n">
        <v>20000</v>
      </c>
      <c r="F46" s="15" t="n">
        <f aca="false">N($D46)+N($E46)</f>
        <v>20000</v>
      </c>
    </row>
    <row r="47" customFormat="false" ht="15.75" hidden="false" customHeight="true" outlineLevel="0" collapsed="false">
      <c r="B47" s="16" t="n">
        <v>16</v>
      </c>
      <c r="C47" s="17" t="s">
        <v>32</v>
      </c>
      <c r="D47" s="18"/>
      <c r="E47" s="18" t="n">
        <v>3500</v>
      </c>
      <c r="F47" s="19" t="n">
        <f aca="false">N($D47)+N($E47)</f>
        <v>3500</v>
      </c>
    </row>
    <row r="48" customFormat="false" ht="15.75" hidden="false" customHeight="true" outlineLevel="0" collapsed="false">
      <c r="B48" s="12" t="n">
        <v>17</v>
      </c>
      <c r="C48" s="13" t="s">
        <v>33</v>
      </c>
      <c r="D48" s="14"/>
      <c r="E48" s="14" t="n">
        <v>11700</v>
      </c>
      <c r="F48" s="15" t="n">
        <f aca="false">N($D48)+N($E48)</f>
        <v>11700</v>
      </c>
    </row>
    <row r="49" customFormat="false" ht="15.75" hidden="false" customHeight="true" outlineLevel="0" collapsed="false">
      <c r="B49" s="16" t="n">
        <v>18</v>
      </c>
      <c r="C49" s="17" t="s">
        <v>34</v>
      </c>
      <c r="D49" s="18" t="n">
        <v>150000</v>
      </c>
      <c r="E49" s="18"/>
      <c r="F49" s="19" t="n">
        <f aca="false">N($D49)+N($E49)</f>
        <v>150000</v>
      </c>
    </row>
    <row r="50" customFormat="false" ht="15.75" hidden="false" customHeight="true" outlineLevel="0" collapsed="false">
      <c r="B50" s="12" t="n">
        <v>19</v>
      </c>
      <c r="C50" s="13" t="s">
        <v>35</v>
      </c>
      <c r="D50" s="14" t="n">
        <v>5000</v>
      </c>
      <c r="E50" s="14"/>
      <c r="F50" s="15" t="n">
        <f aca="false">N($D50)+N($E50)</f>
        <v>5000</v>
      </c>
    </row>
    <row r="51" customFormat="false" ht="15.75" hidden="false" customHeight="true" outlineLevel="0" collapsed="false">
      <c r="B51" s="16" t="n">
        <v>20</v>
      </c>
      <c r="C51" s="17" t="s">
        <v>36</v>
      </c>
      <c r="D51" s="18" t="n">
        <v>10500</v>
      </c>
      <c r="E51" s="18"/>
      <c r="F51" s="19" t="n">
        <f aca="false">N($D51)+N($E51)</f>
        <v>10500</v>
      </c>
    </row>
    <row r="52" customFormat="false" ht="15.75" hidden="false" customHeight="true" outlineLevel="0" collapsed="false">
      <c r="B52" s="12" t="n">
        <v>21</v>
      </c>
      <c r="C52" s="13" t="s">
        <v>37</v>
      </c>
      <c r="D52" s="14" t="n">
        <v>110</v>
      </c>
      <c r="E52" s="14"/>
      <c r="F52" s="15" t="n">
        <f aca="false">N($D52)+N($E52)</f>
        <v>110</v>
      </c>
    </row>
    <row r="53" customFormat="false" ht="15.75" hidden="false" customHeight="true" outlineLevel="0" collapsed="false">
      <c r="B53" s="16" t="n">
        <v>22</v>
      </c>
      <c r="C53" s="17" t="s">
        <v>38</v>
      </c>
      <c r="D53" s="18" t="n">
        <v>30000</v>
      </c>
      <c r="E53" s="18"/>
      <c r="F53" s="19" t="n">
        <f aca="false">N($D53)+N($E53)</f>
        <v>30000</v>
      </c>
    </row>
    <row r="54" customFormat="false" ht="15.75" hidden="false" customHeight="true" outlineLevel="0" collapsed="false">
      <c r="B54" s="12" t="n">
        <v>23</v>
      </c>
      <c r="C54" s="13" t="s">
        <v>39</v>
      </c>
      <c r="D54" s="14" t="n">
        <v>681</v>
      </c>
      <c r="E54" s="14"/>
      <c r="F54" s="15" t="n">
        <f aca="false">N($D54)+N($E54)</f>
        <v>681</v>
      </c>
    </row>
    <row r="55" customFormat="false" ht="15.75" hidden="false" customHeight="true" outlineLevel="0" collapsed="false">
      <c r="B55" s="16" t="n">
        <v>24</v>
      </c>
      <c r="C55" s="17" t="s">
        <v>40</v>
      </c>
      <c r="D55" s="18" t="n">
        <v>10000</v>
      </c>
      <c r="E55" s="18"/>
      <c r="F55" s="19" t="n">
        <f aca="false">N($D55)+N($E55)</f>
        <v>10000</v>
      </c>
    </row>
    <row r="56" customFormat="false" ht="15.75" hidden="false" customHeight="true" outlineLevel="0" collapsed="false">
      <c r="B56" s="12" t="n">
        <v>25</v>
      </c>
      <c r="C56" s="13" t="s">
        <v>41</v>
      </c>
      <c r="D56" s="14" t="n">
        <v>531</v>
      </c>
      <c r="E56" s="14"/>
      <c r="F56" s="15" t="n">
        <f aca="false">N($D56)+N($E56)</f>
        <v>531</v>
      </c>
    </row>
    <row r="57" customFormat="false" ht="15.75" hidden="false" customHeight="true" outlineLevel="0" collapsed="false">
      <c r="B57" s="16" t="n">
        <v>26</v>
      </c>
      <c r="C57" s="17" t="s">
        <v>42</v>
      </c>
      <c r="D57" s="18" t="n">
        <v>3400</v>
      </c>
      <c r="E57" s="18"/>
      <c r="F57" s="19" t="n">
        <f aca="false">N($D57)+N($E57)</f>
        <v>3400</v>
      </c>
    </row>
    <row r="58" customFormat="false" ht="15.75" hidden="false" customHeight="true" outlineLevel="0" collapsed="false">
      <c r="B58" s="12" t="n">
        <v>27</v>
      </c>
      <c r="C58" s="13" t="s">
        <v>43</v>
      </c>
      <c r="D58" s="14" t="n">
        <v>5926</v>
      </c>
      <c r="E58" s="14"/>
      <c r="F58" s="15" t="n">
        <f aca="false">N($D58)+N($E58)</f>
        <v>5926</v>
      </c>
    </row>
    <row r="59" customFormat="false" ht="15.75" hidden="false" customHeight="true" outlineLevel="0" collapsed="false">
      <c r="B59" s="16" t="n">
        <v>28</v>
      </c>
      <c r="C59" s="17" t="s">
        <v>44</v>
      </c>
      <c r="D59" s="18" t="n">
        <v>367</v>
      </c>
      <c r="E59" s="18"/>
      <c r="F59" s="19" t="n">
        <f aca="false">N($D59)+N($E59)</f>
        <v>367</v>
      </c>
    </row>
    <row r="60" customFormat="false" ht="15.75" hidden="false" customHeight="true" outlineLevel="0" collapsed="false">
      <c r="B60" s="12" t="n">
        <v>29</v>
      </c>
      <c r="C60" s="13" t="s">
        <v>45</v>
      </c>
      <c r="D60" s="14" t="n">
        <v>225</v>
      </c>
      <c r="E60" s="14"/>
      <c r="F60" s="15" t="n">
        <f aca="false">N($D60)+N($E60)</f>
        <v>225</v>
      </c>
    </row>
    <row r="61" customFormat="false" ht="15.75" hidden="false" customHeight="true" outlineLevel="0" collapsed="false">
      <c r="B61" s="16" t="n">
        <v>30</v>
      </c>
      <c r="C61" s="17" t="s">
        <v>46</v>
      </c>
      <c r="D61" s="18" t="n">
        <v>1140</v>
      </c>
      <c r="E61" s="18"/>
      <c r="F61" s="19" t="n">
        <f aca="false">N($D61)+N($E61)</f>
        <v>1140</v>
      </c>
    </row>
    <row r="62" customFormat="false" ht="15.75" hidden="false" customHeight="true" outlineLevel="0" collapsed="false">
      <c r="B62" s="12" t="n">
        <v>31</v>
      </c>
      <c r="C62" s="13" t="s">
        <v>47</v>
      </c>
      <c r="D62" s="14" t="n">
        <v>24120</v>
      </c>
      <c r="E62" s="14"/>
      <c r="F62" s="15" t="n">
        <f aca="false">N($D62)+N($E62)</f>
        <v>24120</v>
      </c>
    </row>
    <row r="63" customFormat="false" ht="15.75" hidden="false" customHeight="true" outlineLevel="0" collapsed="false">
      <c r="B63" s="16" t="n">
        <v>32</v>
      </c>
      <c r="C63" s="17" t="s">
        <v>48</v>
      </c>
      <c r="D63" s="18" t="n">
        <v>20000</v>
      </c>
      <c r="E63" s="18"/>
      <c r="F63" s="19" t="n">
        <f aca="false">N($D63)+N($E63)</f>
        <v>20000</v>
      </c>
    </row>
    <row r="64" customFormat="false" ht="15.75" hidden="false" customHeight="true" outlineLevel="0" collapsed="false">
      <c r="B64" s="12" t="n">
        <v>33</v>
      </c>
      <c r="C64" s="13" t="s">
        <v>49</v>
      </c>
      <c r="D64" s="14" t="n">
        <v>1040</v>
      </c>
      <c r="E64" s="14"/>
      <c r="F64" s="15" t="n">
        <f aca="false">N($D64)+N($E64)</f>
        <v>1040</v>
      </c>
    </row>
    <row r="65" customFormat="false" ht="15.75" hidden="false" customHeight="true" outlineLevel="0" collapsed="false">
      <c r="B65" s="16" t="n">
        <v>34</v>
      </c>
      <c r="C65" s="17" t="s">
        <v>50</v>
      </c>
      <c r="D65" s="18" t="n">
        <v>4781</v>
      </c>
      <c r="E65" s="18"/>
      <c r="F65" s="19" t="n">
        <f aca="false">N($D65)+N($E65)</f>
        <v>4781</v>
      </c>
    </row>
    <row r="66" customFormat="false" ht="15.75" hidden="false" customHeight="true" outlineLevel="0" collapsed="false">
      <c r="B66" s="12" t="n">
        <v>35</v>
      </c>
      <c r="C66" s="13" t="s">
        <v>51</v>
      </c>
      <c r="D66" s="14" t="n">
        <v>285</v>
      </c>
      <c r="E66" s="14"/>
      <c r="F66" s="15" t="n">
        <f aca="false">N($D66)+N($E66)</f>
        <v>285</v>
      </c>
    </row>
    <row r="67" customFormat="false" ht="15.75" hidden="false" customHeight="true" outlineLevel="0" collapsed="false">
      <c r="B67" s="16" t="n">
        <v>36</v>
      </c>
      <c r="C67" s="17" t="s">
        <v>52</v>
      </c>
      <c r="D67" s="18" t="n">
        <v>11600</v>
      </c>
      <c r="E67" s="18"/>
      <c r="F67" s="19" t="n">
        <f aca="false">N($D67)+N($E67)</f>
        <v>11600</v>
      </c>
    </row>
    <row r="68" customFormat="false" ht="15.75" hidden="false" customHeight="true" outlineLevel="0" collapsed="false">
      <c r="B68" s="12" t="n">
        <v>37</v>
      </c>
      <c r="C68" s="13" t="s">
        <v>53</v>
      </c>
      <c r="D68" s="14" t="n">
        <v>1650</v>
      </c>
      <c r="E68" s="14"/>
      <c r="F68" s="15" t="n">
        <f aca="false">N($D68)+N($E68)</f>
        <v>1650</v>
      </c>
    </row>
    <row r="69" customFormat="false" ht="15.75" hidden="false" customHeight="true" outlineLevel="0" collapsed="false">
      <c r="B69" s="16" t="n">
        <v>38</v>
      </c>
      <c r="C69" s="17" t="s">
        <v>54</v>
      </c>
      <c r="D69" s="18" t="n">
        <v>395</v>
      </c>
      <c r="E69" s="18"/>
      <c r="F69" s="19" t="n">
        <f aca="false">N($D69)+N($E69)</f>
        <v>395</v>
      </c>
    </row>
    <row r="70" customFormat="false" ht="15.75" hidden="false" customHeight="true" outlineLevel="0" collapsed="false">
      <c r="B70" s="12" t="n">
        <v>39</v>
      </c>
      <c r="C70" s="13" t="s">
        <v>55</v>
      </c>
      <c r="D70" s="14" t="n">
        <v>2453</v>
      </c>
      <c r="E70" s="14"/>
      <c r="F70" s="15" t="n">
        <f aca="false">N($D70)+N($E70)</f>
        <v>2453</v>
      </c>
    </row>
    <row r="71" customFormat="false" ht="15.75" hidden="false" customHeight="true" outlineLevel="0" collapsed="false">
      <c r="B71" s="16" t="n">
        <v>40</v>
      </c>
      <c r="C71" s="17" t="s">
        <v>56</v>
      </c>
      <c r="D71" s="18" t="n">
        <v>263</v>
      </c>
      <c r="E71" s="18"/>
      <c r="F71" s="19" t="n">
        <f aca="false">N($D71)+N($E71)</f>
        <v>263</v>
      </c>
    </row>
    <row r="72" customFormat="false" ht="15.75" hidden="false" customHeight="true" outlineLevel="0" collapsed="false">
      <c r="B72" s="12" t="n">
        <v>41</v>
      </c>
      <c r="C72" s="13" t="s">
        <v>57</v>
      </c>
      <c r="D72" s="14"/>
      <c r="E72" s="14" t="n">
        <v>10000</v>
      </c>
      <c r="F72" s="15" t="n">
        <f aca="false">N($D72)+N($E72)</f>
        <v>10000</v>
      </c>
    </row>
    <row r="73" customFormat="false" ht="15.75" hidden="false" customHeight="true" outlineLevel="0" collapsed="false">
      <c r="B73" s="16" t="n">
        <v>42</v>
      </c>
      <c r="C73" s="17" t="s">
        <v>58</v>
      </c>
      <c r="D73" s="18" t="n">
        <v>767</v>
      </c>
      <c r="E73" s="18"/>
      <c r="F73" s="19" t="n">
        <f aca="false">N($D73)+N($E73)</f>
        <v>767</v>
      </c>
    </row>
    <row r="74" customFormat="false" ht="15.75" hidden="false" customHeight="true" outlineLevel="0" collapsed="false">
      <c r="B74" s="12" t="n">
        <v>43</v>
      </c>
      <c r="C74" s="13" t="s">
        <v>59</v>
      </c>
      <c r="D74" s="14" t="n">
        <v>190</v>
      </c>
      <c r="E74" s="14"/>
      <c r="F74" s="15" t="n">
        <f aca="false">N($D74)+N($E74)</f>
        <v>190</v>
      </c>
    </row>
    <row r="75" customFormat="false" ht="15.75" hidden="false" customHeight="true" outlineLevel="0" collapsed="false">
      <c r="B75" s="16" t="n">
        <v>44</v>
      </c>
      <c r="C75" s="17" t="s">
        <v>60</v>
      </c>
      <c r="D75" s="18" t="n">
        <v>70</v>
      </c>
      <c r="E75" s="18"/>
      <c r="F75" s="19" t="n">
        <f aca="false">N($D75)+N($E75)</f>
        <v>70</v>
      </c>
    </row>
    <row r="76" customFormat="false" ht="15.75" hidden="false" customHeight="true" outlineLevel="0" collapsed="false">
      <c r="B76" s="12" t="n">
        <v>45</v>
      </c>
      <c r="C76" s="13" t="s">
        <v>61</v>
      </c>
      <c r="D76" s="14" t="n">
        <v>240</v>
      </c>
      <c r="E76" s="14"/>
      <c r="F76" s="15" t="n">
        <f aca="false">N($D76)+N($E76)</f>
        <v>240</v>
      </c>
    </row>
    <row r="77" customFormat="false" ht="15.75" hidden="false" customHeight="true" outlineLevel="0" collapsed="false">
      <c r="B77" s="16" t="n">
        <v>46</v>
      </c>
      <c r="C77" s="17" t="s">
        <v>62</v>
      </c>
      <c r="D77" s="18" t="n">
        <v>571</v>
      </c>
      <c r="E77" s="18"/>
      <c r="F77" s="19" t="n">
        <f aca="false">N($D77)+N($E77)</f>
        <v>571</v>
      </c>
    </row>
    <row r="78" customFormat="false" ht="15.75" hidden="false" customHeight="true" outlineLevel="0" collapsed="false">
      <c r="B78" s="12" t="n">
        <v>47</v>
      </c>
      <c r="C78" s="13" t="s">
        <v>63</v>
      </c>
      <c r="D78" s="14" t="n">
        <v>4820</v>
      </c>
      <c r="E78" s="14"/>
      <c r="F78" s="15" t="n">
        <f aca="false">N($D78)+N($E78)</f>
        <v>4820</v>
      </c>
    </row>
    <row r="79" customFormat="false" ht="15.75" hidden="false" customHeight="true" outlineLevel="0" collapsed="false">
      <c r="B79" s="16" t="n">
        <v>48</v>
      </c>
      <c r="C79" s="17" t="s">
        <v>64</v>
      </c>
      <c r="D79" s="18"/>
      <c r="E79" s="18" t="n">
        <v>20000</v>
      </c>
      <c r="F79" s="19" t="n">
        <f aca="false">N($D79)+N($E79)</f>
        <v>20000</v>
      </c>
    </row>
    <row r="80" customFormat="false" ht="15.75" hidden="false" customHeight="true" outlineLevel="0" collapsed="false">
      <c r="B80" s="12" t="n">
        <v>49</v>
      </c>
      <c r="C80" s="13" t="s">
        <v>65</v>
      </c>
      <c r="D80" s="14" t="n">
        <v>192</v>
      </c>
      <c r="E80" s="14"/>
      <c r="F80" s="15" t="n">
        <f aca="false">N($D80)+N($E80)</f>
        <v>192</v>
      </c>
    </row>
    <row r="81" customFormat="false" ht="15.75" hidden="false" customHeight="true" outlineLevel="0" collapsed="false">
      <c r="B81" s="16" t="n">
        <v>50</v>
      </c>
      <c r="C81" s="17" t="s">
        <v>66</v>
      </c>
      <c r="D81" s="18" t="n">
        <v>3790</v>
      </c>
      <c r="E81" s="18"/>
      <c r="F81" s="19" t="n">
        <f aca="false">N($D81)+N($E81)</f>
        <v>3790</v>
      </c>
    </row>
    <row r="82" customFormat="false" ht="15.75" hidden="false" customHeight="true" outlineLevel="0" collapsed="false">
      <c r="B82" s="12" t="n">
        <v>51</v>
      </c>
      <c r="C82" s="13" t="s">
        <v>67</v>
      </c>
      <c r="D82" s="14" t="n">
        <v>200</v>
      </c>
      <c r="E82" s="14"/>
      <c r="F82" s="15" t="n">
        <f aca="false">N($D82)+N($E82)</f>
        <v>200</v>
      </c>
    </row>
    <row r="83" customFormat="false" ht="15.75" hidden="false" customHeight="true" outlineLevel="0" collapsed="false">
      <c r="B83" s="16" t="n">
        <v>52</v>
      </c>
      <c r="C83" s="17"/>
      <c r="D83" s="18" t="n">
        <v>673</v>
      </c>
      <c r="E83" s="18"/>
      <c r="F83" s="19" t="n">
        <f aca="false">N($D83)+N($E83)</f>
        <v>673</v>
      </c>
    </row>
    <row r="84" customFormat="false" ht="15.75" hidden="false" customHeight="true" outlineLevel="0" collapsed="false">
      <c r="B84" s="12" t="n">
        <v>53</v>
      </c>
      <c r="C84" s="13" t="s">
        <v>68</v>
      </c>
      <c r="D84" s="14" t="n">
        <v>1020</v>
      </c>
      <c r="E84" s="14"/>
      <c r="F84" s="15" t="n">
        <f aca="false">N($D84)+N($E84)</f>
        <v>1020</v>
      </c>
    </row>
    <row r="85" customFormat="false" ht="15.75" hidden="false" customHeight="true" outlineLevel="0" collapsed="false">
      <c r="B85" s="16" t="n">
        <v>54</v>
      </c>
      <c r="C85" s="17" t="s">
        <v>69</v>
      </c>
      <c r="D85" s="18" t="n">
        <v>500</v>
      </c>
      <c r="E85" s="18"/>
      <c r="F85" s="19" t="n">
        <f aca="false">N($D85)+N($E85)</f>
        <v>500</v>
      </c>
    </row>
    <row r="86" customFormat="false" ht="15.75" hidden="false" customHeight="true" outlineLevel="0" collapsed="false">
      <c r="B86" s="12" t="n">
        <v>55</v>
      </c>
      <c r="C86" s="13" t="s">
        <v>70</v>
      </c>
      <c r="D86" s="14" t="n">
        <v>5000</v>
      </c>
      <c r="E86" s="14"/>
      <c r="F86" s="15" t="n">
        <f aca="false">N($D86)+N($E86)</f>
        <v>5000</v>
      </c>
    </row>
    <row r="87" customFormat="false" ht="15.75" hidden="false" customHeight="true" outlineLevel="0" collapsed="false">
      <c r="B87" s="16" t="n">
        <v>56</v>
      </c>
      <c r="C87" s="17" t="s">
        <v>71</v>
      </c>
      <c r="D87" s="18" t="n">
        <v>490</v>
      </c>
      <c r="E87" s="18"/>
      <c r="F87" s="19" t="n">
        <f aca="false">N($D87)+N($E87)</f>
        <v>490</v>
      </c>
    </row>
    <row r="88" customFormat="false" ht="15.75" hidden="false" customHeight="true" outlineLevel="0" collapsed="false">
      <c r="B88" s="12" t="n">
        <v>57</v>
      </c>
      <c r="C88" s="13" t="s">
        <v>72</v>
      </c>
      <c r="D88" s="14" t="n">
        <v>1848</v>
      </c>
      <c r="E88" s="14"/>
      <c r="F88" s="15" t="n">
        <f aca="false">N($D88)+N($E88)</f>
        <v>1848</v>
      </c>
    </row>
    <row r="89" customFormat="false" ht="15.75" hidden="false" customHeight="true" outlineLevel="0" collapsed="false">
      <c r="B89" s="16" t="n">
        <v>58</v>
      </c>
      <c r="C89" s="17" t="s">
        <v>73</v>
      </c>
      <c r="D89" s="18" t="n">
        <v>100</v>
      </c>
      <c r="E89" s="18"/>
      <c r="F89" s="19" t="n">
        <f aca="false">N($D89)+N($E89)</f>
        <v>100</v>
      </c>
    </row>
    <row r="90" customFormat="false" ht="15.75" hidden="false" customHeight="true" outlineLevel="0" collapsed="false">
      <c r="B90" s="12" t="n">
        <v>59</v>
      </c>
      <c r="C90" s="13" t="s">
        <v>74</v>
      </c>
      <c r="D90" s="14"/>
      <c r="E90" s="14" t="n">
        <v>14500</v>
      </c>
      <c r="F90" s="15" t="n">
        <f aca="false">N($D90)+N($E90)</f>
        <v>14500</v>
      </c>
    </row>
    <row r="91" customFormat="false" ht="15.75" hidden="false" customHeight="true" outlineLevel="0" collapsed="false">
      <c r="B91" s="16" t="n">
        <v>60</v>
      </c>
      <c r="C91" s="17" t="s">
        <v>75</v>
      </c>
      <c r="D91" s="18"/>
      <c r="E91" s="18"/>
      <c r="F91" s="19" t="n">
        <f aca="false">N($D91)+N($E91)</f>
        <v>0</v>
      </c>
    </row>
    <row r="92" customFormat="false" ht="15.75" hidden="false" customHeight="true" outlineLevel="0" collapsed="false">
      <c r="B92" s="12" t="n">
        <v>61</v>
      </c>
      <c r="C92" s="13" t="s">
        <v>76</v>
      </c>
      <c r="D92" s="14"/>
      <c r="E92" s="14" t="n">
        <v>20000</v>
      </c>
      <c r="F92" s="15" t="n">
        <f aca="false">N($D92)+N($E92)</f>
        <v>20000</v>
      </c>
    </row>
    <row r="93" customFormat="false" ht="24" hidden="false" customHeight="true" outlineLevel="0" collapsed="false">
      <c r="B93" s="20"/>
      <c r="C93" s="21" t="s">
        <v>6</v>
      </c>
      <c r="D93" s="22" t="n">
        <f aca="false">SUM(D32:D92)</f>
        <v>397738</v>
      </c>
      <c r="E93" s="22" t="n">
        <f aca="false">SUM(E32:E92)</f>
        <v>404700</v>
      </c>
      <c r="F93" s="22" t="n">
        <f aca="false">SUM(F32:F92)</f>
        <v>802438</v>
      </c>
    </row>
    <row r="95" customFormat="false" ht="24" hidden="false" customHeight="true" outlineLevel="0" collapsed="false">
      <c r="B95" s="3" t="s">
        <v>77</v>
      </c>
      <c r="C95" s="3"/>
      <c r="D95" s="3"/>
      <c r="E95" s="3"/>
      <c r="F95" s="3"/>
    </row>
    <row r="96" customFormat="false" ht="30" hidden="false" customHeight="true" outlineLevel="0" collapsed="false">
      <c r="B96" s="4" t="s">
        <v>17</v>
      </c>
      <c r="C96" s="4" t="s">
        <v>18</v>
      </c>
      <c r="D96" s="4" t="s">
        <v>4</v>
      </c>
      <c r="E96" s="4" t="s">
        <v>5</v>
      </c>
      <c r="F96" s="4" t="s">
        <v>6</v>
      </c>
    </row>
    <row r="97" customFormat="false" ht="15.75" hidden="false" customHeight="true" outlineLevel="0" collapsed="false">
      <c r="B97" s="12" t="n">
        <v>1</v>
      </c>
      <c r="C97" s="13" t="s">
        <v>78</v>
      </c>
      <c r="D97" s="14" t="n">
        <v>7000</v>
      </c>
      <c r="E97" s="14"/>
      <c r="F97" s="15" t="n">
        <f aca="false">N($D97)+N($E97)</f>
        <v>7000</v>
      </c>
    </row>
    <row r="98" customFormat="false" ht="15.75" hidden="false" customHeight="true" outlineLevel="0" collapsed="false">
      <c r="B98" s="16" t="n">
        <v>2</v>
      </c>
      <c r="C98" s="17" t="s">
        <v>79</v>
      </c>
      <c r="D98" s="18" t="n">
        <v>2000</v>
      </c>
      <c r="E98" s="18"/>
      <c r="F98" s="19" t="n">
        <f aca="false">N($D98)+N($E98)</f>
        <v>2000</v>
      </c>
    </row>
    <row r="99" customFormat="false" ht="15.75" hidden="false" customHeight="true" outlineLevel="0" collapsed="false">
      <c r="B99" s="12" t="n">
        <v>3</v>
      </c>
      <c r="C99" s="13" t="s">
        <v>80</v>
      </c>
      <c r="D99" s="14" t="n">
        <v>9000</v>
      </c>
      <c r="E99" s="14"/>
      <c r="F99" s="15" t="n">
        <f aca="false">N($D99)+N($E99)</f>
        <v>9000</v>
      </c>
    </row>
    <row r="100" customFormat="false" ht="15.75" hidden="false" customHeight="true" outlineLevel="0" collapsed="false">
      <c r="B100" s="16" t="n">
        <v>4</v>
      </c>
      <c r="C100" s="17" t="s">
        <v>81</v>
      </c>
      <c r="D100" s="18" t="n">
        <v>31000</v>
      </c>
      <c r="E100" s="18" t="n">
        <v>20000</v>
      </c>
      <c r="F100" s="19" t="n">
        <f aca="false">N($D100)+N($E100)</f>
        <v>51000</v>
      </c>
    </row>
    <row r="101" customFormat="false" ht="15.75" hidden="false" customHeight="true" outlineLevel="0" collapsed="false">
      <c r="B101" s="12" t="n">
        <v>5</v>
      </c>
      <c r="C101" s="13" t="s">
        <v>82</v>
      </c>
      <c r="D101" s="14" t="n">
        <v>2500</v>
      </c>
      <c r="E101" s="14"/>
      <c r="F101" s="15" t="n">
        <f aca="false">N($D101)+N($E101)</f>
        <v>2500</v>
      </c>
    </row>
    <row r="102" customFormat="false" ht="15.75" hidden="false" customHeight="true" outlineLevel="0" collapsed="false">
      <c r="B102" s="16" t="n">
        <v>6</v>
      </c>
      <c r="C102" s="17" t="s">
        <v>83</v>
      </c>
      <c r="D102" s="18"/>
      <c r="E102" s="18" t="n">
        <v>3200</v>
      </c>
      <c r="F102" s="19" t="n">
        <f aca="false">N($D102)+N($E102)</f>
        <v>3200</v>
      </c>
    </row>
    <row r="103" customFormat="false" ht="15.75" hidden="false" customHeight="true" outlineLevel="0" collapsed="false">
      <c r="B103" s="12" t="n">
        <v>7</v>
      </c>
      <c r="C103" s="13" t="s">
        <v>84</v>
      </c>
      <c r="D103" s="14"/>
      <c r="E103" s="14" t="n">
        <v>3000</v>
      </c>
      <c r="F103" s="15" t="n">
        <f aca="false">N($D103)+N($E103)</f>
        <v>3000</v>
      </c>
    </row>
    <row r="104" customFormat="false" ht="15.75" hidden="false" customHeight="true" outlineLevel="0" collapsed="false">
      <c r="B104" s="16" t="n">
        <v>8</v>
      </c>
      <c r="C104" s="17" t="s">
        <v>85</v>
      </c>
      <c r="D104" s="18"/>
      <c r="E104" s="18" t="n">
        <v>30500</v>
      </c>
      <c r="F104" s="19" t="n">
        <f aca="false">N($D104)+N($E104)</f>
        <v>30500</v>
      </c>
    </row>
    <row r="105" customFormat="false" ht="15.75" hidden="false" customHeight="true" outlineLevel="0" collapsed="false">
      <c r="B105" s="12" t="n">
        <v>9</v>
      </c>
      <c r="C105" s="13" t="s">
        <v>86</v>
      </c>
      <c r="D105" s="14" t="n">
        <v>12000</v>
      </c>
      <c r="E105" s="14"/>
      <c r="F105" s="15" t="n">
        <f aca="false">N($D105)+N($E105)</f>
        <v>12000</v>
      </c>
    </row>
    <row r="106" customFormat="false" ht="15.75" hidden="false" customHeight="true" outlineLevel="0" collapsed="false">
      <c r="B106" s="16" t="n">
        <v>10</v>
      </c>
      <c r="C106" s="17" t="s">
        <v>87</v>
      </c>
      <c r="D106" s="18" t="n">
        <v>2300</v>
      </c>
      <c r="E106" s="18"/>
      <c r="F106" s="19" t="n">
        <f aca="false">N($D106)+N($E106)</f>
        <v>2300</v>
      </c>
    </row>
    <row r="107" customFormat="false" ht="15.75" hidden="false" customHeight="true" outlineLevel="0" collapsed="false">
      <c r="B107" s="12" t="n">
        <v>11</v>
      </c>
      <c r="C107" s="13" t="s">
        <v>88</v>
      </c>
      <c r="D107" s="14" t="n">
        <v>1400</v>
      </c>
      <c r="E107" s="14"/>
      <c r="F107" s="15" t="n">
        <f aca="false">N($D107)+N($E107)</f>
        <v>1400</v>
      </c>
    </row>
    <row r="108" customFormat="false" ht="15.75" hidden="false" customHeight="true" outlineLevel="0" collapsed="false">
      <c r="B108" s="16" t="n">
        <v>12</v>
      </c>
      <c r="C108" s="17" t="s">
        <v>89</v>
      </c>
      <c r="D108" s="18" t="n">
        <v>850</v>
      </c>
      <c r="E108" s="18"/>
      <c r="F108" s="19" t="n">
        <f aca="false">N($D108)+N($E108)</f>
        <v>850</v>
      </c>
    </row>
    <row r="109" customFormat="false" ht="15.75" hidden="false" customHeight="true" outlineLevel="0" collapsed="false">
      <c r="B109" s="12" t="n">
        <v>13</v>
      </c>
      <c r="C109" s="13" t="s">
        <v>90</v>
      </c>
      <c r="D109" s="14"/>
      <c r="E109" s="14" t="n">
        <v>12750</v>
      </c>
      <c r="F109" s="15" t="n">
        <f aca="false">N($D109)+N($E109)</f>
        <v>12750</v>
      </c>
    </row>
    <row r="110" customFormat="false" ht="15.75" hidden="false" customHeight="true" outlineLevel="0" collapsed="false">
      <c r="B110" s="16" t="n">
        <v>14</v>
      </c>
      <c r="C110" s="17" t="s">
        <v>91</v>
      </c>
      <c r="D110" s="18" t="n">
        <v>5000</v>
      </c>
      <c r="E110" s="18" t="n">
        <v>34800</v>
      </c>
      <c r="F110" s="19" t="n">
        <f aca="false">N($D110)+N($E110)</f>
        <v>39800</v>
      </c>
    </row>
    <row r="111" customFormat="false" ht="15.75" hidden="false" customHeight="true" outlineLevel="0" collapsed="false">
      <c r="B111" s="12" t="n">
        <v>15</v>
      </c>
      <c r="C111" s="13" t="s">
        <v>92</v>
      </c>
      <c r="D111" s="14" t="n">
        <v>2100</v>
      </c>
      <c r="E111" s="14"/>
      <c r="F111" s="15" t="n">
        <f aca="false">N($D111)+N($E111)</f>
        <v>2100</v>
      </c>
    </row>
    <row r="112" customFormat="false" ht="15.75" hidden="false" customHeight="true" outlineLevel="0" collapsed="false">
      <c r="B112" s="16" t="n">
        <v>16</v>
      </c>
      <c r="C112" s="17" t="s">
        <v>25</v>
      </c>
      <c r="D112" s="18" t="n">
        <v>1000</v>
      </c>
      <c r="E112" s="18" t="n">
        <v>2000</v>
      </c>
      <c r="F112" s="19" t="n">
        <f aca="false">N($D112)+N($E112)</f>
        <v>3000</v>
      </c>
    </row>
    <row r="113" customFormat="false" ht="15.75" hidden="false" customHeight="true" outlineLevel="0" collapsed="false">
      <c r="B113" s="12" t="n">
        <v>17</v>
      </c>
      <c r="C113" s="13" t="s">
        <v>93</v>
      </c>
      <c r="D113" s="14"/>
      <c r="E113" s="14" t="n">
        <v>5300</v>
      </c>
      <c r="F113" s="15" t="n">
        <f aca="false">N($D113)+N($E113)</f>
        <v>5300</v>
      </c>
    </row>
    <row r="114" customFormat="false" ht="15.75" hidden="false" customHeight="true" outlineLevel="0" collapsed="false">
      <c r="B114" s="16" t="n">
        <v>18</v>
      </c>
      <c r="C114" s="17" t="s">
        <v>94</v>
      </c>
      <c r="D114" s="18" t="n">
        <v>13300</v>
      </c>
      <c r="E114" s="18"/>
      <c r="F114" s="19" t="n">
        <f aca="false">N($D114)+N($E114)</f>
        <v>13300</v>
      </c>
    </row>
    <row r="115" customFormat="false" ht="15.75" hidden="false" customHeight="true" outlineLevel="0" collapsed="false">
      <c r="B115" s="12" t="n">
        <v>19</v>
      </c>
      <c r="C115" s="13" t="s">
        <v>95</v>
      </c>
      <c r="D115" s="14" t="n">
        <v>142</v>
      </c>
      <c r="E115" s="14" t="n">
        <v>1000</v>
      </c>
      <c r="F115" s="15" t="n">
        <f aca="false">N($D115)+N($E115)</f>
        <v>1142</v>
      </c>
    </row>
    <row r="116" customFormat="false" ht="15.75" hidden="false" customHeight="true" outlineLevel="0" collapsed="false">
      <c r="B116" s="16" t="n">
        <v>20</v>
      </c>
      <c r="C116" s="17" t="s">
        <v>96</v>
      </c>
      <c r="D116" s="18"/>
      <c r="E116" s="18" t="n">
        <v>6000</v>
      </c>
      <c r="F116" s="19" t="n">
        <f aca="false">N($D116)+N($E116)</f>
        <v>6000</v>
      </c>
    </row>
    <row r="117" customFormat="false" ht="15.75" hidden="false" customHeight="true" outlineLevel="0" collapsed="false">
      <c r="B117" s="12" t="n">
        <v>21</v>
      </c>
      <c r="C117" s="13" t="s">
        <v>97</v>
      </c>
      <c r="D117" s="14"/>
      <c r="E117" s="14" t="n">
        <v>32000</v>
      </c>
      <c r="F117" s="15" t="n">
        <f aca="false">N($D117)+N($E117)</f>
        <v>32000</v>
      </c>
    </row>
    <row r="118" customFormat="false" ht="15.75" hidden="false" customHeight="true" outlineLevel="0" collapsed="false">
      <c r="B118" s="16" t="n">
        <v>22</v>
      </c>
      <c r="C118" s="17" t="s">
        <v>98</v>
      </c>
      <c r="D118" s="18" t="n">
        <v>450</v>
      </c>
      <c r="E118" s="18"/>
      <c r="F118" s="19" t="n">
        <f aca="false">N($D118)+N($E118)</f>
        <v>450</v>
      </c>
    </row>
    <row r="119" customFormat="false" ht="15.75" hidden="false" customHeight="true" outlineLevel="0" collapsed="false">
      <c r="B119" s="12" t="n">
        <v>23</v>
      </c>
      <c r="C119" s="13" t="s">
        <v>99</v>
      </c>
      <c r="D119" s="14"/>
      <c r="E119" s="14" t="n">
        <v>2500</v>
      </c>
      <c r="F119" s="15" t="n">
        <f aca="false">N($D119)+N($E119)</f>
        <v>2500</v>
      </c>
    </row>
    <row r="120" customFormat="false" ht="15.75" hidden="false" customHeight="true" outlineLevel="0" collapsed="false">
      <c r="B120" s="16" t="n">
        <v>24</v>
      </c>
      <c r="C120" s="17" t="s">
        <v>100</v>
      </c>
      <c r="D120" s="18" t="n">
        <v>20000</v>
      </c>
      <c r="E120" s="18"/>
      <c r="F120" s="19" t="n">
        <f aca="false">N($D120)+N($E120)</f>
        <v>20000</v>
      </c>
    </row>
    <row r="121" customFormat="false" ht="15.75" hidden="false" customHeight="true" outlineLevel="0" collapsed="false">
      <c r="B121" s="12" t="n">
        <v>25</v>
      </c>
      <c r="C121" s="13" t="s">
        <v>101</v>
      </c>
      <c r="D121" s="14"/>
      <c r="E121" s="14" t="n">
        <v>1000</v>
      </c>
      <c r="F121" s="15" t="n">
        <f aca="false">N($D121)+N($E121)</f>
        <v>1000</v>
      </c>
    </row>
    <row r="122" customFormat="false" ht="15.75" hidden="false" customHeight="true" outlineLevel="0" collapsed="false">
      <c r="B122" s="16" t="n">
        <v>26</v>
      </c>
      <c r="C122" s="17" t="s">
        <v>102</v>
      </c>
      <c r="D122" s="18"/>
      <c r="E122" s="18" t="n">
        <v>5000</v>
      </c>
      <c r="F122" s="19" t="n">
        <f aca="false">N($D122)+N($E122)</f>
        <v>5000</v>
      </c>
    </row>
    <row r="123" customFormat="false" ht="15.75" hidden="false" customHeight="true" outlineLevel="0" collapsed="false">
      <c r="B123" s="12" t="n">
        <v>27</v>
      </c>
      <c r="C123" s="13" t="s">
        <v>103</v>
      </c>
      <c r="D123" s="14"/>
      <c r="E123" s="14" t="n">
        <v>10000</v>
      </c>
      <c r="F123" s="15" t="n">
        <f aca="false">N($D123)+N($E123)</f>
        <v>10000</v>
      </c>
    </row>
    <row r="124" customFormat="false" ht="15.75" hidden="false" customHeight="true" outlineLevel="0" collapsed="false">
      <c r="B124" s="16" t="n">
        <v>28</v>
      </c>
      <c r="C124" s="17" t="s">
        <v>104</v>
      </c>
      <c r="D124" s="18" t="n">
        <v>11000</v>
      </c>
      <c r="E124" s="18"/>
      <c r="F124" s="19" t="n">
        <f aca="false">N($D124)+N($E124)</f>
        <v>11000</v>
      </c>
    </row>
    <row r="125" customFormat="false" ht="15.75" hidden="false" customHeight="true" outlineLevel="0" collapsed="false">
      <c r="B125" s="12" t="n">
        <v>29</v>
      </c>
      <c r="C125" s="13" t="s">
        <v>105</v>
      </c>
      <c r="D125" s="14"/>
      <c r="E125" s="14" t="n">
        <v>1571</v>
      </c>
      <c r="F125" s="15" t="n">
        <f aca="false">N($D125)+N($E125)</f>
        <v>1571</v>
      </c>
    </row>
    <row r="126" customFormat="false" ht="15.75" hidden="false" customHeight="true" outlineLevel="0" collapsed="false">
      <c r="B126" s="16" t="n">
        <v>30</v>
      </c>
      <c r="C126" s="17" t="s">
        <v>106</v>
      </c>
      <c r="D126" s="18"/>
      <c r="E126" s="18" t="n">
        <v>1200</v>
      </c>
      <c r="F126" s="19" t="n">
        <f aca="false">N($D126)+N($E126)</f>
        <v>1200</v>
      </c>
    </row>
    <row r="127" customFormat="false" ht="15.75" hidden="false" customHeight="true" outlineLevel="0" collapsed="false">
      <c r="B127" s="12" t="n">
        <v>31</v>
      </c>
      <c r="C127" s="13" t="s">
        <v>107</v>
      </c>
      <c r="D127" s="14"/>
      <c r="E127" s="14" t="n">
        <v>3300</v>
      </c>
      <c r="F127" s="15" t="n">
        <f aca="false">N($D127)+N($E127)</f>
        <v>3300</v>
      </c>
    </row>
    <row r="128" customFormat="false" ht="15.75" hidden="false" customHeight="true" outlineLevel="0" collapsed="false">
      <c r="B128" s="16" t="n">
        <v>32</v>
      </c>
      <c r="C128" s="17" t="s">
        <v>93</v>
      </c>
      <c r="D128" s="18"/>
      <c r="E128" s="18" t="n">
        <v>840</v>
      </c>
      <c r="F128" s="19" t="n">
        <f aca="false">N($D128)+N($E128)</f>
        <v>840</v>
      </c>
    </row>
    <row r="129" customFormat="false" ht="15.75" hidden="false" customHeight="true" outlineLevel="0" collapsed="false">
      <c r="B129" s="12" t="n">
        <v>33</v>
      </c>
      <c r="C129" s="13" t="s">
        <v>108</v>
      </c>
      <c r="D129" s="14" t="n">
        <v>3000</v>
      </c>
      <c r="E129" s="14"/>
      <c r="F129" s="15" t="n">
        <f aca="false">N($D129)+N($E129)</f>
        <v>3000</v>
      </c>
    </row>
    <row r="130" customFormat="false" ht="15.75" hidden="false" customHeight="true" outlineLevel="0" collapsed="false">
      <c r="B130" s="16" t="n">
        <v>34</v>
      </c>
      <c r="C130" s="17" t="s">
        <v>109</v>
      </c>
      <c r="D130" s="18"/>
      <c r="E130" s="18" t="n">
        <v>30000</v>
      </c>
      <c r="F130" s="19" t="n">
        <f aca="false">N($D130)+N($E130)</f>
        <v>30000</v>
      </c>
    </row>
    <row r="131" customFormat="false" ht="15.75" hidden="false" customHeight="true" outlineLevel="0" collapsed="false">
      <c r="B131" s="12" t="n">
        <v>35</v>
      </c>
      <c r="C131" s="13" t="s">
        <v>110</v>
      </c>
      <c r="D131" s="14" t="n">
        <v>18000</v>
      </c>
      <c r="E131" s="14"/>
      <c r="F131" s="15" t="n">
        <f aca="false">N($D131)+N($E131)</f>
        <v>18000</v>
      </c>
    </row>
    <row r="132" customFormat="false" ht="15.75" hidden="false" customHeight="true" outlineLevel="0" collapsed="false">
      <c r="B132" s="16" t="n">
        <v>36</v>
      </c>
      <c r="C132" s="17" t="s">
        <v>111</v>
      </c>
      <c r="D132" s="18"/>
      <c r="E132" s="18" t="n">
        <v>4960</v>
      </c>
      <c r="F132" s="19" t="n">
        <f aca="false">N($D132)+N($E132)</f>
        <v>4960</v>
      </c>
    </row>
    <row r="133" customFormat="false" ht="15.75" hidden="false" customHeight="true" outlineLevel="0" collapsed="false">
      <c r="B133" s="12" t="n">
        <v>37</v>
      </c>
      <c r="C133" s="13" t="s">
        <v>112</v>
      </c>
      <c r="D133" s="14"/>
      <c r="E133" s="14" t="n">
        <v>3900</v>
      </c>
      <c r="F133" s="15" t="n">
        <f aca="false">N($D133)+N($E133)</f>
        <v>3900</v>
      </c>
    </row>
    <row r="134" customFormat="false" ht="15.75" hidden="false" customHeight="true" outlineLevel="0" collapsed="false">
      <c r="B134" s="16" t="n">
        <v>38</v>
      </c>
      <c r="C134" s="17" t="s">
        <v>113</v>
      </c>
      <c r="D134" s="18"/>
      <c r="E134" s="18" t="n">
        <v>3200</v>
      </c>
      <c r="F134" s="19" t="n">
        <f aca="false">N($D134)+N($E134)</f>
        <v>3200</v>
      </c>
    </row>
    <row r="135" customFormat="false" ht="15.75" hidden="false" customHeight="true" outlineLevel="0" collapsed="false">
      <c r="B135" s="12" t="n">
        <v>39</v>
      </c>
      <c r="C135" s="13" t="s">
        <v>113</v>
      </c>
      <c r="D135" s="14"/>
      <c r="E135" s="14"/>
      <c r="F135" s="15" t="n">
        <f aca="false">N($D135)+N($E135)</f>
        <v>0</v>
      </c>
    </row>
    <row r="136" customFormat="false" ht="15.75" hidden="false" customHeight="true" outlineLevel="0" collapsed="false">
      <c r="B136" s="16" t="n">
        <v>40</v>
      </c>
      <c r="C136" s="17" t="s">
        <v>114</v>
      </c>
      <c r="D136" s="18"/>
      <c r="E136" s="18" t="n">
        <v>29700</v>
      </c>
      <c r="F136" s="19" t="n">
        <f aca="false">N($D136)+N($E136)</f>
        <v>29700</v>
      </c>
    </row>
    <row r="137" customFormat="false" ht="15.75" hidden="false" customHeight="true" outlineLevel="0" collapsed="false">
      <c r="B137" s="12" t="n">
        <v>41</v>
      </c>
      <c r="C137" s="13" t="s">
        <v>115</v>
      </c>
      <c r="D137" s="14"/>
      <c r="E137" s="14" t="n">
        <v>31100</v>
      </c>
      <c r="F137" s="15" t="n">
        <f aca="false">N($D137)+N($E137)</f>
        <v>31100</v>
      </c>
    </row>
    <row r="138" customFormat="false" ht="15.75" hidden="false" customHeight="true" outlineLevel="0" collapsed="false">
      <c r="B138" s="16" t="n">
        <v>42</v>
      </c>
      <c r="C138" s="17" t="s">
        <v>116</v>
      </c>
      <c r="D138" s="18"/>
      <c r="E138" s="18" t="n">
        <v>10000</v>
      </c>
      <c r="F138" s="19" t="n">
        <f aca="false">N($D138)+N($E138)</f>
        <v>10000</v>
      </c>
    </row>
    <row r="139" customFormat="false" ht="15.75" hidden="false" customHeight="true" outlineLevel="0" collapsed="false">
      <c r="B139" s="12" t="n">
        <v>43</v>
      </c>
      <c r="C139" s="13" t="s">
        <v>117</v>
      </c>
      <c r="D139" s="14"/>
      <c r="E139" s="14" t="n">
        <v>10000</v>
      </c>
      <c r="F139" s="15" t="n">
        <f aca="false">N($D139)+N($E139)</f>
        <v>10000</v>
      </c>
    </row>
    <row r="140" customFormat="false" ht="15.75" hidden="false" customHeight="true" outlineLevel="0" collapsed="false">
      <c r="B140" s="16" t="n">
        <v>44</v>
      </c>
      <c r="C140" s="17" t="s">
        <v>118</v>
      </c>
      <c r="D140" s="18" t="n">
        <v>6000</v>
      </c>
      <c r="E140" s="18"/>
      <c r="F140" s="19" t="n">
        <f aca="false">N($D140)+N($E140)</f>
        <v>6000</v>
      </c>
    </row>
    <row r="141" customFormat="false" ht="24" hidden="false" customHeight="true" outlineLevel="0" collapsed="false">
      <c r="B141" s="20"/>
      <c r="C141" s="21" t="s">
        <v>6</v>
      </c>
      <c r="D141" s="22" t="n">
        <f aca="false">SUM(D97:D140)</f>
        <v>148042</v>
      </c>
      <c r="E141" s="22" t="n">
        <f aca="false">SUM(E97:E140)</f>
        <v>298821</v>
      </c>
      <c r="F141" s="22" t="n">
        <f aca="false">SUM(F97:F140)</f>
        <v>446863</v>
      </c>
    </row>
    <row r="143" customFormat="false" ht="33.75" hidden="false" customHeight="true" outlineLevel="0" collapsed="false">
      <c r="B143" s="11" t="s">
        <v>119</v>
      </c>
      <c r="C143" s="11"/>
      <c r="D143" s="11"/>
      <c r="E143" s="11"/>
      <c r="F143" s="11"/>
    </row>
  </sheetData>
  <mergeCells count="7">
    <mergeCell ref="B1:F1"/>
    <mergeCell ref="B2:F2"/>
    <mergeCell ref="B4:F4"/>
    <mergeCell ref="B15:F15"/>
    <mergeCell ref="B30:F30"/>
    <mergeCell ref="B95:F95"/>
    <mergeCell ref="B143:F143"/>
  </mergeCells>
  <conditionalFormatting sqref="D10:F1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6E66"/>
    <pageSetUpPr fitToPage="tru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40"/>
    <col collapsed="false" customWidth="true" hidden="false" outlineLevel="0" max="6" min="6" style="0" width="16"/>
  </cols>
  <sheetData>
    <row r="1" customFormat="false" ht="37.5" hidden="false" customHeight="true" outlineLevel="0" collapsed="false">
      <c r="B1" s="1" t="s">
        <v>120</v>
      </c>
      <c r="C1" s="1"/>
      <c r="D1" s="1"/>
      <c r="E1" s="1"/>
      <c r="F1" s="1"/>
    </row>
    <row r="2" customFormat="false" ht="18" hidden="false" customHeight="true" outlineLevel="0" collapsed="false">
      <c r="B2" s="2" t="s">
        <v>121</v>
      </c>
      <c r="C2" s="2"/>
      <c r="D2" s="2"/>
      <c r="E2" s="2"/>
      <c r="F2" s="2"/>
    </row>
    <row r="4" customFormat="false" ht="24" hidden="false" customHeight="true" outlineLevel="0" collapsed="false">
      <c r="B4" s="3" t="s">
        <v>122</v>
      </c>
      <c r="C4" s="3"/>
      <c r="E4" s="3" t="s">
        <v>123</v>
      </c>
      <c r="F4" s="3"/>
    </row>
    <row r="5" customFormat="false" ht="30" hidden="false" customHeight="true" outlineLevel="0" collapsed="false">
      <c r="B5" s="4" t="s">
        <v>124</v>
      </c>
      <c r="C5" s="4" t="s">
        <v>125</v>
      </c>
      <c r="E5" s="4" t="s">
        <v>124</v>
      </c>
      <c r="F5" s="4" t="s">
        <v>125</v>
      </c>
    </row>
    <row r="6" customFormat="false" ht="15" hidden="false" customHeight="false" outlineLevel="0" collapsed="false">
      <c r="B6" s="13" t="s">
        <v>126</v>
      </c>
      <c r="C6" s="23" t="n">
        <v>10000</v>
      </c>
      <c r="E6" s="13" t="s">
        <v>127</v>
      </c>
      <c r="F6" s="23" t="n">
        <v>100</v>
      </c>
    </row>
    <row r="7" customFormat="false" ht="15" hidden="false" customHeight="false" outlineLevel="0" collapsed="false">
      <c r="B7" s="17" t="s">
        <v>128</v>
      </c>
      <c r="C7" s="24" t="n">
        <v>5000</v>
      </c>
      <c r="E7" s="17" t="s">
        <v>129</v>
      </c>
      <c r="F7" s="24" t="n">
        <v>100</v>
      </c>
    </row>
    <row r="8" customFormat="false" ht="15" hidden="false" customHeight="false" outlineLevel="0" collapsed="false">
      <c r="B8" s="13" t="s">
        <v>130</v>
      </c>
      <c r="C8" s="23" t="n">
        <v>5000</v>
      </c>
      <c r="E8" s="13" t="s">
        <v>131</v>
      </c>
      <c r="F8" s="23" t="n">
        <v>200</v>
      </c>
    </row>
    <row r="9" customFormat="false" ht="15" hidden="false" customHeight="false" outlineLevel="0" collapsed="false">
      <c r="B9" s="17" t="s">
        <v>132</v>
      </c>
      <c r="C9" s="24" t="n">
        <v>5000</v>
      </c>
      <c r="E9" s="17" t="s">
        <v>133</v>
      </c>
      <c r="F9" s="24" t="n">
        <v>200</v>
      </c>
    </row>
    <row r="10" customFormat="false" ht="15" hidden="false" customHeight="false" outlineLevel="0" collapsed="false">
      <c r="B10" s="13" t="s">
        <v>134</v>
      </c>
      <c r="C10" s="23" t="n">
        <v>2000</v>
      </c>
      <c r="E10" s="13" t="s">
        <v>135</v>
      </c>
      <c r="F10" s="23" t="n">
        <v>200</v>
      </c>
    </row>
    <row r="11" customFormat="false" ht="15" hidden="false" customHeight="false" outlineLevel="0" collapsed="false">
      <c r="B11" s="17" t="s">
        <v>136</v>
      </c>
      <c r="C11" s="24" t="n">
        <v>2000</v>
      </c>
      <c r="E11" s="17" t="s">
        <v>137</v>
      </c>
      <c r="F11" s="24" t="n">
        <v>500</v>
      </c>
    </row>
  </sheetData>
  <mergeCells count="4">
    <mergeCell ref="B1:F1"/>
    <mergeCell ref="B2:F2"/>
    <mergeCell ref="B4:C4"/>
    <mergeCell ref="E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2026-08-29T18:23:54Z</dcterms:created>
  <dc:creator>openpyxl</dc:creator>
  <dc:description/>
  <dc:language>en-US</dc:language>
  <cp:lastModifiedBy/>
  <dcterms:modified xsi:type="dcterms:W3CDTF">2026-08-29T18:24:04Z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