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1.vml" ContentType="application/vnd.openxmlformats-officedocument.vmlDrawing"/>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vmlDrawing2.vml" ContentType="application/vnd.openxmlformats-officedocument.vmlDrawing"/>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CUEIL" sheetId="1" state="visible" r:id="rId3"/>
    <sheet name="TABLEAU DE BORD" sheetId="2" state="visible" r:id="rId4"/>
    <sheet name="JOURNAL" sheetId="3" state="visible" r:id="rId5"/>
    <sheet name="RECAP JOUR" sheetId="4" state="visible" r:id="rId6"/>
    <sheet name="SUIVI MENSUEL" sheetId="5" state="visible" r:id="rId7"/>
    <sheet name="CHARGES FIXES" sheetId="6" state="visible" r:id="rId8"/>
    <sheet name="SALAIRES" sheetId="7" state="visible" r:id="rId9"/>
    <sheet name="MARGES PRODUITS" sheetId="8" state="visible" r:id="rId10"/>
    <sheet name="ASSOCIÉS" sheetId="9" state="visible" r:id="rId11"/>
    <sheet name="PARAMETRES" sheetId="10" state="visible" r:id="rId12"/>
    <sheet name="ARCHIVE" sheetId="11" state="visible" r:id="rId13"/>
  </sheets>
  <definedNames>
    <definedName function="false" hidden="false" localSheetId="2" name="_xlnm.Print_Area" vbProcedure="false">JOURNAL!$A$1:$J$207</definedName>
    <definedName function="false" hidden="true" localSheetId="2" name="_xlnm._FilterDatabase" vbProcedure="false">JOURNAL!$A$7:$J$1007</definedName>
    <definedName function="false" hidden="false" name="Cat_Depense" vbProcedure="false">PARAMETRES!$G$5:$G$20</definedName>
    <definedName function="false" hidden="false" name="Cat_Recette" vbProcedure="false">PARAMETRES!$E$5:$E$9</definedName>
    <definedName function="false" hidden="false" name="Cat_Toutes" vbProcedure="false">PARAMETRES!$N$5:$N$25</definedName>
    <definedName function="false" hidden="false" name="Liste_Modes" vbProcedure="false">PARAMETRES!$L$5:$L$8</definedName>
    <definedName function="false" hidden="false" name="Liste_Tiers" vbProcedure="false">PARAMETRES!$I$5:$I$35</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7" authorId="0">
      <text>
        <r>
          <rPr>
            <sz val="10"/>
            <rFont val="Arial"/>
            <family val="2"/>
          </rPr>
          <t xml:space="preserve">Numérotation automatique : elle se remplit dès qu’une date est saisie.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C16" authorId="0">
      <text>
        <r>
          <rPr>
            <sz val="10"/>
            <rFont val="Arial"/>
            <family val="2"/>
          </rPr>
          <t xml:space="preserve">Seuil de rentabilité : total du BUDGET mensuel divisé par 30 jours. En dessous de ce chiffre de recette, la journée est déficitaire.</t>
        </r>
      </text>
    </comment>
    <comment ref="C17" authorId="0">
      <text>
        <r>
          <rPr>
            <sz val="10"/>
            <rFont val="Arial"/>
            <family val="2"/>
          </rPr>
          <t xml:space="preserve">Total réellement dépensé ce mois, divisé par le nombre de jours saisis.</t>
        </r>
      </text>
    </comment>
    <comment ref="C18" authorId="0">
      <text>
        <r>
          <rPr>
            <sz val="10"/>
            <rFont val="Arial"/>
            <family val="2"/>
          </rPr>
          <t xml:space="preserve">À comparer au seuil ci-dessus : au-dessus, le café couvre ses charges.</t>
        </r>
      </text>
    </comment>
    <comment ref="C19" authorId="0">
      <text>
        <r>
          <rPr>
            <sz val="10"/>
            <rFont val="Arial"/>
            <family val="2"/>
          </rPr>
          <t xml:space="preserve">Recette moyenne moins le seuil. Négatif = les charges ne sont pas couvertes.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D11" authorId="0">
      <text>
        <r>
          <rPr>
            <sz val="10"/>
            <rFont val="Arial"/>
            <family val="2"/>
          </rPr>
          <t xml:space="preserve">Salaire convenu inconnu : ce nom apparaît dans les paiements d’août 2026 mais ne figurait pas dans la feuille CHARGE de l’ancien classeur. Renseignez le montant pour suivre le reste à verser.</t>
        </r>
      </text>
    </comment>
    <comment ref="D12" authorId="0">
      <text>
        <r>
          <rPr>
            <sz val="10"/>
            <rFont val="Arial"/>
            <family val="2"/>
          </rPr>
          <t xml:space="preserve">Salaire convenu inconnu : ce nom apparaît dans les paiements d’août 2026 mais ne figurait pas dans la feuille CHARGE de l’ancien classeur. Renseignez le montant pour suivre le reste à verser.</t>
        </r>
      </text>
    </comment>
    <comment ref="D13" authorId="0">
      <text>
        <r>
          <rPr>
            <sz val="10"/>
            <rFont val="Arial"/>
            <family val="2"/>
          </rPr>
          <t xml:space="preserve">Salaire convenu inconnu : ce nom apparaît dans les paiements d’août 2026 mais ne figurait pas dans la feuille CHARGE de l’ancien classeur. Renseignez le montant pour suivre le reste à verser.</t>
        </r>
      </text>
    </comment>
    <comment ref="D14" authorId="0">
      <text>
        <r>
          <rPr>
            <sz val="10"/>
            <rFont val="Arial"/>
            <family val="2"/>
          </rPr>
          <t xml:space="preserve">Salaire convenu inconnu : ce nom apparaît dans les paiements d’août 2026 mais ne figurait pas dans la feuille CHARGE de l’ancien classeur. Renseignez le montant pour suivre le reste à verser.</t>
        </r>
      </text>
    </comment>
    <comment ref="D15" authorId="0">
      <text>
        <r>
          <rPr>
            <sz val="10"/>
            <rFont val="Arial"/>
            <family val="2"/>
          </rPr>
          <t xml:space="preserve">Salaire convenu inconnu : ce nom apparaît dans les paiements d’août 2026 mais ne figurait pas dans la feuille CHARGE de l’ancien classeur. Renseignez le montant pour suivre le reste à verser.</t>
        </r>
      </text>
    </comment>
    <comment ref="E19" authorId="0">
      <text>
        <r>
          <rPr>
            <sz val="10"/>
            <rFont val="Arial"/>
            <family val="2"/>
          </rPr>
          <t xml:space="preserve">Si ce montant n est pas nul, c est qu un salaire a ete verse a un nom qui ne figure pas dans le tableau ci-dessus. Ajoutez la personne au tableau pour la suivre correctement.</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C13" authorId="0">
      <text>
        <r>
          <rPr>
            <sz val="10"/>
            <rFont val="Arial"/>
            <family val="2"/>
          </rPr>
          <t xml:space="preserve">Changez ce numéro pour basculer tout le système sur un autre mois : le RÉCAP JOUR et le TABLEAU DE BORD suivent automatiquement.</t>
        </r>
      </text>
    </comment>
    <comment ref="C19" authorId="0">
      <text>
        <r>
          <rPr>
            <sz val="10"/>
            <rFont val="Arial"/>
            <family val="2"/>
          </rPr>
          <t xml:space="preserve">Solde d’espèces en caisse le matin du 1er jour du mois. Repris du classeur d’origine (feuille 01-08-2026, cellule A18 = 0).</t>
        </r>
      </text>
    </comment>
  </commentList>
</comments>
</file>

<file path=xl/sharedStrings.xml><?xml version="1.0" encoding="utf-8"?>
<sst xmlns="http://schemas.openxmlformats.org/spreadsheetml/2006/main" count="1376" uniqueCount="429">
  <si>
    <t xml:space="preserve">SYSTÈME DE GESTION — CAISSE, DÉPENSES, CHARGES ET RÉSULTATS</t>
  </si>
  <si>
    <t xml:space="preserve">LE MOIS EN COURS</t>
  </si>
  <si>
    <t xml:space="preserve">Recette</t>
  </si>
  <si>
    <t xml:space="preserve">Dépenses</t>
  </si>
  <si>
    <t xml:space="preserve">Résultat</t>
  </si>
  <si>
    <t xml:space="preserve">Marge</t>
  </si>
  <si>
    <t xml:space="preserve">Caisse</t>
  </si>
  <si>
    <t xml:space="preserve">Jours saisis</t>
  </si>
  <si>
    <t xml:space="preserve">COMMENT UTILISER CE CLASSEUR — 3 ÉTAPES</t>
  </si>
  <si>
    <t xml:space="preserve">1</t>
  </si>
  <si>
    <t xml:space="preserve">CHAQUE SOIR, APRÈS LA FERMETURE</t>
  </si>
  <si>
    <t xml:space="preserve">Ouvrez la feuille JOURNAL. Sur la première ligne vide : la date du jour, le type RECETTE, la catégorie « Vente Caisse », et le montant compté dans la caisse. Puis une ligne DEPENSE par achat ou paiement de la journée (fournisseur, montant).</t>
  </si>
  <si>
    <t xml:space="preserve">2</t>
  </si>
  <si>
    <t xml:space="preserve">VÉRIFIEZ QUE LA LIGNE EST VERTE</t>
  </si>
  <si>
    <t xml:space="preserve">La dernière colonne du JOURNAL affiche OK en vert quand la ligne est complète. Si elle affiche « Catégorie ? » ou « Montant ? », corrigez avant de passer à la suite.</t>
  </si>
  <si>
    <t xml:space="preserve">3</t>
  </si>
  <si>
    <t xml:space="preserve">REGARDEZ LE TABLEAU DE BORD</t>
  </si>
  <si>
    <t xml:space="preserve">Tout est déjà calculé : recette du mois, dépenses, résultat, marge, caisse, graphiques. Vous n’avez jamais à recopier un chiffre d’une feuille à l’autre.</t>
  </si>
  <si>
    <t xml:space="preserve">LES FEUILLES DU CLASSEUR</t>
  </si>
  <si>
    <t xml:space="preserve">FEUILLE</t>
  </si>
  <si>
    <t xml:space="preserve">À QUOI ELLE SERT</t>
  </si>
  <si>
    <t xml:space="preserve">SAISIE ?</t>
  </si>
  <si>
    <t xml:space="preserve">ACCUEIL</t>
  </si>
  <si>
    <t xml:space="preserve">Cette page : mode d’emploi et chiffres du mois.</t>
  </si>
  <si>
    <t xml:space="preserve">Non</t>
  </si>
  <si>
    <t xml:space="preserve">PARAMETRES</t>
  </si>
  <si>
    <t xml:space="preserve">Nom du commerce, mois analysé, caisse de départ, listes de fournisseurs et de catégories.</t>
  </si>
  <si>
    <t xml:space="preserve">Oui</t>
  </si>
  <si>
    <t xml:space="preserve">JOURNAL</t>
  </si>
  <si>
    <t xml:space="preserve">Le cœur du système : une ligne par opération, recette ou dépense. C’est la seule feuille à remplir tous les jours.</t>
  </si>
  <si>
    <t xml:space="preserve">RECAP JOUR</t>
  </si>
  <si>
    <t xml:space="preserve">Le mois jour par jour : recette, dépenses par type, résultat, caisse cumulée.</t>
  </si>
  <si>
    <t xml:space="preserve">TABLEAU DE BORD</t>
  </si>
  <si>
    <t xml:space="preserve">La photo du mois : indicateurs et graphiques.</t>
  </si>
  <si>
    <t xml:space="preserve">SUIVI MENSUEL</t>
  </si>
  <si>
    <t xml:space="preserve">Mois par mois, 2025 et 2026, pour voir les tendances.</t>
  </si>
  <si>
    <t xml:space="preserve">CHARGES FIXES</t>
  </si>
  <si>
    <t xml:space="preserve">Budget mensuel par poste comparé au réalisé, et coût de fonctionnement par jour.</t>
  </si>
  <si>
    <t xml:space="preserve">Budget</t>
  </si>
  <si>
    <t xml:space="preserve">SALAIRES</t>
  </si>
  <si>
    <t xml:space="preserve">Le personnel, le salaire convenu et ce qui a été versé dans le mois.</t>
  </si>
  <si>
    <t xml:space="preserve">Salaires</t>
  </si>
  <si>
    <t xml:space="preserve">MARGES PRODUITS</t>
  </si>
  <si>
    <t xml:space="preserve">Ce que rapporte chaque boisson une fois le coût matière déduit.</t>
  </si>
  <si>
    <t xml:space="preserve">Couts</t>
  </si>
  <si>
    <t xml:space="preserve">ASSOCIÉS</t>
  </si>
  <si>
    <t xml:space="preserve">Apports de Hamid et Mouhssine : achat du fonds et aménagement du café.</t>
  </si>
  <si>
    <t xml:space="preserve">ARCHIVE</t>
  </si>
  <si>
    <t xml:space="preserve">Données de l’ancien classeur sans rapport avec le café, conservées pour mémoire.</t>
  </si>
  <si>
    <t xml:space="preserve">CE QUI A ÉTÉ REPRIS DE L’ANCIEN CLASSEUR</t>
  </si>
  <si>
    <t xml:space="preserve">27 journées d’août 2026</t>
  </si>
  <si>
    <t xml:space="preserve">145 opérations transférées dans le JOURNAL</t>
  </si>
  <si>
    <t xml:space="preserve">54 937 DH de recettes et 50 714 DH de dépenses — identiques à la feuille SUIVI d’origine.</t>
  </si>
  <si>
    <t xml:space="preserve">Historique mensuel 2025</t>
  </si>
  <si>
    <t xml:space="preserve">10 mois de recettes et d’achats</t>
  </si>
  <si>
    <t xml:space="preserve">Repris dans SUIVI MENSUEL depuis la feuille Feuil1.</t>
  </si>
  <si>
    <t xml:space="preserve">Charges fixes et salaires</t>
  </si>
  <si>
    <t xml:space="preserve">9 postes de charges, 11 personnes</t>
  </si>
  <si>
    <t xml:space="preserve">Repris dans CHARGES FIXES et SALAIRES depuis la feuille CHARGE.</t>
  </si>
  <si>
    <t xml:space="preserve">Comptes des associés</t>
  </si>
  <si>
    <t xml:space="preserve">105 lignes d’apports</t>
  </si>
  <si>
    <t xml:space="preserve">Reprises dans ASSOCIÉS depuis la feuille DEPENSE_CAFE, sans modification.</t>
  </si>
  <si>
    <t xml:space="preserve">Prix de vente</t>
  </si>
  <si>
    <t xml:space="preserve">4 produits</t>
  </si>
  <si>
    <t xml:space="preserve">Repris dans MARGES PRODUITS depuis la feuille CHARGE.</t>
  </si>
  <si>
    <t xml:space="preserve">Différence avec l’ancien classeur : il fallait auparavant créer une feuille par jour et recopier les totaux à la main dans la feuille SUIVI. Ici, une seule feuille se remplit (JOURNAL) et les 31 jours du mois, le tableau de bord, le suivi mensuel et les charges se calculent seuls. Pour changer de mois, il suffit de modifier le numéro du mois dans PARAMÈTRES — rien d’autre.</t>
  </si>
  <si>
    <t xml:space="preserve">Photo du mois en cours. Tout se met à jour dès que vous saisissez dans le JOURNAL.</t>
  </si>
  <si>
    <t xml:space="preserve">RECETTE DU MOIS</t>
  </si>
  <si>
    <t xml:space="preserve">DÉPENSES DU MOIS</t>
  </si>
  <si>
    <t xml:space="preserve">RÉSULTAT NET</t>
  </si>
  <si>
    <t xml:space="preserve">MARGE NETTE</t>
  </si>
  <si>
    <t xml:space="preserve">Total encaissé ce mois</t>
  </si>
  <si>
    <t xml:space="preserve">Achats, salaires, charges, virements</t>
  </si>
  <si>
    <t xml:space="preserve">Recette moins dépenses</t>
  </si>
  <si>
    <t xml:space="preserve">Part de la recette qui reste</t>
  </si>
  <si>
    <t xml:space="preserve">RECETTE MOYENNE / JOUR</t>
  </si>
  <si>
    <t xml:space="preserve">MEILLEURE JOURNÉE</t>
  </si>
  <si>
    <t xml:space="preserve">CAISSE EN FIN DE MOIS</t>
  </si>
  <si>
    <t xml:space="preserve">JOURS SAISIS</t>
  </si>
  <si>
    <t xml:space="preserve">Sur les jours réellement travaillés</t>
  </si>
  <si>
    <t xml:space="preserve">Recette la plus haute du mois</t>
  </si>
  <si>
    <t xml:space="preserve">Solde théorique d'espèces</t>
  </si>
  <si>
    <t xml:space="preserve">Jours avec une recette enregistrée</t>
  </si>
  <si>
    <t xml:space="preserve">ÉVOLUTION DU MOIS</t>
  </si>
  <si>
    <t xml:space="preserve">ANALYSE DES DÉPENSES</t>
  </si>
  <si>
    <t xml:space="preserve">DÉPENSES PAR CATÉGORIE</t>
  </si>
  <si>
    <t xml:space="preserve">PRINCIPAUX FOURNISSEURS</t>
  </si>
  <si>
    <t xml:space="preserve">CATÉGORIE</t>
  </si>
  <si>
    <t xml:space="preserve">MONTANT</t>
  </si>
  <si>
    <t xml:space="preserve">PART</t>
  </si>
  <si>
    <t xml:space="preserve">PAR JOUR</t>
  </si>
  <si>
    <t xml:space="preserve">FOURNISSEUR</t>
  </si>
  <si>
    <t xml:space="preserve">NB ACHATS</t>
  </si>
  <si>
    <t xml:space="preserve">Boissons</t>
  </si>
  <si>
    <t xml:space="preserve">BIM</t>
  </si>
  <si>
    <t xml:space="preserve">Café &amp; Torréfaction</t>
  </si>
  <si>
    <t xml:space="preserve">TAXE NADAFA 2026</t>
  </si>
  <si>
    <t xml:space="preserve">Boulangerie</t>
  </si>
  <si>
    <t xml:space="preserve">AIN SAISS</t>
  </si>
  <si>
    <t xml:space="preserve">Fruits &amp; Légumes</t>
  </si>
  <si>
    <t xml:space="preserve">NADAFA</t>
  </si>
  <si>
    <t xml:space="preserve">Épicerie &amp; Divers</t>
  </si>
  <si>
    <t xml:space="preserve">CAFE</t>
  </si>
  <si>
    <t xml:space="preserve">Nettoyage</t>
  </si>
  <si>
    <t xml:space="preserve">EAU + ELECTRICITE</t>
  </si>
  <si>
    <t xml:space="preserve">ORANGE</t>
  </si>
  <si>
    <t xml:space="preserve">Loyer</t>
  </si>
  <si>
    <t xml:space="preserve">BOULANGERIE</t>
  </si>
  <si>
    <t xml:space="preserve">Eau &amp; Électricité</t>
  </si>
  <si>
    <t xml:space="preserve">COCA</t>
  </si>
  <si>
    <t xml:space="preserve">Internet &amp; Télécom</t>
  </si>
  <si>
    <t xml:space="preserve">MECAFE</t>
  </si>
  <si>
    <t xml:space="preserve">Taxes &amp; Impôts</t>
  </si>
  <si>
    <t xml:space="preserve">OULMES</t>
  </si>
  <si>
    <t xml:space="preserve">Abonnements</t>
  </si>
  <si>
    <t xml:space="preserve">FRUITS</t>
  </si>
  <si>
    <t xml:space="preserve">Entretien &amp; Réparation</t>
  </si>
  <si>
    <t xml:space="preserve">Virement Banque</t>
  </si>
  <si>
    <t xml:space="preserve">Virement Associés</t>
  </si>
  <si>
    <t xml:space="preserve">Divers</t>
  </si>
  <si>
    <t xml:space="preserve">TOTAL DÉPENSES</t>
  </si>
  <si>
    <t xml:space="preserve">Les deux tableaux ci-dessus alimentent les graphiques et se recalculent sur le mois choisi dans PARAMÈTRES. L’ordre des fournisseurs a été figé sur le poids constaté en août 2026 (données reprises de l’ancien classeur) ; les montants, eux, suivent toujours le mois en cours.</t>
  </si>
  <si>
    <t xml:space="preserve">JOURNAL DES OPÉRATIONS</t>
  </si>
  <si>
    <t xml:space="preserve">Toute la vie du café se saisit ici, une ligne par opération. Le reste du classeur se met à jour tout seul.</t>
  </si>
  <si>
    <t xml:space="preserve">COMMENT SAISIR  ▸  1. Tapez la DATE  ▸  2. Choisissez RECETTE ou DEPENSE  ▸  3. Choisissez la CATÉGORIE et le FOURNISSEUR dans la liste  ▸  4. Tapez le MONTANT en DH.   La colonne CONTRÔLE passe au vert quand la ligne est complète.</t>
  </si>
  <si>
    <t xml:space="preserve">Lignes saisies</t>
  </si>
  <si>
    <t xml:space="preserve">Total recettes</t>
  </si>
  <si>
    <t xml:space="preserve">Total dépenses</t>
  </si>
  <si>
    <t xml:space="preserve">N°</t>
  </si>
  <si>
    <t xml:space="preserve">DATE</t>
  </si>
  <si>
    <t xml:space="preserve">CLE MOIS</t>
  </si>
  <si>
    <t xml:space="preserve">TYPE</t>
  </si>
  <si>
    <t xml:space="preserve">FOURNISSEUR /
BÉNÉFICIAIRE</t>
  </si>
  <si>
    <t xml:space="preserve">DESCRIPTION</t>
  </si>
  <si>
    <t xml:space="preserve">MONTANT (DH)</t>
  </si>
  <si>
    <t xml:space="preserve">MODE</t>
  </si>
  <si>
    <t xml:space="preserve">CONTROLE</t>
  </si>
  <si>
    <t xml:space="preserve">RECETTE</t>
  </si>
  <si>
    <t xml:space="preserve">Vente Caisse</t>
  </si>
  <si>
    <t xml:space="preserve">CLIENT</t>
  </si>
  <si>
    <t xml:space="preserve">Recette caisse du jour</t>
  </si>
  <si>
    <t xml:space="preserve">Espèce</t>
  </si>
  <si>
    <t xml:space="preserve">DEPENSE</t>
  </si>
  <si>
    <t xml:space="preserve">Achat du jour</t>
  </si>
  <si>
    <t xml:space="preserve">BAR MEN</t>
  </si>
  <si>
    <t xml:space="preserve">Salaire / avance</t>
  </si>
  <si>
    <t xml:space="preserve">BAR MEN ALI</t>
  </si>
  <si>
    <t xml:space="preserve">FATIMA</t>
  </si>
  <si>
    <t xml:space="preserve">LAHCEN</t>
  </si>
  <si>
    <t xml:space="preserve">ABDELLAH</t>
  </si>
  <si>
    <t xml:space="preserve">CITRIN</t>
  </si>
  <si>
    <t xml:space="preserve">Charge fixe</t>
  </si>
  <si>
    <t xml:space="preserve">KHLII</t>
  </si>
  <si>
    <t xml:space="preserve">AVANCE LOYER</t>
  </si>
  <si>
    <t xml:space="preserve">Virement</t>
  </si>
  <si>
    <t xml:space="preserve">RÉCAP JOURNALIER DU MOIS</t>
  </si>
  <si>
    <t xml:space="preserve">Calculé automatiquement depuis le JOURNAL. Aucune saisie ici. Changez le mois dans PARAMÈTRES pour changer la période.</t>
  </si>
  <si>
    <t xml:space="preserve">JOUR</t>
  </si>
  <si>
    <t xml:space="preserve">RECETTE
CAISSE</t>
  </si>
  <si>
    <t xml:space="preserve">GLOVO
ESPECE</t>
  </si>
  <si>
    <t xml:space="preserve">GLOVO
CARTE</t>
  </si>
  <si>
    <t xml:space="preserve">TOTAL
RECETTE</t>
  </si>
  <si>
    <t xml:space="preserve">ACHATS</t>
  </si>
  <si>
    <t xml:space="preserve">NETTOYAGE</t>
  </si>
  <si>
    <t xml:space="preserve">CHARGES
FIXES</t>
  </si>
  <si>
    <t xml:space="preserve">VIREMENTS</t>
  </si>
  <si>
    <t xml:space="preserve">AUTRES</t>
  </si>
  <si>
    <t xml:space="preserve">TOTAL
DÉPENSES</t>
  </si>
  <si>
    <t xml:space="preserve">RÉSULTAT
DU JOUR</t>
  </si>
  <si>
    <t xml:space="preserve">CAISSE
CUMULÉE</t>
  </si>
  <si>
    <t xml:space="preserve">vs OBJ.</t>
  </si>
  <si>
    <t xml:space="preserve">TOTAL DU MOIS</t>
  </si>
  <si>
    <t xml:space="preserve">RATIO DÉPENSE / RECETTE</t>
  </si>
  <si>
    <t xml:space="preserve">Lecture : « AUTRES » regroupe les dépenses dont la catégorie ne rentre dans aucun groupe ci-dessus ; si cette colonne n’est pas vide, vérifiez la catégorie des lignes concernées dans le JOURNAL. « CAISSE CUMULÉE » part du solde saisi dans PARAMÈTRES (caisse au 1er du mois) et ajoute chaque jour le résultat. Les lignes grisées sont les samedis et dimanches.</t>
  </si>
  <si>
    <t xml:space="preserve">Comparaison mois par mois. 2025 = historique repris de l’ancien classeur, 2026 = calculé automatiquement depuis le JOURNAL.</t>
  </si>
  <si>
    <t xml:space="preserve">MOIS</t>
  </si>
  <si>
    <t xml:space="preserve">ACHATS
MARCHANDISE</t>
  </si>
  <si>
    <t xml:space="preserve">% ACHATS</t>
  </si>
  <si>
    <t xml:space="preserve">RESULTAT</t>
  </si>
  <si>
    <t xml:space="preserve">MARGE</t>
  </si>
  <si>
    <t xml:space="preserve">RECETTE
MOY./JOUR</t>
  </si>
  <si>
    <t xml:space="preserve">n.d.</t>
  </si>
  <si>
    <t xml:space="preserve">TOTAL 2025</t>
  </si>
  <si>
    <t xml:space="preserve">TOTAL 2026</t>
  </si>
  <si>
    <t xml:space="preserve">« n.d. » = non disponible : l’ancien classeur (feuille Feuil1) ne suivait en 2025 que la recette et les achats de marchandise, pas les salaires ni les charges fixes. La colonne « % ACHATS » reste donc la seule comparable entre 2025 et 2026. À partir de 2026, toutes les colonnes se remplissent seules dès que vous saisissez dans le JOURNAL.</t>
  </si>
  <si>
    <t xml:space="preserve">CHARGES FIXES ET ABONNEMENTS</t>
  </si>
  <si>
    <t xml:space="preserve">Budget mensuel (à vous de le fixer) comparé au réalisé calculé depuis le JOURNAL.</t>
  </si>
  <si>
    <t xml:space="preserve">ABONNEMENTS ANNUELS</t>
  </si>
  <si>
    <t xml:space="preserve">POSTE</t>
  </si>
  <si>
    <t xml:space="preserve">BUDGET / MOIS</t>
  </si>
  <si>
    <t xml:space="preserve">RÉALISÉ DU MOIS</t>
  </si>
  <si>
    <t xml:space="preserve">ÉCART</t>
  </si>
  <si>
    <t xml:space="preserve">ÉTAT</t>
  </si>
  <si>
    <t xml:space="preserve">ABONNEMENT</t>
  </si>
  <si>
    <t xml:space="preserve">BEIN SPORT</t>
  </si>
  <si>
    <t xml:space="preserve">Eau + Électricité</t>
  </si>
  <si>
    <t xml:space="preserve">REMO</t>
  </si>
  <si>
    <t xml:space="preserve">Internet &amp; télécom</t>
  </si>
  <si>
    <t xml:space="preserve">NEGOZAR</t>
  </si>
  <si>
    <t xml:space="preserve">Achats marchandise (café, eau, épicerie)</t>
  </si>
  <si>
    <t xml:space="preserve">BEIN CAN 2025</t>
  </si>
  <si>
    <t xml:space="preserve">Nettoyage (NADAFA)</t>
  </si>
  <si>
    <t xml:space="preserve">CAFE DUBOIS</t>
  </si>
  <si>
    <t xml:space="preserve">Salaires du personnel</t>
  </si>
  <si>
    <t xml:space="preserve">TOTAL</t>
  </si>
  <si>
    <t xml:space="preserve">Taxes et impôts</t>
  </si>
  <si>
    <t xml:space="preserve">Abonnements (Bein, Remo…)</t>
  </si>
  <si>
    <t xml:space="preserve">Repris de la feuille Feuil2 de l’ancien classeur (total 5 735 DH).</t>
  </si>
  <si>
    <t xml:space="preserve">Entretien et réparation</t>
  </si>
  <si>
    <t xml:space="preserve">TOTAL CHARGES DU MOIS</t>
  </si>
  <si>
    <t xml:space="preserve">Recette minimum / jour pour couvrir les charges (seuil)</t>
  </si>
  <si>
    <t xml:space="preserve">Dépenses réelles par jour, ce mois</t>
  </si>
  <si>
    <t xml:space="preserve">Recette moyenne par jour, ce mois</t>
  </si>
  <si>
    <t xml:space="preserve">Marge de sécurité par jour</t>
  </si>
  <si>
    <t xml:space="preserve">Les budgets en jaune viennent de la feuille CHARGE de l’ancien classeur (colonne « CHARGE FIXE » de droite, total 75 000 DH par mois, associés compris). Ajustez-les librement : le réalisé, lui, est toujours calculé depuis le JOURNAL sur le mois choisi dans PARAMÈTRES.</t>
  </si>
  <si>
    <t xml:space="preserve">PERSONNEL ET SALAIRES</t>
  </si>
  <si>
    <t xml:space="preserve">Salaire convenu par personne, contre ce qui a réellement été versé ce mois-ci.</t>
  </si>
  <si>
    <t xml:space="preserve">EMPLOYÉ</t>
  </si>
  <si>
    <t xml:space="preserve">SALAIRE CONVENU</t>
  </si>
  <si>
    <t xml:space="preserve">VERSÉ CE MOIS</t>
  </si>
  <si>
    <t xml:space="preserve">RESTE À VERSER</t>
  </si>
  <si>
    <t xml:space="preserve">NB VERSEMENTS</t>
  </si>
  <si>
    <t xml:space="preserve">ALI</t>
  </si>
  <si>
    <t xml:space="preserve">Barman</t>
  </si>
  <si>
    <t xml:space="preserve">LATIFA 1</t>
  </si>
  <si>
    <t xml:space="preserve">Service</t>
  </si>
  <si>
    <t xml:space="preserve">LATIFA 2</t>
  </si>
  <si>
    <t xml:space="preserve">Serveur</t>
  </si>
  <si>
    <t xml:space="preserve">HAMZA</t>
  </si>
  <si>
    <t xml:space="preserve">AHMED</t>
  </si>
  <si>
    <t xml:space="preserve">Gérant</t>
  </si>
  <si>
    <t xml:space="preserve">MARWA</t>
  </si>
  <si>
    <t xml:space="preserve">TOTAL PERSONNEL</t>
  </si>
  <si>
    <t xml:space="preserve">Total versé en salaires ce mois (toutes personnes)</t>
  </si>
  <si>
    <t xml:space="preserve">Dont versements à des personnes hors de la liste ci-dessus</t>
  </si>
  <si>
    <t xml:space="preserve">Salaires convenus repris de la feuille CHARGE de l’ancien classeur. La colonne « VERSÉ CE MOIS » additionne toutes les lignes du JOURNAL de catégorie « Salaires » au nom de la personne : elle inclut donc les avances. Les noms BAR MEN, BAR MEN ALI, FATIMA, LAHCEN et MARWA ont été ajoutés au tableau car ils apparaissent dans les paiements d’août 2026, mais leur salaire convenu ne figurait nulle part dans l’ancien classeur : renseignez-le dans les cellules jaunes vides, sans quoi le « reste à verser » ne peut pas être calculé et s’affiche « — ».</t>
  </si>
  <si>
    <t xml:space="preserve">MARGES PAR PRODUIT</t>
  </si>
  <si>
    <t xml:space="preserve">Ce que rapporte chaque boisson. Remplissez le coût matière en jaune pour obtenir la marge réelle.</t>
  </si>
  <si>
    <t xml:space="preserve">PRODUIT</t>
  </si>
  <si>
    <t xml:space="preserve">PRIX DE VENTE</t>
  </si>
  <si>
    <t xml:space="preserve">COÛT MATIÈRE</t>
  </si>
  <si>
    <t xml:space="preserve">MARGE UNITAIRE</t>
  </si>
  <si>
    <t xml:space="preserve">MARGE %</t>
  </si>
  <si>
    <t xml:space="preserve">QTÉ / JOUR</t>
  </si>
  <si>
    <t xml:space="preserve">CA / JOUR</t>
  </si>
  <si>
    <t xml:space="preserve">MARGE / JOUR</t>
  </si>
  <si>
    <t xml:space="preserve">Café Noir</t>
  </si>
  <si>
    <t xml:space="preserve">Café Crème</t>
  </si>
  <si>
    <t xml:space="preserve">Petit Déjeuner</t>
  </si>
  <si>
    <t xml:space="preserve">Thé</t>
  </si>
  <si>
    <t xml:space="preserve">CA théorique du mois (30 jours)</t>
  </si>
  <si>
    <t xml:space="preserve">Recette réellement encaissée ce mois</t>
  </si>
  <si>
    <t xml:space="preserve">Écart théorique / réel</t>
  </si>
  <si>
    <t xml:space="preserve">Prix de vente et quantités journalières repris de la feuille CHARGE de l’ancien classeur (café noir 13 DH × 100, crème 13 DH × 20, petit-déjeuner 20 DH × 8, thé 12 DH × 10). La colonne COÛT MATIÈRE est volontairement vide : renseignez-la (prix de revient d’une tasse) pour que la marge se calcule ; tant qu’elle est vide, les colonnes de marge affichent « — ».</t>
  </si>
  <si>
    <t xml:space="preserve">COMPTES DES ASSOCIÉS</t>
  </si>
  <si>
    <t xml:space="preserve">Apports de chaque associé : achat du fonds de commerce et aménagement du café. Historique repris de la feuille DEPENSE_CAFE.</t>
  </si>
  <si>
    <t xml:space="preserve">SYNTHÈSE</t>
  </si>
  <si>
    <t xml:space="preserve">HAMID</t>
  </si>
  <si>
    <t xml:space="preserve">MOUHSSINE</t>
  </si>
  <si>
    <t xml:space="preserve">Achat du fonds de commerce (Saadaoui)</t>
  </si>
  <si>
    <t xml:space="preserve">Aménagement du Café Victor Hugo</t>
  </si>
  <si>
    <t xml:space="preserve">TOTAL APPORTÉ PAR ASSOCIÉ</t>
  </si>
  <si>
    <t xml:space="preserve">Part théorique due sur le fonds (795 000 DH / 2)</t>
  </si>
  <si>
    <t xml:space="preserve">Reste à payer sur le fonds  (+ = doit,  - = a trop versé)</t>
  </si>
  <si>
    <t xml:space="preserve">Écart sur le fonds seul (Hamid - Mouhssine)</t>
  </si>
  <si>
    <t xml:space="preserve">Écart sur l’aménagement seul (Hamid - Mouhssine)</t>
  </si>
  <si>
    <t xml:space="preserve">ÉCART TOTAL ENTRE LES DEUX ASSOCIÉS</t>
  </si>
  <si>
    <t xml:space="preserve">Lecture : un « reste à payer » négatif signifie que l’associé a versé plus que sa part. Au dernier pointage de l’ancien classeur, Hamid avait versé 238 DH de trop et Mouhssine 7 200 DH de trop sur l’achat du fonds, soit 6 962 DH d’écart entre eux. Sur l’aménagement du café, Mouhssine a apporté 150 779 DH de plus que Hamid, ce qui porte l’écart cumulé à 157 741 DH.</t>
  </si>
  <si>
    <t xml:space="preserve">DÉTAIL — ACHAT DU FONDS DE COMMERCE (SAADAOUI, 795 000 DH)</t>
  </si>
  <si>
    <t xml:space="preserve">OPÉRATION</t>
  </si>
  <si>
    <t xml:space="preserve">ESPECE(HAMID:10000/MH:90000) HOURI</t>
  </si>
  <si>
    <t xml:space="preserve">ESPECE</t>
  </si>
  <si>
    <t xml:space="preserve">VIREMENT 1</t>
  </si>
  <si>
    <t xml:space="preserve">VIREMENT 2</t>
  </si>
  <si>
    <t xml:space="preserve">cheque ahmed</t>
  </si>
  <si>
    <t xml:space="preserve">LOYER NOVEMBRE</t>
  </si>
  <si>
    <t xml:space="preserve">NOTAIRE</t>
  </si>
  <si>
    <t xml:space="preserve">CHEQUE</t>
  </si>
  <si>
    <t xml:space="preserve">ESPECE  RADIATION SAADAOUI</t>
  </si>
  <si>
    <t xml:space="preserve">ESPECE LE 15/06/24</t>
  </si>
  <si>
    <t xml:space="preserve">EAU+ELEC</t>
  </si>
  <si>
    <t xml:space="preserve">ESPECE berkane</t>
  </si>
  <si>
    <t xml:space="preserve">CHEQUE HAMID(VIREMENT MOUHSSINE)</t>
  </si>
  <si>
    <t xml:space="preserve">43TAXE LE 22/02/2024-DEBIT BOISSON</t>
  </si>
  <si>
    <t xml:space="preserve">TAPISSIER CHAISE</t>
  </si>
  <si>
    <t xml:space="preserve">credit Paradise à12/07/2024</t>
  </si>
  <si>
    <t xml:space="preserve">ESPECE LE 15/07/24-ateliersaadaoui-</t>
  </si>
  <si>
    <t xml:space="preserve">ESPECE LE (BL PARADISE zenata)</t>
  </si>
  <si>
    <t xml:space="preserve">ESPECE LE 19/07/24-(BL PARADISE zenata)</t>
  </si>
  <si>
    <t xml:space="preserve">ESPECE LE 22/07/24-ateliersaadaoui-</t>
  </si>
  <si>
    <t xml:space="preserve">ESPECE LE 31/07/24-(BL PARADISE zenata)</t>
  </si>
  <si>
    <t xml:space="preserve">ESPECE LE 03/08/24-LABORATOIRE 17-</t>
  </si>
  <si>
    <t xml:space="preserve">ESPECE LE 08/08/24-(BL PARADISE zenata)</t>
  </si>
  <si>
    <t xml:space="preserve">ESPECE LE 29/08/24-(BL PARADISE zenata)</t>
  </si>
  <si>
    <t xml:space="preserve">ESPECE LE 30/08/24-(BL PARADISE zenata)</t>
  </si>
  <si>
    <t xml:space="preserve">ESPECE LE 05/09/24-(BL PARADISE zenata)</t>
  </si>
  <si>
    <t xml:space="preserve">ESPECE LE 06/09/24-(BL PARADISE zenata)</t>
  </si>
  <si>
    <t xml:space="preserve">ESPECE LE 10/09/24-(BL PARADISE zenata)</t>
  </si>
  <si>
    <t xml:space="preserve">ESPECE LE 08/10/24-(BL PARADISE zenata)</t>
  </si>
  <si>
    <t xml:space="preserve">CHEQUE LE 08/10/24-(HAMID)</t>
  </si>
  <si>
    <t xml:space="preserve">ESPECE LE 12/10/24-(BL PARADISE zenata)</t>
  </si>
  <si>
    <t xml:space="preserve">ESPECE LE 14/10/24-(BL PARADISE zenata)</t>
  </si>
  <si>
    <t xml:space="preserve">ESPECE LE 28/10/24-(BL PARADISE zenata)</t>
  </si>
  <si>
    <t xml:space="preserve">ESPECE LE 06/11/24-(BL PARADISE zenata)</t>
  </si>
  <si>
    <t xml:space="preserve">ESPECE LE 11/11/24-(BL PARADISE zenata)</t>
  </si>
  <si>
    <t xml:space="preserve">ESPECE LE 14/11/24-(BL PARADISE zenata)</t>
  </si>
  <si>
    <t xml:space="preserve">ESPECE LE 19/11/24-(BL PARADISE )</t>
  </si>
  <si>
    <t xml:space="preserve">ESPECE LE 21/11/24-(BL PARADISE )</t>
  </si>
  <si>
    <t xml:space="preserve">ESPECE 30/11/2024</t>
  </si>
  <si>
    <t xml:space="preserve">ESPECE LE 04/12/24-(BL PARADISE )</t>
  </si>
  <si>
    <t xml:space="preserve">ESPECE LE 05/12/24-(BL PARADISE )</t>
  </si>
  <si>
    <t xml:space="preserve">ESPECE LE 10/12/24-(BL PARADISE )</t>
  </si>
  <si>
    <t xml:space="preserve">ESPECE LE 24/12/24-(BL PARADISE )</t>
  </si>
  <si>
    <t xml:space="preserve">ESPECE LE 30/12/24-(BL PARADISE )</t>
  </si>
  <si>
    <t xml:space="preserve">ESPECE LE 31/12/24-(BL PARADISE )</t>
  </si>
  <si>
    <t xml:space="preserve">ESPECE LE 03/01/25</t>
  </si>
  <si>
    <t xml:space="preserve">ESPECE LE 11/01/25-(BL PARADISE )</t>
  </si>
  <si>
    <t xml:space="preserve">ESPECE LE 15/01/25-(BL PARADISE )</t>
  </si>
  <si>
    <t xml:space="preserve">ESPECE LE 16/01/25-(BL PARADISE )</t>
  </si>
  <si>
    <t xml:space="preserve">ESPECE LE 17/01/25-(BL PARADISE )</t>
  </si>
  <si>
    <t xml:space="preserve">ESPECE LE 28/01/25-(BL PARADISE )</t>
  </si>
  <si>
    <t xml:space="preserve">ESPECE STATION AFRIQUIA 17</t>
  </si>
  <si>
    <t xml:space="preserve">ESPECE LE 04/02/25-(BL PARADISE )</t>
  </si>
  <si>
    <t xml:space="preserve">ESPECE LE 19/02/25-(BL PARADISE )</t>
  </si>
  <si>
    <t xml:space="preserve">ESPECE LE 07/03/25-(BL PARADISE )</t>
  </si>
  <si>
    <t xml:space="preserve">ESPECE LE 13/03/25 atelier 17</t>
  </si>
  <si>
    <t xml:space="preserve">ESPECE LE 07/04/25-(BL PARADISE )</t>
  </si>
  <si>
    <t xml:space="preserve">ESPECE LE 18/04/25-(CAFE VICTOR )</t>
  </si>
  <si>
    <t xml:space="preserve">DÉTAIL — AMÉNAGEMENT ET ÉQUIPEMENT DU CAFÉ VICTOR HUGO</t>
  </si>
  <si>
    <t xml:space="preserve">ACHAT STOCK</t>
  </si>
  <si>
    <t xml:space="preserve">SARF</t>
  </si>
  <si>
    <t xml:space="preserve">FRIGO ASTORIA</t>
  </si>
  <si>
    <t xml:space="preserve">MACHINE ASTORIA</t>
  </si>
  <si>
    <t xml:space="preserve">CONGELATEUR ASWAK SALAM</t>
  </si>
  <si>
    <t xml:space="preserve">Travaux Eléctricien</t>
  </si>
  <si>
    <t xml:space="preserve">ACHAT TV</t>
  </si>
  <si>
    <t xml:space="preserve">HABILLAGE MURE 12000 DH</t>
  </si>
  <si>
    <t xml:space="preserve">HABILLAGE DERIERE COMPTOIRE 2300DH</t>
  </si>
  <si>
    <t xml:space="preserve">SUPPORT INOX</t>
  </si>
  <si>
    <t xml:space="preserve">Travaux Eléctricien SUPPLIMENT</t>
  </si>
  <si>
    <t xml:space="preserve">LOYER decembre</t>
  </si>
  <si>
    <t xml:space="preserve">HABILLAGE COMPTOIRE+ENSIGNE</t>
  </si>
  <si>
    <t xml:space="preserve">achat 7 pots</t>
  </si>
  <si>
    <t xml:space="preserve">achat diffuseur</t>
  </si>
  <si>
    <t xml:space="preserve">POSE ALUMINIUM</t>
  </si>
  <si>
    <t xml:space="preserve">achat SANITAIRE</t>
  </si>
  <si>
    <t xml:space="preserve">REMPLISSAGE 7 pots</t>
  </si>
  <si>
    <t xml:space="preserve">BACHE TERRASSE+CASQUETTE</t>
  </si>
  <si>
    <t xml:space="preserve">ACHAT PEINTREUR</t>
  </si>
  <si>
    <t xml:space="preserve">MAIN D ŒUVRE PEINTRE</t>
  </si>
  <si>
    <t xml:space="preserve">MACHINE ASTORIA(CHEQUE)</t>
  </si>
  <si>
    <t xml:space="preserve">PAYE AUTORISATION CAFE</t>
  </si>
  <si>
    <t xml:space="preserve">AVANCE SALAIRE AHMED</t>
  </si>
  <si>
    <t xml:space="preserve">REPARATION TV 85</t>
  </si>
  <si>
    <t xml:space="preserve">MACHINE GLACE</t>
  </si>
  <si>
    <t xml:space="preserve">LAMPE BRICOMA</t>
  </si>
  <si>
    <t xml:space="preserve">CHARGEUR PARFUM</t>
  </si>
  <si>
    <t xml:space="preserve">telephone+tablette</t>
  </si>
  <si>
    <t xml:space="preserve">placard</t>
  </si>
  <si>
    <t xml:space="preserve">Jama3a taxe terrasse 11/02/2025</t>
  </si>
  <si>
    <t xml:space="preserve">Verre terrasse 13/05/2025</t>
  </si>
  <si>
    <t xml:space="preserve">bardage   mur espece 5000 dh</t>
  </si>
  <si>
    <t xml:space="preserve">table terasse  espece 4000 dh</t>
  </si>
  <si>
    <t xml:space="preserve">espece 3600 dh(1300 dh glace+2 table 1300 dh+600 najar)</t>
  </si>
  <si>
    <t xml:space="preserve">bardage:12370 elect:898 dh cor:1545 dh trnp:500 dh MDCV:4500 dh avance chese:1000 dh</t>
  </si>
  <si>
    <t xml:space="preserve">reliquat les cheses</t>
  </si>
  <si>
    <t xml:space="preserve">TAXE nadafa 2024 haj</t>
  </si>
  <si>
    <t xml:space="preserve">Salaire depart ahmed</t>
  </si>
  <si>
    <t xml:space="preserve">RELIquat SAADAOUI</t>
  </si>
  <si>
    <t xml:space="preserve">Ces deux tableaux sont l’historique complet repris de la feuille DEPENSE_CAFE de l’ancien classeur, ligne par ligne, sans modification. Ce sont des données figées : elles ne bougent plus. Les montants en bleu sont des valeurs saisies, pas des formules.</t>
  </si>
  <si>
    <t xml:space="preserve">PARAMÈTRES DU COMMERCE</t>
  </si>
  <si>
    <t xml:space="preserve">Réglages et listes de référence. Modifiez uniquement les cellules sur fond jaune.</t>
  </si>
  <si>
    <t xml:space="preserve">IDENTITÉ</t>
  </si>
  <si>
    <t xml:space="preserve">CATÉGORIES RECETTE</t>
  </si>
  <si>
    <t xml:space="preserve">CATÉGORIES DEPENSE</t>
  </si>
  <si>
    <t xml:space="preserve">FOURNISSEURS / BÉNÉFICIAIRES</t>
  </si>
  <si>
    <t xml:space="preserve">MODES DE PAIEMENT</t>
  </si>
  <si>
    <t xml:space="preserve">TOUTES CATÉGORIES</t>
  </si>
  <si>
    <t xml:space="preserve">Nom du commerce</t>
  </si>
  <si>
    <t xml:space="preserve">CAFE VICTOR HUGO</t>
  </si>
  <si>
    <t xml:space="preserve">Ville</t>
  </si>
  <si>
    <t xml:space="preserve">Mohammedia</t>
  </si>
  <si>
    <t xml:space="preserve">Glovo Espèce</t>
  </si>
  <si>
    <t xml:space="preserve">Carte</t>
  </si>
  <si>
    <t xml:space="preserve">Pays</t>
  </si>
  <si>
    <t xml:space="preserve">Maroc</t>
  </si>
  <si>
    <t xml:space="preserve">Glovo Carte</t>
  </si>
  <si>
    <t xml:space="preserve">Terrasse</t>
  </si>
  <si>
    <t xml:space="preserve">Chèque</t>
  </si>
  <si>
    <t xml:space="preserve">Devise</t>
  </si>
  <si>
    <t xml:space="preserve">DH (MAD)</t>
  </si>
  <si>
    <t xml:space="preserve">Autre Recette</t>
  </si>
  <si>
    <t xml:space="preserve">BANQUE</t>
  </si>
  <si>
    <t xml:space="preserve">PÉRIODE ANALYSÉE</t>
  </si>
  <si>
    <t xml:space="preserve">Annee</t>
  </si>
  <si>
    <t xml:space="preserve">Mois (1 a 12)</t>
  </si>
  <si>
    <t xml:space="preserve">Clé du mois</t>
  </si>
  <si>
    <t xml:space="preserve">Premier jour du mois</t>
  </si>
  <si>
    <t xml:space="preserve">Nombre de jours</t>
  </si>
  <si>
    <t xml:space="preserve">CAISSE</t>
  </si>
  <si>
    <t xml:space="preserve">Caisse au 1er du mois</t>
  </si>
  <si>
    <t xml:space="preserve">Objectif recette / jour</t>
  </si>
  <si>
    <t xml:space="preserve">Seuil alerte caisse</t>
  </si>
  <si>
    <t xml:space="preserve">INTERNET</t>
  </si>
  <si>
    <t xml:space="preserve">LÉGENDE DES COULEURS</t>
  </si>
  <si>
    <t xml:space="preserve">    </t>
  </si>
  <si>
    <t xml:space="preserve">Cellule à remplir par vous</t>
  </si>
  <si>
    <t xml:space="preserve">Cellule calculée automatiquement — ne pas modifier</t>
  </si>
  <si>
    <t xml:space="preserve">Résultat positif / objectif atteint</t>
  </si>
  <si>
    <t xml:space="preserve">Résultat négatif / alerte</t>
  </si>
  <si>
    <t xml:space="preserve">LOYER</t>
  </si>
  <si>
    <t xml:space="preserve">Données de l’ancien classeur conservées pour mémoire, sans lien avec l’exploitation du café.</t>
  </si>
  <si>
    <t xml:space="preserve">COMMANDE TEST CHINE — environ 25 000 DH</t>
  </si>
  <si>
    <t xml:space="preserve">COMMANDE TEST TURQUIE — environ 30 000 DH</t>
  </si>
  <si>
    <t xml:space="preserve">DÉSIGNATION</t>
  </si>
  <si>
    <t xml:space="preserve">QUANTITÉ</t>
  </si>
  <si>
    <t xml:space="preserve"> raccord droit 16 mm</t>
  </si>
  <si>
    <t xml:space="preserve"> filtre disque 2"</t>
  </si>
  <si>
    <t xml:space="preserve">te 16 mm</t>
  </si>
  <si>
    <t xml:space="preserve"> filtre tamis 2"</t>
  </si>
  <si>
    <t xml:space="preserve">coude 16 mm</t>
  </si>
  <si>
    <t xml:space="preserve"> manometre</t>
  </si>
  <si>
    <t xml:space="preserve">bouchon 16 mm</t>
  </si>
  <si>
    <t xml:space="preserve"> regulateur</t>
  </si>
  <si>
    <t xml:space="preserve"> depart 16 mm</t>
  </si>
  <si>
    <t xml:space="preserve">vanne</t>
  </si>
  <si>
    <t xml:space="preserve">vannette 16 mm</t>
  </si>
  <si>
    <t xml:space="preserve">raccords PE 32/40/50 mm</t>
  </si>
  <si>
    <t xml:space="preserve">Repris tel quel de la feuille « PVC » de l’ancien classeur. Il s’agit d’une commande de matériel d’irrigation, sans rapport avec le café : elle est conservée ici pour ne rien perdre.</t>
  </si>
</sst>
</file>

<file path=xl/styles.xml><?xml version="1.0" encoding="utf-8"?>
<styleSheet xmlns="http://schemas.openxmlformats.org/spreadsheetml/2006/main">
  <numFmts count="10">
    <numFmt numFmtId="164" formatCode="General"/>
    <numFmt numFmtId="165" formatCode="[$-40C]mmmm\ yyyy"/>
    <numFmt numFmtId="166" formatCode="#,##0&quot; DH&quot;;[RED]\-#,##0&quot; DH&quot;;\–"/>
    <numFmt numFmtId="167" formatCode="0.0%;[RED]\-0.0%;\–"/>
    <numFmt numFmtId="168" formatCode="#,##0;[RED]\-#,##0;\–"/>
    <numFmt numFmtId="169" formatCode="#,##0"/>
    <numFmt numFmtId="170" formatCode="General"/>
    <numFmt numFmtId="171" formatCode="dd/mm/yyyy"/>
    <numFmt numFmtId="172" formatCode="0"/>
    <numFmt numFmtId="173" formatCode="0%"/>
  </numFmts>
  <fonts count="67">
    <font>
      <sz val="11"/>
      <color theme="1"/>
      <name val="Calibri"/>
      <family val="2"/>
      <charset val="1"/>
    </font>
    <font>
      <sz val="10"/>
      <name val="Arial"/>
      <family val="0"/>
    </font>
    <font>
      <sz val="10"/>
      <name val="Arial"/>
      <family val="0"/>
    </font>
    <font>
      <sz val="10"/>
      <name val="Arial"/>
      <family val="0"/>
    </font>
    <font>
      <b val="true"/>
      <sz val="30"/>
      <color rgb="FFFFFFFF"/>
      <name val="Arial"/>
      <family val="0"/>
      <charset val="1"/>
    </font>
    <font>
      <sz val="13"/>
      <color rgb="FFC8A265"/>
      <name val="Arial"/>
      <family val="0"/>
      <charset val="1"/>
    </font>
    <font>
      <b val="true"/>
      <sz val="10"/>
      <color rgb="FFE8DCC8"/>
      <name val="Arial"/>
      <family val="0"/>
      <charset val="1"/>
    </font>
    <font>
      <b val="true"/>
      <sz val="11"/>
      <color rgb="FF3E2723"/>
      <name val="Arial"/>
      <family val="0"/>
      <charset val="1"/>
    </font>
    <font>
      <b val="true"/>
      <sz val="8.5"/>
      <color rgb="FF7A6E66"/>
      <name val="Arial"/>
      <family val="0"/>
      <charset val="1"/>
    </font>
    <font>
      <b val="true"/>
      <sz val="15"/>
      <color rgb="FF2E7D32"/>
      <name val="Arial"/>
      <family val="0"/>
      <charset val="1"/>
    </font>
    <font>
      <b val="true"/>
      <sz val="15"/>
      <color rgb="FFB3261E"/>
      <name val="Arial"/>
      <family val="0"/>
      <charset val="1"/>
    </font>
    <font>
      <b val="true"/>
      <sz val="15"/>
      <color rgb="FF3E2723"/>
      <name val="Arial"/>
      <family val="0"/>
      <charset val="1"/>
    </font>
    <font>
      <b val="true"/>
      <sz val="15"/>
      <color rgb="FFB26A00"/>
      <name val="Arial"/>
      <family val="0"/>
      <charset val="1"/>
    </font>
    <font>
      <b val="true"/>
      <sz val="15"/>
      <color rgb="FF5D4037"/>
      <name val="Arial"/>
      <family val="0"/>
      <charset val="1"/>
    </font>
    <font>
      <b val="true"/>
      <sz val="15"/>
      <color rgb="FF7A6E66"/>
      <name val="Arial"/>
      <family val="0"/>
      <charset val="1"/>
    </font>
    <font>
      <b val="true"/>
      <sz val="11"/>
      <color rgb="FFFFFFFF"/>
      <name val="Arial"/>
      <family val="0"/>
      <charset val="1"/>
    </font>
    <font>
      <b val="true"/>
      <sz val="30"/>
      <color rgb="FFC8A265"/>
      <name val="Arial"/>
      <family val="0"/>
      <charset val="1"/>
    </font>
    <font>
      <sz val="9.5"/>
      <color rgb="FF1F1A17"/>
      <name val="Arial"/>
      <family val="0"/>
      <charset val="1"/>
    </font>
    <font>
      <b val="true"/>
      <sz val="9"/>
      <color rgb="FFFFFFFF"/>
      <name val="Arial"/>
      <family val="0"/>
      <charset val="1"/>
    </font>
    <font>
      <b val="true"/>
      <sz val="9.5"/>
      <color rgb="FF3E2723"/>
      <name val="Arial"/>
      <family val="0"/>
      <charset val="1"/>
    </font>
    <font>
      <sz val="9"/>
      <color rgb="FF1F1A17"/>
      <name val="Arial"/>
      <family val="0"/>
      <charset val="1"/>
    </font>
    <font>
      <b val="true"/>
      <sz val="8.5"/>
      <color rgb="FF2E7D32"/>
      <name val="Arial"/>
      <family val="0"/>
      <charset val="1"/>
    </font>
    <font>
      <b val="true"/>
      <sz val="9"/>
      <color rgb="FFB26A00"/>
      <name val="Arial"/>
      <family val="0"/>
      <charset val="1"/>
    </font>
    <font>
      <sz val="9"/>
      <color rgb="FF7A6E66"/>
      <name val="Arial"/>
      <family val="0"/>
      <charset val="1"/>
    </font>
    <font>
      <i val="true"/>
      <sz val="8.5"/>
      <color rgb="FF7A6E66"/>
      <name val="Arial"/>
      <family val="0"/>
      <charset val="1"/>
    </font>
    <font>
      <b val="true"/>
      <sz val="16"/>
      <color rgb="FFFFFFFF"/>
      <name val="Arial"/>
      <family val="0"/>
      <charset val="1"/>
    </font>
    <font>
      <sz val="9"/>
      <color rgb="FF3E2723"/>
      <name val="Arial"/>
      <family val="0"/>
      <charset val="1"/>
    </font>
    <font>
      <b val="true"/>
      <sz val="11"/>
      <color rgb="FFC8A265"/>
      <name val="Arial"/>
      <family val="0"/>
      <charset val="1"/>
    </font>
    <font>
      <b val="true"/>
      <sz val="18"/>
      <color rgb="FF2E7D32"/>
      <name val="Arial"/>
      <family val="0"/>
      <charset val="1"/>
    </font>
    <font>
      <b val="true"/>
      <sz val="18"/>
      <color rgb="FFB3261E"/>
      <name val="Arial"/>
      <family val="0"/>
      <charset val="1"/>
    </font>
    <font>
      <b val="true"/>
      <sz val="18"/>
      <color rgb="FF3E2723"/>
      <name val="Arial"/>
      <family val="0"/>
      <charset val="1"/>
    </font>
    <font>
      <b val="true"/>
      <sz val="18"/>
      <color rgb="FFB26A00"/>
      <name val="Arial"/>
      <family val="0"/>
      <charset val="1"/>
    </font>
    <font>
      <sz val="8"/>
      <color rgb="FF7A6E66"/>
      <name val="Arial"/>
      <family val="0"/>
      <charset val="1"/>
    </font>
    <font>
      <b val="true"/>
      <sz val="18"/>
      <color rgb="FF5D4037"/>
      <name val="Arial"/>
      <family val="0"/>
      <charset val="1"/>
    </font>
    <font>
      <b val="true"/>
      <sz val="9"/>
      <color rgb="FF1F1A17"/>
      <name val="Arial"/>
      <family val="0"/>
      <charset val="1"/>
    </font>
    <font>
      <sz val="9"/>
      <color rgb="FFB26A00"/>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9"/>
      <color rgb="FF3E2723"/>
      <name val="Arial"/>
      <family val="0"/>
      <charset val="1"/>
    </font>
    <font>
      <b val="true"/>
      <sz val="8"/>
      <color rgb="FF7A6E66"/>
      <name val="Arial"/>
      <family val="0"/>
      <charset val="1"/>
    </font>
    <font>
      <b val="true"/>
      <sz val="13"/>
      <color rgb="FF5D4037"/>
      <name val="Arial"/>
      <family val="0"/>
      <charset val="1"/>
    </font>
    <font>
      <b val="true"/>
      <sz val="13"/>
      <color rgb="FF2E7D32"/>
      <name val="Arial"/>
      <family val="0"/>
      <charset val="1"/>
    </font>
    <font>
      <b val="true"/>
      <sz val="13"/>
      <color rgb="FFB3261E"/>
      <name val="Arial"/>
      <family val="0"/>
      <charset val="1"/>
    </font>
    <font>
      <b val="true"/>
      <sz val="13"/>
      <color rgb="FF3E2723"/>
      <name val="Arial"/>
      <family val="0"/>
      <charset val="1"/>
    </font>
    <font>
      <sz val="10"/>
      <color rgb="FF1A56A0"/>
      <name val="Arial"/>
      <family val="0"/>
      <charset val="1"/>
    </font>
    <font>
      <b val="true"/>
      <sz val="9"/>
      <color rgb="FF1A56A0"/>
      <name val="Arial"/>
      <family val="0"/>
      <charset val="1"/>
    </font>
    <font>
      <b val="true"/>
      <sz val="10"/>
      <color rgb="FF1A56A0"/>
      <name val="Arial"/>
      <family val="0"/>
      <charset val="1"/>
    </font>
    <font>
      <sz val="9"/>
      <color rgb="FF1A56A0"/>
      <name val="Arial"/>
      <family val="0"/>
      <charset val="1"/>
    </font>
    <font>
      <sz val="10"/>
      <name val="Arial"/>
      <family val="2"/>
    </font>
    <font>
      <b val="true"/>
      <sz val="14"/>
      <color rgb="FF3E2723"/>
      <name val="Arial"/>
      <family val="0"/>
      <charset val="1"/>
    </font>
    <font>
      <b val="true"/>
      <sz val="10"/>
      <color rgb="FF3E2723"/>
      <name val="Arial"/>
      <family val="0"/>
      <charset val="1"/>
    </font>
    <font>
      <sz val="10"/>
      <color rgb="FF1F1A17"/>
      <name val="Arial"/>
      <family val="0"/>
      <charset val="1"/>
    </font>
    <font>
      <b val="true"/>
      <sz val="10"/>
      <color rgb="FF2E7D32"/>
      <name val="Arial"/>
      <family val="0"/>
      <charset val="1"/>
    </font>
    <font>
      <b val="true"/>
      <sz val="10"/>
      <color rgb="FFB3261E"/>
      <name val="Arial"/>
      <family val="0"/>
      <charset val="1"/>
    </font>
    <font>
      <b val="true"/>
      <sz val="10"/>
      <color rgb="FF1F1A17"/>
      <name val="Arial"/>
      <family val="0"/>
      <charset val="1"/>
    </font>
    <font>
      <sz val="10"/>
      <color rgb="FFB26A00"/>
      <name val="Arial"/>
      <family val="0"/>
      <charset val="1"/>
    </font>
    <font>
      <b val="true"/>
      <sz val="8"/>
      <color rgb="FFBDB2A5"/>
      <name val="Arial"/>
      <family val="0"/>
      <charset val="1"/>
    </font>
    <font>
      <sz val="10"/>
      <color rgb="FF7A6E66"/>
      <name val="Arial"/>
      <family val="0"/>
      <charset val="1"/>
    </font>
    <font>
      <b val="true"/>
      <sz val="11"/>
      <color rgb="FFB3261E"/>
      <name val="Arial"/>
      <family val="0"/>
      <charset val="1"/>
    </font>
    <font>
      <b val="true"/>
      <sz val="11"/>
      <color rgb="FFB26A00"/>
      <name val="Arial"/>
      <family val="0"/>
      <charset val="1"/>
    </font>
    <font>
      <b val="true"/>
      <sz val="11"/>
      <color rgb="FF2E7D32"/>
      <name val="Arial"/>
      <family val="0"/>
      <charset val="1"/>
    </font>
    <font>
      <b val="true"/>
      <sz val="10"/>
      <color rgb="FFB26A00"/>
      <name val="Arial"/>
      <family val="0"/>
      <charset val="1"/>
    </font>
    <font>
      <b val="true"/>
      <sz val="11"/>
      <color rgb="FF5D4037"/>
      <name val="Arial"/>
      <family val="0"/>
      <charset val="1"/>
    </font>
    <font>
      <sz val="9"/>
      <color rgb="FF2E7D32"/>
      <name val="Arial"/>
      <family val="0"/>
      <charset val="1"/>
    </font>
    <font>
      <sz val="9"/>
      <color rgb="FFB3261E"/>
      <name val="Arial"/>
      <family val="0"/>
      <charset val="1"/>
    </font>
  </fonts>
  <fills count="11">
    <fill>
      <patternFill patternType="none"/>
    </fill>
    <fill>
      <patternFill patternType="gray125"/>
    </fill>
    <fill>
      <patternFill patternType="solid">
        <fgColor rgb="FF3E2723"/>
        <bgColor rgb="FF1F1A17"/>
      </patternFill>
    </fill>
    <fill>
      <patternFill patternType="solid">
        <fgColor rgb="FFC8A265"/>
        <bgColor rgb="FFC0873F"/>
      </patternFill>
    </fill>
    <fill>
      <patternFill patternType="solid">
        <fgColor rgb="FFFBF6EF"/>
        <bgColor rgb="FFF2EFE6"/>
      </patternFill>
    </fill>
    <fill>
      <patternFill patternType="solid">
        <fgColor rgb="FF5D4037"/>
        <bgColor rgb="FF6D4C41"/>
      </patternFill>
    </fill>
    <fill>
      <patternFill patternType="solid">
        <fgColor rgb="FFFFFFFF"/>
        <bgColor rgb="FFFBF6EF"/>
      </patternFill>
    </fill>
    <fill>
      <patternFill patternType="solid">
        <fgColor rgb="FFF3EADD"/>
        <bgColor rgb="FFF2EFE6"/>
      </patternFill>
    </fill>
    <fill>
      <patternFill patternType="solid">
        <fgColor rgb="FFFFF3C4"/>
        <bgColor rgb="FFF3EADD"/>
      </patternFill>
    </fill>
    <fill>
      <patternFill patternType="solid">
        <fgColor rgb="FFE6F2E6"/>
        <bgColor rgb="FFF2EFE6"/>
      </patternFill>
    </fill>
    <fill>
      <patternFill patternType="solid">
        <fgColor rgb="FFFBE9E7"/>
        <bgColor rgb="FFF3EADD"/>
      </patternFill>
    </fill>
  </fills>
  <borders count="18">
    <border diagonalUp="false" diagonalDown="false">
      <left/>
      <right/>
      <top/>
      <bottom/>
      <diagonal/>
    </border>
    <border diagonalUp="false" diagonalDown="false">
      <left style="thin">
        <color rgb="FFE8DCC8"/>
      </left>
      <right style="thin">
        <color rgb="FFE8DCC8"/>
      </right>
      <top style="thick">
        <color rgb="FF2E7D32"/>
      </top>
      <bottom/>
      <diagonal/>
    </border>
    <border diagonalUp="false" diagonalDown="false">
      <left style="thin">
        <color rgb="FFE8DCC8"/>
      </left>
      <right style="thin">
        <color rgb="FFE8DCC8"/>
      </right>
      <top style="thick">
        <color rgb="FFB3261E"/>
      </top>
      <bottom/>
      <diagonal/>
    </border>
    <border diagonalUp="false" diagonalDown="false">
      <left style="thin">
        <color rgb="FFE8DCC8"/>
      </left>
      <right style="thin">
        <color rgb="FFE8DCC8"/>
      </right>
      <top style="thick">
        <color rgb="FF3E2723"/>
      </top>
      <bottom/>
      <diagonal/>
    </border>
    <border diagonalUp="false" diagonalDown="false">
      <left style="thin">
        <color rgb="FFE8DCC8"/>
      </left>
      <right style="thin">
        <color rgb="FFE8DCC8"/>
      </right>
      <top style="thick">
        <color rgb="FFB26A00"/>
      </top>
      <bottom/>
      <diagonal/>
    </border>
    <border diagonalUp="false" diagonalDown="false">
      <left style="thin">
        <color rgb="FFE8DCC8"/>
      </left>
      <right style="thin">
        <color rgb="FFE8DCC8"/>
      </right>
      <top style="thick">
        <color rgb="FF5D4037"/>
      </top>
      <bottom/>
      <diagonal/>
    </border>
    <border diagonalUp="false" diagonalDown="false">
      <left style="thin">
        <color rgb="FFE8DCC8"/>
      </left>
      <right style="thin">
        <color rgb="FFE8DCC8"/>
      </right>
      <top style="thick">
        <color rgb="FF7A6E66"/>
      </top>
      <bottom/>
      <diagonal/>
    </border>
    <border diagonalUp="false" diagonalDown="false">
      <left style="thin">
        <color rgb="FFE8DCC8"/>
      </left>
      <right style="thin">
        <color rgb="FFE8DCC8"/>
      </right>
      <top/>
      <bottom style="thin">
        <color rgb="FFE8DCC8"/>
      </bottom>
      <diagonal/>
    </border>
    <border diagonalUp="false" diagonalDown="false">
      <left/>
      <right/>
      <top style="thin">
        <color rgb="FFE8DCC8"/>
      </top>
      <bottom style="thin">
        <color rgb="FFE8DCC8"/>
      </bottom>
      <diagonal/>
    </border>
    <border diagonalUp="false" diagonalDown="false">
      <left/>
      <right/>
      <top style="thin">
        <color rgb="FFE8DCC8"/>
      </top>
      <bottom/>
      <diagonal/>
    </border>
    <border diagonalUp="false" diagonalDown="false">
      <left/>
      <right/>
      <top/>
      <bottom style="thin">
        <color rgb="FFE8DCC8"/>
      </bottom>
      <diagonal/>
    </border>
    <border diagonalUp="false" diagonalDown="false">
      <left style="thin">
        <color rgb="FFFFFFFF"/>
      </left>
      <right style="thin">
        <color rgb="FFFFFFFF"/>
      </right>
      <top style="thin">
        <color rgb="FF5D4037"/>
      </top>
      <bottom style="medium">
        <color rgb="FFC8A265"/>
      </bottom>
      <diagonal/>
    </border>
    <border diagonalUp="false" diagonalDown="false">
      <left style="thin">
        <color rgb="FFE8DCC8"/>
      </left>
      <right style="thin">
        <color rgb="FFE8DCC8"/>
      </right>
      <top style="thin">
        <color rgb="FFE8DCC8"/>
      </top>
      <bottom style="thin">
        <color rgb="FFE8DCC8"/>
      </bottom>
      <diagonal/>
    </border>
    <border diagonalUp="false" diagonalDown="false">
      <left style="thin">
        <color rgb="FFE8DCC8"/>
      </left>
      <right style="thin">
        <color rgb="FFE8DCC8"/>
      </right>
      <top/>
      <bottom/>
      <diagonal/>
    </border>
    <border diagonalUp="false" diagonalDown="false">
      <left/>
      <right/>
      <top style="medium">
        <color rgb="FFC8A265"/>
      </top>
      <bottom/>
      <diagonal/>
    </border>
    <border diagonalUp="false" diagonalDown="false">
      <left style="thin">
        <color rgb="FFC8A265"/>
      </left>
      <right/>
      <top style="thin">
        <color rgb="FFC8A265"/>
      </top>
      <bottom style="thin">
        <color rgb="FFC8A265"/>
      </bottom>
      <diagonal/>
    </border>
    <border diagonalUp="false" diagonalDown="false">
      <left/>
      <right/>
      <top/>
      <bottom style="medium">
        <color rgb="FFC8A265"/>
      </bottom>
      <diagonal/>
    </border>
    <border diagonalUp="false" diagonalDown="false">
      <left style="thin">
        <color rgb="FFC8A265"/>
      </left>
      <right style="thin">
        <color rgb="FFC8A265"/>
      </right>
      <top style="thin">
        <color rgb="FFC8A265"/>
      </top>
      <bottom style="thin">
        <color rgb="FFC8A26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3" borderId="0" xfId="0" applyFont="true" applyBorder="true" applyAlignment="true" applyProtection="false">
      <alignment horizontal="left" vertical="center" textRotation="0" wrapText="false" indent="1" shrinkToFit="false"/>
      <protection locked="true" hidden="false"/>
    </xf>
    <xf numFmtId="165" fontId="7" fillId="3" borderId="0"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4" borderId="4" xfId="0" applyFont="true" applyBorder="true" applyAlignment="true" applyProtection="false">
      <alignment horizontal="center" vertical="center" textRotation="0" wrapText="true" indent="0" shrinkToFit="false"/>
      <protection locked="true" hidden="false"/>
    </xf>
    <xf numFmtId="164" fontId="8" fillId="4" borderId="5" xfId="0" applyFont="true" applyBorder="true" applyAlignment="true" applyProtection="false">
      <alignment horizontal="center" vertical="center" textRotation="0" wrapText="true" indent="0" shrinkToFit="false"/>
      <protection locked="true" hidden="false"/>
    </xf>
    <xf numFmtId="164" fontId="8" fillId="4" borderId="6" xfId="0" applyFont="true" applyBorder="true" applyAlignment="true" applyProtection="false">
      <alignment horizontal="center" vertical="center" textRotation="0" wrapText="true" indent="0" shrinkToFit="false"/>
      <protection locked="true" hidden="false"/>
    </xf>
    <xf numFmtId="166" fontId="9" fillId="4" borderId="7" xfId="0" applyFont="true" applyBorder="true" applyAlignment="true" applyProtection="false">
      <alignment horizontal="center" vertical="center" textRotation="0" wrapText="true" indent="0" shrinkToFit="false"/>
      <protection locked="true" hidden="false"/>
    </xf>
    <xf numFmtId="166" fontId="10" fillId="4" borderId="7" xfId="0" applyFont="true" applyBorder="true" applyAlignment="true" applyProtection="false">
      <alignment horizontal="center" vertical="center" textRotation="0" wrapText="true" indent="0" shrinkToFit="false"/>
      <protection locked="true" hidden="false"/>
    </xf>
    <xf numFmtId="166" fontId="11" fillId="4" borderId="7" xfId="0" applyFont="true" applyBorder="true" applyAlignment="true" applyProtection="false">
      <alignment horizontal="center" vertical="center" textRotation="0" wrapText="true" indent="0" shrinkToFit="false"/>
      <protection locked="true" hidden="false"/>
    </xf>
    <xf numFmtId="167" fontId="12" fillId="4" borderId="7" xfId="0" applyFont="true" applyBorder="true" applyAlignment="true" applyProtection="false">
      <alignment horizontal="center" vertical="center" textRotation="0" wrapText="true" indent="0" shrinkToFit="false"/>
      <protection locked="true" hidden="false"/>
    </xf>
    <xf numFmtId="166" fontId="13" fillId="4" borderId="7" xfId="0" applyFont="true" applyBorder="true" applyAlignment="true" applyProtection="false">
      <alignment horizontal="center" vertical="center" textRotation="0" wrapText="true" indent="0" shrinkToFit="false"/>
      <protection locked="true" hidden="false"/>
    </xf>
    <xf numFmtId="168" fontId="14" fillId="4" borderId="7" xfId="0" applyFont="true" applyBorder="true" applyAlignment="true" applyProtection="false">
      <alignment horizontal="center" vertical="center" textRotation="0" wrapText="true" indent="0" shrinkToFit="false"/>
      <protection locked="true" hidden="false"/>
    </xf>
    <xf numFmtId="164" fontId="15" fillId="5" borderId="0" xfId="0" applyFont="true" applyBorder="true" applyAlignment="true" applyProtection="false">
      <alignment horizontal="left" vertical="center" textRotation="0" wrapText="false" indent="1" shrinkToFit="false"/>
      <protection locked="true" hidden="false"/>
    </xf>
    <xf numFmtId="164" fontId="16" fillId="4" borderId="8" xfId="0" applyFont="true" applyBorder="true" applyAlignment="true" applyProtection="false">
      <alignment horizontal="center" vertical="center" textRotation="0" wrapText="true" indent="0" shrinkToFit="false"/>
      <protection locked="true" hidden="false"/>
    </xf>
    <xf numFmtId="164" fontId="7" fillId="4" borderId="9" xfId="0" applyFont="true" applyBorder="true" applyAlignment="true" applyProtection="false">
      <alignment horizontal="left" vertical="center" textRotation="0" wrapText="false" indent="0" shrinkToFit="false"/>
      <protection locked="true" hidden="false"/>
    </xf>
    <xf numFmtId="164" fontId="17" fillId="4" borderId="10" xfId="0" applyFont="true" applyBorder="true" applyAlignment="true" applyProtection="false">
      <alignment horizontal="left" vertical="top" textRotation="0" wrapText="true" indent="0" shrinkToFit="false"/>
      <protection locked="true" hidden="false"/>
    </xf>
    <xf numFmtId="164" fontId="18" fillId="5" borderId="11" xfId="0" applyFont="true" applyBorder="true" applyAlignment="true" applyProtection="false">
      <alignment horizontal="center" vertical="center" textRotation="0" wrapText="true" indent="0" shrinkToFit="false"/>
      <protection locked="true" hidden="false"/>
    </xf>
    <xf numFmtId="164" fontId="19" fillId="6" borderId="12" xfId="0" applyFont="true" applyBorder="true" applyAlignment="true" applyProtection="false">
      <alignment horizontal="left" vertical="center" textRotation="0" wrapText="false" indent="0" shrinkToFit="false"/>
      <protection locked="true" hidden="false"/>
    </xf>
    <xf numFmtId="164" fontId="20" fillId="6" borderId="12" xfId="0" applyFont="true" applyBorder="true" applyAlignment="true" applyProtection="false">
      <alignment horizontal="left" vertical="center" textRotation="0" wrapText="true" indent="0" shrinkToFit="false"/>
      <protection locked="true" hidden="false"/>
    </xf>
    <xf numFmtId="164" fontId="8" fillId="6" borderId="12" xfId="0" applyFont="true" applyBorder="true" applyAlignment="true" applyProtection="false">
      <alignment horizontal="center" vertical="center" textRotation="0" wrapText="true" indent="0" shrinkToFit="false"/>
      <protection locked="true" hidden="false"/>
    </xf>
    <xf numFmtId="164" fontId="19" fillId="4" borderId="12" xfId="0" applyFont="true" applyBorder="true" applyAlignment="true" applyProtection="false">
      <alignment horizontal="left" vertical="center" textRotation="0" wrapText="false" indent="0" shrinkToFit="false"/>
      <protection locked="true" hidden="false"/>
    </xf>
    <xf numFmtId="164" fontId="20" fillId="4" borderId="12" xfId="0" applyFont="true" applyBorder="true" applyAlignment="true" applyProtection="false">
      <alignment horizontal="left" vertical="center" textRotation="0" wrapText="true" indent="0" shrinkToFit="false"/>
      <protection locked="true" hidden="false"/>
    </xf>
    <xf numFmtId="164" fontId="21" fillId="4" borderId="12" xfId="0" applyFont="true" applyBorder="true" applyAlignment="true" applyProtection="false">
      <alignment horizontal="center" vertical="center" textRotation="0" wrapText="true" indent="0" shrinkToFit="false"/>
      <protection locked="true" hidden="false"/>
    </xf>
    <xf numFmtId="164" fontId="21" fillId="6" borderId="12" xfId="0" applyFont="true" applyBorder="true" applyAlignment="true" applyProtection="false">
      <alignment horizontal="center" vertical="center" textRotation="0" wrapText="true" indent="0" shrinkToFit="false"/>
      <protection locked="true" hidden="false"/>
    </xf>
    <xf numFmtId="164" fontId="8" fillId="4" borderId="12" xfId="0" applyFont="true" applyBorder="true" applyAlignment="true" applyProtection="false">
      <alignment horizontal="center" vertical="center" textRotation="0" wrapText="true" indent="0" shrinkToFit="false"/>
      <protection locked="true" hidden="false"/>
    </xf>
    <xf numFmtId="164" fontId="22" fillId="6" borderId="12" xfId="0" applyFont="true" applyBorder="true" applyAlignment="true" applyProtection="false">
      <alignment horizontal="left" vertical="center" textRotation="0" wrapText="false" indent="0" shrinkToFit="false"/>
      <protection locked="true" hidden="false"/>
    </xf>
    <xf numFmtId="164" fontId="23" fillId="6" borderId="12" xfId="0" applyFont="true" applyBorder="true" applyAlignment="true" applyProtection="false">
      <alignment horizontal="left" vertical="center" textRotation="0" wrapText="true" indent="0" shrinkToFit="false"/>
      <protection locked="true" hidden="false"/>
    </xf>
    <xf numFmtId="164" fontId="22" fillId="4" borderId="12" xfId="0" applyFont="true" applyBorder="true" applyAlignment="true" applyProtection="false">
      <alignment horizontal="left" vertical="center" textRotation="0" wrapText="false" indent="0" shrinkToFit="false"/>
      <protection locked="true" hidden="false"/>
    </xf>
    <xf numFmtId="164" fontId="23" fillId="4" borderId="12" xfId="0" applyFont="true" applyBorder="true" applyAlignment="true" applyProtection="false">
      <alignment horizontal="left" vertical="center" textRotation="0" wrapText="true" indent="0" shrinkToFit="false"/>
      <protection locked="true" hidden="false"/>
    </xf>
    <xf numFmtId="164" fontId="24" fillId="0" borderId="0" xfId="0" applyFont="true" applyBorder="true" applyAlignment="true" applyProtection="false">
      <alignment horizontal="left" vertical="top" textRotation="0" wrapText="true" indent="0" shrinkToFit="false"/>
      <protection locked="true" hidden="false"/>
    </xf>
    <xf numFmtId="164" fontId="25" fillId="2" borderId="0" xfId="0" applyFont="true" applyBorder="true" applyAlignment="true" applyProtection="false">
      <alignment horizontal="left" vertical="center" textRotation="0" wrapText="false" indent="1" shrinkToFit="false"/>
      <protection locked="true" hidden="false"/>
    </xf>
    <xf numFmtId="164" fontId="26" fillId="3" borderId="0" xfId="0" applyFont="true" applyBorder="true" applyAlignment="true" applyProtection="false">
      <alignment horizontal="left" vertical="center" textRotation="0" wrapText="false" indent="1" shrinkToFit="false"/>
      <protection locked="true" hidden="false"/>
    </xf>
    <xf numFmtId="165" fontId="11" fillId="0" borderId="0" xfId="0" applyFont="true" applyBorder="true" applyAlignment="true" applyProtection="false">
      <alignment horizontal="left" vertical="center" textRotation="0" wrapText="false" indent="1" shrinkToFit="false"/>
      <protection locked="true" hidden="false"/>
    </xf>
    <xf numFmtId="164" fontId="27" fillId="0" borderId="0" xfId="0" applyFont="true" applyBorder="true" applyAlignment="true" applyProtection="false">
      <alignment horizontal="righ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1" shrinkToFit="false"/>
      <protection locked="true" hidden="false"/>
    </xf>
    <xf numFmtId="164" fontId="8" fillId="4" borderId="2" xfId="0" applyFont="true" applyBorder="true" applyAlignment="true" applyProtection="false">
      <alignment horizontal="left" vertical="center" textRotation="0" wrapText="false" indent="1" shrinkToFit="false"/>
      <protection locked="true" hidden="false"/>
    </xf>
    <xf numFmtId="164" fontId="8" fillId="4" borderId="3" xfId="0" applyFont="true" applyBorder="true" applyAlignment="true" applyProtection="false">
      <alignment horizontal="left" vertical="center" textRotation="0" wrapText="false" indent="1" shrinkToFit="false"/>
      <protection locked="true" hidden="false"/>
    </xf>
    <xf numFmtId="164" fontId="8" fillId="4" borderId="4" xfId="0" applyFont="true" applyBorder="true" applyAlignment="true" applyProtection="false">
      <alignment horizontal="left" vertical="center" textRotation="0" wrapText="false" indent="1" shrinkToFit="false"/>
      <protection locked="true" hidden="false"/>
    </xf>
    <xf numFmtId="166" fontId="28" fillId="4" borderId="13" xfId="0" applyFont="true" applyBorder="true" applyAlignment="true" applyProtection="false">
      <alignment horizontal="left" vertical="center" textRotation="0" wrapText="false" indent="1" shrinkToFit="false"/>
      <protection locked="true" hidden="false"/>
    </xf>
    <xf numFmtId="166" fontId="29" fillId="4" borderId="13" xfId="0" applyFont="true" applyBorder="true" applyAlignment="true" applyProtection="false">
      <alignment horizontal="left" vertical="center" textRotation="0" wrapText="false" indent="1" shrinkToFit="false"/>
      <protection locked="true" hidden="false"/>
    </xf>
    <xf numFmtId="166" fontId="30" fillId="4" borderId="13" xfId="0" applyFont="true" applyBorder="true" applyAlignment="true" applyProtection="false">
      <alignment horizontal="left" vertical="center" textRotation="0" wrapText="false" indent="1" shrinkToFit="false"/>
      <protection locked="true" hidden="false"/>
    </xf>
    <xf numFmtId="167" fontId="31" fillId="4" borderId="13" xfId="0" applyFont="true" applyBorder="true" applyAlignment="true" applyProtection="false">
      <alignment horizontal="left" vertical="center" textRotation="0" wrapText="false" indent="1" shrinkToFit="false"/>
      <protection locked="true" hidden="false"/>
    </xf>
    <xf numFmtId="164" fontId="32" fillId="4" borderId="7" xfId="0" applyFont="true" applyBorder="true" applyAlignment="true" applyProtection="false">
      <alignment horizontal="left" vertical="top" textRotation="0" wrapText="false" indent="1" shrinkToFit="false"/>
      <protection locked="true" hidden="false"/>
    </xf>
    <xf numFmtId="164" fontId="8" fillId="4" borderId="5" xfId="0" applyFont="true" applyBorder="true" applyAlignment="true" applyProtection="false">
      <alignment horizontal="left" vertical="center" textRotation="0" wrapText="false" indent="1" shrinkToFit="false"/>
      <protection locked="true" hidden="false"/>
    </xf>
    <xf numFmtId="166" fontId="33" fillId="4" borderId="13" xfId="0" applyFont="true" applyBorder="true" applyAlignment="true" applyProtection="false">
      <alignment horizontal="left" vertical="center" textRotation="0" wrapText="false" indent="1" shrinkToFit="false"/>
      <protection locked="true" hidden="false"/>
    </xf>
    <xf numFmtId="168" fontId="33" fillId="4" borderId="13" xfId="0" applyFont="true" applyBorder="true" applyAlignment="true" applyProtection="false">
      <alignment horizontal="left" vertical="center" textRotation="0" wrapText="false" indent="1" shrinkToFit="false"/>
      <protection locked="true" hidden="false"/>
    </xf>
    <xf numFmtId="164" fontId="20" fillId="6" borderId="12" xfId="0" applyFont="true" applyBorder="true" applyAlignment="true" applyProtection="false">
      <alignment horizontal="left" vertical="center" textRotation="0" wrapText="false" indent="0" shrinkToFit="false"/>
      <protection locked="true" hidden="false"/>
    </xf>
    <xf numFmtId="166" fontId="34" fillId="6" borderId="12" xfId="0" applyFont="true" applyBorder="true" applyAlignment="true" applyProtection="false">
      <alignment horizontal="right" vertical="center" textRotation="0" wrapText="false" indent="0" shrinkToFit="false"/>
      <protection locked="true" hidden="false"/>
    </xf>
    <xf numFmtId="167" fontId="35" fillId="6" borderId="12" xfId="0" applyFont="true" applyBorder="true" applyAlignment="true" applyProtection="false">
      <alignment horizontal="right" vertical="center" textRotation="0" wrapText="false" indent="0" shrinkToFit="false"/>
      <protection locked="true" hidden="false"/>
    </xf>
    <xf numFmtId="166" fontId="23" fillId="6" borderId="12" xfId="0" applyFont="true" applyBorder="true" applyAlignment="true" applyProtection="false">
      <alignment horizontal="right" vertical="center" textRotation="0" wrapText="false" indent="0" shrinkToFit="false"/>
      <protection locked="true" hidden="false"/>
    </xf>
    <xf numFmtId="168" fontId="23" fillId="6" borderId="12" xfId="0" applyFont="true" applyBorder="true" applyAlignment="true" applyProtection="false">
      <alignment horizontal="right" vertical="center" textRotation="0" wrapText="false" indent="0" shrinkToFit="false"/>
      <protection locked="true" hidden="false"/>
    </xf>
    <xf numFmtId="164" fontId="20" fillId="4" borderId="12" xfId="0" applyFont="true" applyBorder="true" applyAlignment="true" applyProtection="false">
      <alignment horizontal="left" vertical="center" textRotation="0" wrapText="false" indent="0" shrinkToFit="false"/>
      <protection locked="true" hidden="false"/>
    </xf>
    <xf numFmtId="166" fontId="34" fillId="4" borderId="12" xfId="0" applyFont="true" applyBorder="true" applyAlignment="true" applyProtection="false">
      <alignment horizontal="right" vertical="center" textRotation="0" wrapText="false" indent="0" shrinkToFit="false"/>
      <protection locked="true" hidden="false"/>
    </xf>
    <xf numFmtId="167" fontId="35" fillId="4" borderId="12" xfId="0" applyFont="true" applyBorder="true" applyAlignment="true" applyProtection="false">
      <alignment horizontal="right" vertical="center" textRotation="0" wrapText="false" indent="0" shrinkToFit="false"/>
      <protection locked="true" hidden="false"/>
    </xf>
    <xf numFmtId="166" fontId="23" fillId="4" borderId="12" xfId="0" applyFont="true" applyBorder="true" applyAlignment="true" applyProtection="false">
      <alignment horizontal="right" vertical="center" textRotation="0" wrapText="false" indent="0" shrinkToFit="false"/>
      <protection locked="true" hidden="false"/>
    </xf>
    <xf numFmtId="168" fontId="23" fillId="4" borderId="12" xfId="0" applyFont="true" applyBorder="true" applyAlignment="true" applyProtection="false">
      <alignment horizontal="right" vertical="center" textRotation="0" wrapText="false" indent="0" shrinkToFit="false"/>
      <protection locked="true" hidden="false"/>
    </xf>
    <xf numFmtId="164" fontId="36" fillId="2" borderId="14" xfId="0" applyFont="true" applyBorder="true" applyAlignment="true" applyProtection="false">
      <alignment horizontal="left" vertical="center" textRotation="0" wrapText="false" indent="1" shrinkToFit="false"/>
      <protection locked="true" hidden="false"/>
    </xf>
    <xf numFmtId="166" fontId="36" fillId="2" borderId="14" xfId="0" applyFont="true" applyBorder="true" applyAlignment="true" applyProtection="false">
      <alignment horizontal="right" vertical="center" textRotation="0" wrapText="false" indent="0" shrinkToFit="false"/>
      <protection locked="true" hidden="false"/>
    </xf>
    <xf numFmtId="167" fontId="36" fillId="2" borderId="14" xfId="0" applyFont="true" applyBorder="true" applyAlignment="true" applyProtection="false">
      <alignment horizontal="right" vertical="center" textRotation="0" wrapText="false" indent="0" shrinkToFit="false"/>
      <protection locked="true" hidden="false"/>
    </xf>
    <xf numFmtId="164" fontId="40" fillId="7" borderId="15" xfId="0" applyFont="true" applyBorder="true" applyAlignment="true" applyProtection="false">
      <alignment horizontal="left" vertical="center" textRotation="0" wrapText="false" indent="1" shrinkToFit="false"/>
      <protection locked="true" hidden="false"/>
    </xf>
    <xf numFmtId="164" fontId="41" fillId="4" borderId="0" xfId="0" applyFont="true" applyBorder="true" applyAlignment="true" applyProtection="false">
      <alignment horizontal="center" vertical="center" textRotation="0" wrapText="true" indent="0" shrinkToFit="false"/>
      <protection locked="true" hidden="false"/>
    </xf>
    <xf numFmtId="168" fontId="42" fillId="4" borderId="16" xfId="0" applyFont="true" applyBorder="true" applyAlignment="true" applyProtection="false">
      <alignment horizontal="center" vertical="center" textRotation="0" wrapText="true" indent="0" shrinkToFit="false"/>
      <protection locked="true" hidden="false"/>
    </xf>
    <xf numFmtId="166" fontId="43" fillId="4" borderId="16" xfId="0" applyFont="true" applyBorder="true" applyAlignment="true" applyProtection="false">
      <alignment horizontal="center" vertical="center" textRotation="0" wrapText="true" indent="0" shrinkToFit="false"/>
      <protection locked="true" hidden="false"/>
    </xf>
    <xf numFmtId="166" fontId="44" fillId="4" borderId="16" xfId="0" applyFont="true" applyBorder="true" applyAlignment="true" applyProtection="false">
      <alignment horizontal="center" vertical="center" textRotation="0" wrapText="true" indent="0" shrinkToFit="false"/>
      <protection locked="true" hidden="false"/>
    </xf>
    <xf numFmtId="166" fontId="45" fillId="4" borderId="16" xfId="0" applyFont="true" applyBorder="true" applyAlignment="true" applyProtection="false">
      <alignment horizontal="center" vertical="center" textRotation="0" wrapText="true" indent="0" shrinkToFit="false"/>
      <protection locked="true" hidden="false"/>
    </xf>
    <xf numFmtId="170" fontId="23" fillId="6" borderId="12" xfId="0" applyFont="true" applyBorder="true" applyAlignment="true" applyProtection="false">
      <alignment horizontal="center" vertical="center" textRotation="0" wrapText="true" indent="0" shrinkToFit="false"/>
      <protection locked="true" hidden="false"/>
    </xf>
    <xf numFmtId="171" fontId="46" fillId="6" borderId="12" xfId="0" applyFont="true" applyBorder="true" applyAlignment="true" applyProtection="false">
      <alignment horizontal="center" vertical="center" textRotation="0" wrapText="true" indent="0" shrinkToFit="false"/>
      <protection locked="true" hidden="false"/>
    </xf>
    <xf numFmtId="172" fontId="23" fillId="6" borderId="12" xfId="0" applyFont="true" applyBorder="true" applyAlignment="true" applyProtection="false">
      <alignment horizontal="center" vertical="center" textRotation="0" wrapText="true" indent="0" shrinkToFit="false"/>
      <protection locked="true" hidden="false"/>
    </xf>
    <xf numFmtId="164" fontId="47" fillId="6" borderId="12" xfId="0" applyFont="true" applyBorder="true" applyAlignment="true" applyProtection="false">
      <alignment horizontal="center" vertical="center" textRotation="0" wrapText="true" indent="0" shrinkToFit="false"/>
      <protection locked="true" hidden="false"/>
    </xf>
    <xf numFmtId="164" fontId="46" fillId="6" borderId="12" xfId="0" applyFont="true" applyBorder="true" applyAlignment="true" applyProtection="false">
      <alignment horizontal="left" vertical="center" textRotation="0" wrapText="false" indent="0" shrinkToFit="false"/>
      <protection locked="true" hidden="false"/>
    </xf>
    <xf numFmtId="164" fontId="23" fillId="6" borderId="12" xfId="0" applyFont="true" applyBorder="true" applyAlignment="true" applyProtection="false">
      <alignment horizontal="left" vertical="center" textRotation="0" wrapText="false" indent="0" shrinkToFit="false"/>
      <protection locked="true" hidden="false"/>
    </xf>
    <xf numFmtId="166" fontId="48" fillId="6" borderId="12" xfId="0" applyFont="true" applyBorder="true" applyAlignment="true" applyProtection="false">
      <alignment horizontal="right" vertical="center" textRotation="0" wrapText="false" indent="0" shrinkToFit="false"/>
      <protection locked="true" hidden="false"/>
    </xf>
    <xf numFmtId="164" fontId="49" fillId="6" borderId="12" xfId="0" applyFont="true" applyBorder="true" applyAlignment="true" applyProtection="false">
      <alignment horizontal="center" vertical="center" textRotation="0" wrapText="true" indent="0" shrinkToFit="false"/>
      <protection locked="true" hidden="false"/>
    </xf>
    <xf numFmtId="164" fontId="34" fillId="6" borderId="12" xfId="0" applyFont="true" applyBorder="true" applyAlignment="true" applyProtection="false">
      <alignment horizontal="center" vertical="center" textRotation="0" wrapText="true" indent="0" shrinkToFit="false"/>
      <protection locked="true" hidden="false"/>
    </xf>
    <xf numFmtId="170" fontId="23" fillId="4" borderId="12" xfId="0" applyFont="true" applyBorder="true" applyAlignment="true" applyProtection="false">
      <alignment horizontal="center" vertical="center" textRotation="0" wrapText="true" indent="0" shrinkToFit="false"/>
      <protection locked="true" hidden="false"/>
    </xf>
    <xf numFmtId="171" fontId="46" fillId="4" borderId="12" xfId="0" applyFont="true" applyBorder="true" applyAlignment="true" applyProtection="false">
      <alignment horizontal="center" vertical="center" textRotation="0" wrapText="true" indent="0" shrinkToFit="false"/>
      <protection locked="true" hidden="false"/>
    </xf>
    <xf numFmtId="172" fontId="23" fillId="4" borderId="12" xfId="0" applyFont="true" applyBorder="true" applyAlignment="true" applyProtection="false">
      <alignment horizontal="center" vertical="center" textRotation="0" wrapText="true" indent="0" shrinkToFit="false"/>
      <protection locked="true" hidden="false"/>
    </xf>
    <xf numFmtId="164" fontId="47" fillId="4" borderId="12" xfId="0" applyFont="true" applyBorder="true" applyAlignment="true" applyProtection="false">
      <alignment horizontal="center" vertical="center" textRotation="0" wrapText="true" indent="0" shrinkToFit="false"/>
      <protection locked="true" hidden="false"/>
    </xf>
    <xf numFmtId="164" fontId="46" fillId="4" borderId="12" xfId="0" applyFont="true" applyBorder="true" applyAlignment="true" applyProtection="false">
      <alignment horizontal="left" vertical="center" textRotation="0" wrapText="false" indent="0" shrinkToFit="false"/>
      <protection locked="true" hidden="false"/>
    </xf>
    <xf numFmtId="164" fontId="23" fillId="4" borderId="12" xfId="0" applyFont="true" applyBorder="true" applyAlignment="true" applyProtection="false">
      <alignment horizontal="left" vertical="center" textRotation="0" wrapText="false" indent="0" shrinkToFit="false"/>
      <protection locked="true" hidden="false"/>
    </xf>
    <xf numFmtId="166" fontId="48" fillId="4" borderId="12" xfId="0" applyFont="true" applyBorder="true" applyAlignment="true" applyProtection="false">
      <alignment horizontal="right" vertical="center" textRotation="0" wrapText="false" indent="0" shrinkToFit="false"/>
      <protection locked="true" hidden="false"/>
    </xf>
    <xf numFmtId="164" fontId="49" fillId="4" borderId="12" xfId="0" applyFont="true" applyBorder="true" applyAlignment="true" applyProtection="false">
      <alignment horizontal="center" vertical="center" textRotation="0" wrapText="true" indent="0" shrinkToFit="false"/>
      <protection locked="true" hidden="false"/>
    </xf>
    <xf numFmtId="164" fontId="34" fillId="4" borderId="12" xfId="0" applyFont="true" applyBorder="true" applyAlignment="true" applyProtection="false">
      <alignment horizontal="center" vertical="center" textRotation="0" wrapText="true" indent="0" shrinkToFit="false"/>
      <protection locked="true" hidden="false"/>
    </xf>
    <xf numFmtId="165" fontId="51" fillId="0" borderId="0" xfId="0" applyFont="true" applyBorder="true" applyAlignment="true" applyProtection="false">
      <alignment horizontal="left" vertical="center" textRotation="0" wrapText="false" indent="1" shrinkToFit="false"/>
      <protection locked="true" hidden="false"/>
    </xf>
    <xf numFmtId="171" fontId="52" fillId="6" borderId="12" xfId="0" applyFont="true" applyBorder="true" applyAlignment="true" applyProtection="false">
      <alignment horizontal="center" vertical="center" textRotation="0" wrapText="true" indent="0" shrinkToFit="false"/>
      <protection locked="true" hidden="false"/>
    </xf>
    <xf numFmtId="164" fontId="23" fillId="6" borderId="12" xfId="0" applyFont="true" applyBorder="true" applyAlignment="true" applyProtection="false">
      <alignment horizontal="center" vertical="center" textRotation="0" wrapText="true" indent="0" shrinkToFit="false"/>
      <protection locked="true" hidden="false"/>
    </xf>
    <xf numFmtId="166" fontId="53" fillId="6" borderId="12" xfId="0" applyFont="true" applyBorder="true" applyAlignment="true" applyProtection="false">
      <alignment horizontal="right" vertical="center" textRotation="0" wrapText="false" indent="0" shrinkToFit="false"/>
      <protection locked="true" hidden="false"/>
    </xf>
    <xf numFmtId="166" fontId="54" fillId="6" borderId="12" xfId="0" applyFont="true" applyBorder="true" applyAlignment="true" applyProtection="false">
      <alignment horizontal="right" vertical="center" textRotation="0" wrapText="false" indent="0" shrinkToFit="false"/>
      <protection locked="true" hidden="false"/>
    </xf>
    <xf numFmtId="166" fontId="55" fillId="6" borderId="12" xfId="0" applyFont="true" applyBorder="true" applyAlignment="true" applyProtection="false">
      <alignment horizontal="right" vertical="center" textRotation="0" wrapText="false" indent="0" shrinkToFit="false"/>
      <protection locked="true" hidden="false"/>
    </xf>
    <xf numFmtId="166" fontId="56" fillId="6" borderId="12" xfId="0" applyFont="true" applyBorder="true" applyAlignment="true" applyProtection="false">
      <alignment horizontal="right" vertical="center" textRotation="0" wrapText="false" indent="0" shrinkToFit="false"/>
      <protection locked="true" hidden="false"/>
    </xf>
    <xf numFmtId="166" fontId="52" fillId="6" borderId="12" xfId="0" applyFont="true" applyBorder="true" applyAlignment="true" applyProtection="false">
      <alignment horizontal="right" vertical="center" textRotation="0" wrapText="false" indent="0" shrinkToFit="false"/>
      <protection locked="true" hidden="false"/>
    </xf>
    <xf numFmtId="171" fontId="52" fillId="4" borderId="12" xfId="0" applyFont="true" applyBorder="true" applyAlignment="true" applyProtection="false">
      <alignment horizontal="center" vertical="center" textRotation="0" wrapText="true" indent="0" shrinkToFit="false"/>
      <protection locked="true" hidden="false"/>
    </xf>
    <xf numFmtId="164" fontId="23" fillId="4" borderId="12" xfId="0" applyFont="true" applyBorder="true" applyAlignment="true" applyProtection="false">
      <alignment horizontal="center" vertical="center" textRotation="0" wrapText="true" indent="0" shrinkToFit="false"/>
      <protection locked="true" hidden="false"/>
    </xf>
    <xf numFmtId="166" fontId="53" fillId="4" borderId="12" xfId="0" applyFont="true" applyBorder="true" applyAlignment="true" applyProtection="false">
      <alignment horizontal="right" vertical="center" textRotation="0" wrapText="false" indent="0" shrinkToFit="false"/>
      <protection locked="true" hidden="false"/>
    </xf>
    <xf numFmtId="166" fontId="54" fillId="4" borderId="12" xfId="0" applyFont="true" applyBorder="true" applyAlignment="true" applyProtection="false">
      <alignment horizontal="right" vertical="center" textRotation="0" wrapText="false" indent="0" shrinkToFit="false"/>
      <protection locked="true" hidden="false"/>
    </xf>
    <xf numFmtId="166" fontId="55" fillId="4" borderId="12" xfId="0" applyFont="true" applyBorder="true" applyAlignment="true" applyProtection="false">
      <alignment horizontal="right" vertical="center" textRotation="0" wrapText="false" indent="0" shrinkToFit="false"/>
      <protection locked="true" hidden="false"/>
    </xf>
    <xf numFmtId="166" fontId="56" fillId="4" borderId="12" xfId="0" applyFont="true" applyBorder="true" applyAlignment="true" applyProtection="false">
      <alignment horizontal="right" vertical="center" textRotation="0" wrapText="false" indent="0" shrinkToFit="false"/>
      <protection locked="true" hidden="false"/>
    </xf>
    <xf numFmtId="166" fontId="52" fillId="4" borderId="12" xfId="0" applyFont="true" applyBorder="true" applyAlignment="true" applyProtection="false">
      <alignment horizontal="right" vertical="center" textRotation="0" wrapText="false" indent="0" shrinkToFit="false"/>
      <protection locked="true" hidden="false"/>
    </xf>
    <xf numFmtId="164" fontId="40" fillId="7" borderId="16" xfId="0" applyFont="true" applyBorder="true" applyAlignment="true" applyProtection="false">
      <alignment horizontal="left" vertical="center" textRotation="0" wrapText="false" indent="1" shrinkToFit="false"/>
      <protection locked="true" hidden="false"/>
    </xf>
    <xf numFmtId="164" fontId="0" fillId="7" borderId="16" xfId="0" applyFont="false" applyBorder="true" applyAlignment="false" applyProtection="false">
      <alignment horizontal="general" vertical="bottom" textRotation="0" wrapText="false" indent="0" shrinkToFit="false"/>
      <protection locked="true" hidden="false"/>
    </xf>
    <xf numFmtId="167" fontId="22" fillId="7" borderId="16" xfId="0" applyFont="true" applyBorder="true" applyAlignment="true" applyProtection="false">
      <alignment horizontal="right" vertical="center" textRotation="0" wrapText="false" indent="0" shrinkToFit="false"/>
      <protection locked="true" hidden="false"/>
    </xf>
    <xf numFmtId="165" fontId="52" fillId="7" borderId="12" xfId="0" applyFont="true" applyBorder="true" applyAlignment="true" applyProtection="false">
      <alignment horizontal="left" vertical="center" textRotation="0" wrapText="false" indent="0" shrinkToFit="false"/>
      <protection locked="true" hidden="false"/>
    </xf>
    <xf numFmtId="166" fontId="48" fillId="7" borderId="12" xfId="0" applyFont="true" applyBorder="true" applyAlignment="true" applyProtection="false">
      <alignment horizontal="right" vertical="center" textRotation="0" wrapText="false" indent="0" shrinkToFit="false"/>
      <protection locked="true" hidden="false"/>
    </xf>
    <xf numFmtId="167" fontId="57" fillId="7" borderId="12" xfId="0" applyFont="true" applyBorder="true" applyAlignment="true" applyProtection="false">
      <alignment horizontal="right" vertical="center" textRotation="0" wrapText="false" indent="0" shrinkToFit="false"/>
      <protection locked="true" hidden="false"/>
    </xf>
    <xf numFmtId="164" fontId="58" fillId="7" borderId="12" xfId="0" applyFont="true" applyBorder="true" applyAlignment="true" applyProtection="false">
      <alignment horizontal="center" vertical="center" textRotation="0" wrapText="true" indent="0" shrinkToFit="false"/>
      <protection locked="true" hidden="false"/>
    </xf>
    <xf numFmtId="166" fontId="59" fillId="7" borderId="12" xfId="0" applyFont="true" applyBorder="true" applyAlignment="true" applyProtection="false">
      <alignment horizontal="right" vertical="center" textRotation="0" wrapText="false" indent="0" shrinkToFit="false"/>
      <protection locked="true" hidden="false"/>
    </xf>
    <xf numFmtId="165" fontId="52" fillId="6" borderId="12" xfId="0" applyFont="true" applyBorder="true" applyAlignment="true" applyProtection="false">
      <alignment horizontal="left" vertical="center" textRotation="0" wrapText="false" indent="0" shrinkToFit="false"/>
      <protection locked="true" hidden="false"/>
    </xf>
    <xf numFmtId="167" fontId="57" fillId="6" borderId="12" xfId="0" applyFont="true" applyBorder="true" applyAlignment="true" applyProtection="false">
      <alignment horizontal="right" vertical="center" textRotation="0" wrapText="false" indent="0" shrinkToFit="false"/>
      <protection locked="true" hidden="false"/>
    </xf>
    <xf numFmtId="167" fontId="53" fillId="6" borderId="12" xfId="0" applyFont="true" applyBorder="true" applyAlignment="true" applyProtection="false">
      <alignment horizontal="right" vertical="center" textRotation="0" wrapText="false" indent="0" shrinkToFit="false"/>
      <protection locked="true" hidden="false"/>
    </xf>
    <xf numFmtId="165" fontId="52" fillId="4" borderId="12" xfId="0" applyFont="true" applyBorder="true" applyAlignment="true" applyProtection="false">
      <alignment horizontal="left" vertical="center" textRotation="0" wrapText="false" indent="0" shrinkToFit="false"/>
      <protection locked="true" hidden="false"/>
    </xf>
    <xf numFmtId="167" fontId="57" fillId="4" borderId="12" xfId="0" applyFont="true" applyBorder="true" applyAlignment="true" applyProtection="false">
      <alignment horizontal="right" vertical="center" textRotation="0" wrapText="false" indent="0" shrinkToFit="false"/>
      <protection locked="true" hidden="false"/>
    </xf>
    <xf numFmtId="167" fontId="53" fillId="4" borderId="12" xfId="0" applyFont="true" applyBorder="true" applyAlignment="true" applyProtection="false">
      <alignment horizontal="right" vertical="center" textRotation="0" wrapText="false" indent="0" shrinkToFit="false"/>
      <protection locked="true" hidden="false"/>
    </xf>
    <xf numFmtId="164" fontId="53" fillId="6" borderId="12" xfId="0" applyFont="true" applyBorder="true" applyAlignment="true" applyProtection="false">
      <alignment horizontal="left" vertical="center" textRotation="0" wrapText="false" indent="0" shrinkToFit="false"/>
      <protection locked="true" hidden="false"/>
    </xf>
    <xf numFmtId="166" fontId="48" fillId="8" borderId="12" xfId="0" applyFont="true" applyBorder="true" applyAlignment="true" applyProtection="false">
      <alignment horizontal="right" vertical="center" textRotation="0" wrapText="false" indent="0" shrinkToFit="false"/>
      <protection locked="true" hidden="false"/>
    </xf>
    <xf numFmtId="164" fontId="53" fillId="6" borderId="12" xfId="0" applyFont="true" applyBorder="true" applyAlignment="true" applyProtection="false">
      <alignment horizontal="center" vertical="center" textRotation="0" wrapText="true" indent="0" shrinkToFit="false"/>
      <protection locked="true" hidden="false"/>
    </xf>
    <xf numFmtId="164" fontId="53" fillId="4" borderId="12" xfId="0" applyFont="true" applyBorder="true" applyAlignment="true" applyProtection="false">
      <alignment horizontal="left" vertical="center" textRotation="0" wrapText="false" indent="0" shrinkToFit="false"/>
      <protection locked="true" hidden="false"/>
    </xf>
    <xf numFmtId="164" fontId="53" fillId="4" borderId="12" xfId="0" applyFont="true" applyBorder="true" applyAlignment="true" applyProtection="false">
      <alignment horizontal="center" vertical="center" textRotation="0" wrapText="true" indent="0" shrinkToFit="false"/>
      <protection locked="true" hidden="false"/>
    </xf>
    <xf numFmtId="164" fontId="36" fillId="2" borderId="14" xfId="0" applyFont="true" applyBorder="tru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6" fontId="60" fillId="7" borderId="17" xfId="0" applyFont="true" applyBorder="true" applyAlignment="true" applyProtection="false">
      <alignment horizontal="right" vertical="center" textRotation="0" wrapText="false" indent="0" shrinkToFit="false"/>
      <protection locked="true" hidden="false"/>
    </xf>
    <xf numFmtId="166" fontId="61" fillId="7" borderId="17" xfId="0" applyFont="true" applyBorder="true" applyAlignment="true" applyProtection="false">
      <alignment horizontal="right" vertical="center" textRotation="0" wrapText="false" indent="0" shrinkToFit="false"/>
      <protection locked="true" hidden="false"/>
    </xf>
    <xf numFmtId="166" fontId="62" fillId="7" borderId="17" xfId="0" applyFont="true" applyBorder="true" applyAlignment="true" applyProtection="false">
      <alignment horizontal="right" vertical="center" textRotation="0" wrapText="false" indent="0" shrinkToFit="false"/>
      <protection locked="true" hidden="false"/>
    </xf>
    <xf numFmtId="166" fontId="7" fillId="7" borderId="17" xfId="0" applyFont="true" applyBorder="true" applyAlignment="true" applyProtection="false">
      <alignment horizontal="right" vertical="center" textRotation="0" wrapText="false" indent="0" shrinkToFit="false"/>
      <protection locked="true" hidden="false"/>
    </xf>
    <xf numFmtId="164" fontId="52" fillId="6" borderId="12" xfId="0" applyFont="true" applyBorder="true" applyAlignment="true" applyProtection="false">
      <alignment horizontal="left" vertical="center" textRotation="0" wrapText="false" indent="0" shrinkToFit="false"/>
      <protection locked="true" hidden="false"/>
    </xf>
    <xf numFmtId="168" fontId="53" fillId="6" borderId="12" xfId="0" applyFont="true" applyBorder="true" applyAlignment="true" applyProtection="false">
      <alignment horizontal="center" vertical="center" textRotation="0" wrapText="true" indent="0" shrinkToFit="false"/>
      <protection locked="true" hidden="false"/>
    </xf>
    <xf numFmtId="164" fontId="52" fillId="4" borderId="12" xfId="0" applyFont="true" applyBorder="true" applyAlignment="true" applyProtection="false">
      <alignment horizontal="left" vertical="center" textRotation="0" wrapText="false" indent="0" shrinkToFit="false"/>
      <protection locked="true" hidden="false"/>
    </xf>
    <xf numFmtId="168" fontId="53" fillId="4" borderId="12" xfId="0" applyFont="true" applyBorder="true" applyAlignment="true" applyProtection="false">
      <alignment horizontal="center" vertical="center" textRotation="0" wrapText="true" indent="0" shrinkToFit="false"/>
      <protection locked="true" hidden="false"/>
    </xf>
    <xf numFmtId="168" fontId="36" fillId="2" borderId="14" xfId="0" applyFont="true" applyBorder="true" applyAlignment="true" applyProtection="false">
      <alignment horizontal="center" vertical="center" textRotation="0" wrapText="true" indent="0" shrinkToFit="false"/>
      <protection locked="true" hidden="false"/>
    </xf>
    <xf numFmtId="164" fontId="56" fillId="0" borderId="0"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6" fontId="63" fillId="0" borderId="12" xfId="0" applyFont="true" applyBorder="true" applyAlignment="true" applyProtection="false">
      <alignment horizontal="right" vertical="center" textRotation="0" wrapText="false" indent="0" shrinkToFit="false"/>
      <protection locked="true" hidden="false"/>
    </xf>
    <xf numFmtId="167" fontId="63" fillId="6" borderId="12" xfId="0" applyFont="true" applyBorder="true" applyAlignment="true" applyProtection="false">
      <alignment horizontal="right" vertical="center" textRotation="0" wrapText="false" indent="0" shrinkToFit="false"/>
      <protection locked="true" hidden="false"/>
    </xf>
    <xf numFmtId="168" fontId="48" fillId="8" borderId="12" xfId="0" applyFont="true" applyBorder="true" applyAlignment="true" applyProtection="false">
      <alignment horizontal="center" vertical="center" textRotation="0" wrapText="true" indent="0" shrinkToFit="false"/>
      <protection locked="true" hidden="false"/>
    </xf>
    <xf numFmtId="167" fontId="63" fillId="4" borderId="12" xfId="0" applyFont="true" applyBorder="true" applyAlignment="true" applyProtection="false">
      <alignment horizontal="right" vertical="center"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6" fontId="64" fillId="7" borderId="17" xfId="0" applyFont="true" applyBorder="true" applyAlignment="true" applyProtection="false">
      <alignment horizontal="right" vertical="center" textRotation="0" wrapText="false" indent="0" shrinkToFit="false"/>
      <protection locked="true" hidden="false"/>
    </xf>
    <xf numFmtId="166" fontId="52" fillId="7" borderId="12" xfId="0" applyFont="true" applyBorder="true" applyAlignment="true" applyProtection="false">
      <alignment horizontal="right" vertical="center" textRotation="0" wrapText="false" indent="0" shrinkToFit="false"/>
      <protection locked="true" hidden="false"/>
    </xf>
    <xf numFmtId="164" fontId="52" fillId="7" borderId="12" xfId="0" applyFont="true" applyBorder="true" applyAlignment="true" applyProtection="false">
      <alignment horizontal="left" vertical="center" textRotation="0" wrapText="false" indent="0" shrinkToFit="false"/>
      <protection locked="true" hidden="false"/>
    </xf>
    <xf numFmtId="164" fontId="32" fillId="6" borderId="12" xfId="0" applyFont="true" applyBorder="true" applyAlignment="true" applyProtection="false">
      <alignment horizontal="center" vertical="center" textRotation="0" wrapText="true" indent="0" shrinkToFit="false"/>
      <protection locked="true" hidden="false"/>
    </xf>
    <xf numFmtId="166" fontId="49" fillId="6" borderId="12" xfId="0" applyFont="true" applyBorder="true" applyAlignment="true" applyProtection="false">
      <alignment horizontal="right" vertical="center" textRotation="0" wrapText="false" indent="0" shrinkToFit="false"/>
      <protection locked="true" hidden="false"/>
    </xf>
    <xf numFmtId="166" fontId="20" fillId="6" borderId="12" xfId="0" applyFont="true" applyBorder="true" applyAlignment="true" applyProtection="false">
      <alignment horizontal="right" vertical="center" textRotation="0" wrapText="false" indent="0" shrinkToFit="false"/>
      <protection locked="true" hidden="false"/>
    </xf>
    <xf numFmtId="164" fontId="32" fillId="4" borderId="12" xfId="0" applyFont="true" applyBorder="true" applyAlignment="true" applyProtection="false">
      <alignment horizontal="center" vertical="center" textRotation="0" wrapText="true" indent="0" shrinkToFit="false"/>
      <protection locked="true" hidden="false"/>
    </xf>
    <xf numFmtId="166" fontId="49" fillId="4" borderId="12" xfId="0" applyFont="true" applyBorder="true" applyAlignment="true" applyProtection="false">
      <alignment horizontal="right" vertical="center" textRotation="0" wrapText="false" indent="0" shrinkToFit="false"/>
      <protection locked="true" hidden="false"/>
    </xf>
    <xf numFmtId="166" fontId="20" fillId="4" borderId="12" xfId="0" applyFont="true" applyBorder="true" applyAlignment="true" applyProtection="false">
      <alignment horizontal="right" vertical="center" textRotation="0" wrapText="false" indent="0" shrinkToFit="false"/>
      <protection locked="true" hidden="false"/>
    </xf>
    <xf numFmtId="164" fontId="15" fillId="5" borderId="0" xfId="0" applyFont="true" applyBorder="false" applyAlignment="true" applyProtection="false">
      <alignment horizontal="left" vertical="center" textRotation="0" wrapText="false" indent="1" shrinkToFit="false"/>
      <protection locked="true" hidden="false"/>
    </xf>
    <xf numFmtId="164" fontId="46" fillId="8" borderId="12" xfId="0" applyFont="true" applyBorder="true" applyAlignment="true" applyProtection="false">
      <alignment horizontal="left" vertical="center" textRotation="0" wrapText="false" indent="0" shrinkToFit="false"/>
      <protection locked="true" hidden="false"/>
    </xf>
    <xf numFmtId="164" fontId="53" fillId="9" borderId="12" xfId="0" applyFont="true" applyBorder="true" applyAlignment="true" applyProtection="false">
      <alignment horizontal="left" vertical="center" textRotation="0" wrapText="false" indent="0" shrinkToFit="false"/>
      <protection locked="true" hidden="false"/>
    </xf>
    <xf numFmtId="164" fontId="23" fillId="0" borderId="12" xfId="0" applyFont="true" applyBorder="true" applyAlignment="true" applyProtection="false">
      <alignment horizontal="left" vertical="center" textRotation="0" wrapText="false" indent="0" shrinkToFit="false"/>
      <protection locked="true" hidden="false"/>
    </xf>
    <xf numFmtId="164" fontId="20" fillId="9" borderId="12" xfId="0" applyFont="true" applyBorder="true" applyAlignment="true" applyProtection="false">
      <alignment horizontal="left" vertical="center" textRotation="0" wrapText="false" indent="0" shrinkToFit="false"/>
      <protection locked="true" hidden="false"/>
    </xf>
    <xf numFmtId="172" fontId="48" fillId="8" borderId="12" xfId="0" applyFont="true" applyBorder="true" applyAlignment="true" applyProtection="false">
      <alignment horizontal="center" vertical="center" textRotation="0" wrapText="true" indent="0" shrinkToFit="false"/>
      <protection locked="true" hidden="false"/>
    </xf>
    <xf numFmtId="172" fontId="56" fillId="0" borderId="12" xfId="0" applyFont="true" applyBorder="true" applyAlignment="true" applyProtection="false">
      <alignment horizontal="center" vertical="center" textRotation="0" wrapText="true" indent="0" shrinkToFit="false"/>
      <protection locked="true" hidden="false"/>
    </xf>
    <xf numFmtId="165" fontId="56" fillId="0" borderId="12" xfId="0" applyFont="true" applyBorder="true" applyAlignment="true" applyProtection="false">
      <alignment horizontal="center" vertical="center" textRotation="0" wrapText="true" indent="0" shrinkToFit="false"/>
      <protection locked="true" hidden="false"/>
    </xf>
    <xf numFmtId="164" fontId="0" fillId="8" borderId="17"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left" vertical="center" textRotation="0" wrapText="false" indent="0" shrinkToFit="false"/>
      <protection locked="true" hidden="false"/>
    </xf>
    <xf numFmtId="164" fontId="0" fillId="6" borderId="17"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4" fontId="0" fillId="9" borderId="17" xfId="0" applyFont="true" applyBorder="true" applyAlignment="false" applyProtection="false">
      <alignment horizontal="general" vertical="bottom" textRotation="0" wrapText="false" indent="0" shrinkToFit="false"/>
      <protection locked="true" hidden="false"/>
    </xf>
    <xf numFmtId="164" fontId="65" fillId="0" borderId="0" xfId="0" applyFont="true" applyBorder="false" applyAlignment="true" applyProtection="false">
      <alignment horizontal="left" vertical="center" textRotation="0" wrapText="false" indent="0" shrinkToFit="false"/>
      <protection locked="true" hidden="false"/>
    </xf>
    <xf numFmtId="164" fontId="0" fillId="10" borderId="17" xfId="0" applyFont="true" applyBorder="true" applyAlignment="false" applyProtection="false">
      <alignment horizontal="general" vertical="bottom" textRotation="0" wrapText="false" indent="0" shrinkToFit="false"/>
      <protection locked="true" hidden="false"/>
    </xf>
    <xf numFmtId="164" fontId="66" fillId="0" borderId="0" xfId="0" applyFont="true" applyBorder="false" applyAlignment="true" applyProtection="false">
      <alignment horizontal="left" vertical="center" textRotation="0" wrapText="false" indent="0" shrinkToFit="false"/>
      <protection locked="true" hidden="false"/>
    </xf>
    <xf numFmtId="168" fontId="20" fillId="6" borderId="12" xfId="0" applyFont="true" applyBorder="true" applyAlignment="true" applyProtection="false">
      <alignment horizontal="right" vertical="center" textRotation="0" wrapText="false" indent="0" shrinkToFit="false"/>
      <protection locked="true" hidden="false"/>
    </xf>
    <xf numFmtId="168" fontId="20" fillId="4" borderId="12"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ont>
        <name val="Arial"/>
        <charset val="1"/>
        <family val="0"/>
        <b val="1"/>
        <color rgb="FFB3261E"/>
        <sz val="18"/>
      </font>
    </dxf>
    <dxf>
      <fill>
        <patternFill patternType="solid">
          <fgColor rgb="FF5D4037"/>
          <bgColor rgb="FF000000"/>
        </patternFill>
      </fill>
    </dxf>
    <dxf>
      <fill>
        <patternFill patternType="solid">
          <fgColor rgb="FFE6F2E6"/>
          <bgColor rgb="FF000000"/>
        </patternFill>
      </fill>
    </dxf>
    <dxf>
      <fill>
        <patternFill patternType="solid">
          <fgColor rgb="FFFBF6EF"/>
          <bgColor rgb="FF000000"/>
        </patternFill>
      </fill>
    </dxf>
    <dxf>
      <fill>
        <patternFill patternType="solid">
          <fgColor rgb="FFFFFFFF"/>
          <bgColor rgb="FF000000"/>
        </patternFill>
      </fill>
    </dxf>
    <dxf>
      <fill>
        <patternFill patternType="solid">
          <fgColor rgb="FF7A6E66"/>
          <bgColor rgb="FF000000"/>
        </patternFill>
      </fill>
    </dxf>
    <dxf>
      <fill>
        <patternFill patternType="solid">
          <fgColor rgb="FF1A56A0"/>
          <bgColor rgb="FF000000"/>
        </patternFill>
      </fill>
    </dxf>
    <dxf>
      <fill>
        <patternFill patternType="solid">
          <fgColor rgb="FF1F1A17"/>
          <bgColor rgb="FF000000"/>
        </patternFill>
      </fill>
    </dxf>
    <dxf>
      <fill>
        <patternFill patternType="solid">
          <fgColor rgb="FF2E7D32"/>
          <bgColor rgb="FF000000"/>
        </patternFill>
      </fill>
    </dxf>
    <dxf>
      <fill>
        <patternFill>
          <bgColor rgb="FFE6F2E6"/>
        </patternFill>
      </fill>
    </dxf>
    <dxf>
      <font>
        <name val="Arial"/>
        <charset val="1"/>
        <family val="0"/>
        <b val="1"/>
        <color rgb="FF2E7D32"/>
        <sz val="9"/>
      </font>
      <fill>
        <patternFill>
          <bgColor rgb="FFE6F2E6"/>
        </patternFill>
      </fill>
    </dxf>
    <dxf>
      <font>
        <name val="Arial"/>
        <charset val="1"/>
        <family val="0"/>
        <b val="1"/>
        <color rgb="FFB3261E"/>
        <sz val="9"/>
      </font>
      <fill>
        <patternFill>
          <bgColor rgb="FFFBE9E7"/>
        </patternFill>
      </fill>
    </dxf>
    <dxf>
      <font>
        <name val="Arial"/>
        <charset val="1"/>
        <family val="0"/>
        <b val="1"/>
        <color rgb="FFB3261E"/>
        <sz val="10"/>
      </font>
      <fill>
        <patternFill>
          <bgColor rgb="FFFBE9E7"/>
        </patternFill>
      </fill>
    </dxf>
    <dxf>
      <font>
        <name val="Arial"/>
        <charset val="1"/>
        <family val="0"/>
        <b val="1"/>
        <color rgb="FF2E7D32"/>
        <sz val="10"/>
      </font>
    </dxf>
    <dxf>
      <font>
        <name val="Arial"/>
        <charset val="1"/>
        <family val="0"/>
        <b val="1"/>
        <color rgb="FFB3261E"/>
        <sz val="10"/>
      </font>
    </dxf>
    <dxf>
      <fill>
        <patternFill>
          <bgColor rgb="FFF2EFE6"/>
        </patternFill>
      </fill>
    </dxf>
    <dxf>
      <font>
        <name val="Arial"/>
        <charset val="1"/>
        <family val="0"/>
        <b val="1"/>
        <color rgb="FFB3261E"/>
        <sz val="11"/>
      </font>
    </dxf>
    <dxf>
      <font>
        <name val="Arial"/>
        <charset val="1"/>
        <family val="0"/>
        <b val="1"/>
        <color rgb="FFB26A00"/>
        <sz val="8"/>
      </font>
      <fill>
        <patternFill>
          <bgColor rgb="FFFFF3C4"/>
        </patternFill>
      </fill>
    </dxf>
  </dxfs>
  <colors>
    <indexedColors>
      <rgbColor rgb="FF000000"/>
      <rgbColor rgb="FFFFFFFF"/>
      <rgbColor rgb="FFFF0000"/>
      <rgbColor rgb="FF00FF00"/>
      <rgbColor rgb="FF0000FF"/>
      <rgbColor rgb="FFFFFF00"/>
      <rgbColor rgb="FFFF00FF"/>
      <rgbColor rgb="FF00FFFF"/>
      <rgbColor rgb="FF800000"/>
      <rgbColor rgb="FF7A6E66"/>
      <rgbColor rgb="FF000080"/>
      <rgbColor rgb="FF9E9D24"/>
      <rgbColor rgb="FF800080"/>
      <rgbColor rgb="FF00695C"/>
      <rgbColor rgb="FFBDB2A5"/>
      <rgbColor rgb="FF878787"/>
      <rgbColor rgb="FF8D6E63"/>
      <rgbColor rgb="FF8E24AA"/>
      <rgbColor rgb="FFFFF3C4"/>
      <rgbColor rgb="FFE6F2E6"/>
      <rgbColor rgb="FF660066"/>
      <rgbColor rgb="FFC8A265"/>
      <rgbColor rgb="FF1A56A0"/>
      <rgbColor rgb="FFD9D9D9"/>
      <rgbColor rgb="FF000080"/>
      <rgbColor rgb="FFFF00FF"/>
      <rgbColor rgb="FFFFFF00"/>
      <rgbColor rgb="FF00FFFF"/>
      <rgbColor rgb="FF800080"/>
      <rgbColor rgb="FF800000"/>
      <rgbColor rgb="FF4E6E81"/>
      <rgbColor rgb="FF0000FF"/>
      <rgbColor rgb="FF00CCFF"/>
      <rgbColor rgb="FFF2EFE6"/>
      <rgbColor rgb="FFF3EADD"/>
      <rgbColor rgb="FFFBF6EF"/>
      <rgbColor rgb="FFFBE9E7"/>
      <rgbColor rgb="FFFF99CC"/>
      <rgbColor rgb="FFA67C52"/>
      <rgbColor rgb="FFE8DCC8"/>
      <rgbColor rgb="FF4F81BD"/>
      <rgbColor rgb="FF33CCCC"/>
      <rgbColor rgb="FF99CC00"/>
      <rgbColor rgb="FFFFCC00"/>
      <rgbColor rgb="FFC0873F"/>
      <rgbColor rgb="FFB26A00"/>
      <rgbColor rgb="FF546E7A"/>
      <rgbColor rgb="FF7A9E7E"/>
      <rgbColor rgb="FF003366"/>
      <rgbColor rgb="FF2E7D32"/>
      <rgbColor rgb="FF003300"/>
      <rgbColor rgb="FF1F1A17"/>
      <rgbColor rgb="FFB3261E"/>
      <rgbColor rgb="FF6D4C41"/>
      <rgbColor rgb="FF5D4037"/>
      <rgbColor rgb="FF3E27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Recette et dépenses, jour par jour (DH)</a:t>
            </a:r>
          </a:p>
        </c:rich>
      </c:tx>
      <c:overlay val="0"/>
      <c:spPr>
        <a:noFill/>
        <a:ln w="0">
          <a:noFill/>
        </a:ln>
      </c:spPr>
    </c:title>
    <c:autoTitleDeleted val="0"/>
    <c:plotArea>
      <c:barChart>
        <c:barDir val="col"/>
        <c:grouping val="clustered"/>
        <c:varyColors val="0"/>
        <c:ser>
          <c:idx val="0"/>
          <c:order val="0"/>
          <c:tx>
            <c:strRef>
              <c:f>'RECAP JOUR'!F5</c:f>
              <c:strCache>
                <c:ptCount val="1"/>
                <c:pt idx="0">
                  <c:v>TOTAL
RECETTE</c:v>
                </c:pt>
              </c:strCache>
            </c:strRef>
          </c:tx>
          <c:spPr>
            <a:solidFill>
              <a:srgbClr val="2e7d3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'RECAP JOUR'!$A$6:$A$36</c:f>
              <c:strCache>
                <c:ptCount val="31"/>
                <c:pt idx="0">
                  <c:v>01/08/2026</c:v>
                </c:pt>
                <c:pt idx="1">
                  <c:v>02/08/2026</c:v>
                </c:pt>
                <c:pt idx="2">
                  <c:v>03/08/2026</c:v>
                </c:pt>
                <c:pt idx="3">
                  <c:v>04/08/2026</c:v>
                </c:pt>
                <c:pt idx="4">
                  <c:v>05/08/2026</c:v>
                </c:pt>
                <c:pt idx="5">
                  <c:v>06/08/2026</c:v>
                </c:pt>
                <c:pt idx="6">
                  <c:v>07/08/2026</c:v>
                </c:pt>
                <c:pt idx="7">
                  <c:v>08/08/2026</c:v>
                </c:pt>
                <c:pt idx="8">
                  <c:v>09/08/2026</c:v>
                </c:pt>
                <c:pt idx="9">
                  <c:v>10/08/2026</c:v>
                </c:pt>
                <c:pt idx="10">
                  <c:v>11/08/2026</c:v>
                </c:pt>
                <c:pt idx="11">
                  <c:v>12/08/2026</c:v>
                </c:pt>
                <c:pt idx="12">
                  <c:v>13/08/2026</c:v>
                </c:pt>
                <c:pt idx="13">
                  <c:v>14/08/2026</c:v>
                </c:pt>
                <c:pt idx="14">
                  <c:v>15/08/2026</c:v>
                </c:pt>
                <c:pt idx="15">
                  <c:v>16/08/2026</c:v>
                </c:pt>
                <c:pt idx="16">
                  <c:v>17/08/2026</c:v>
                </c:pt>
                <c:pt idx="17">
                  <c:v>18/08/2026</c:v>
                </c:pt>
                <c:pt idx="18">
                  <c:v>19/08/2026</c:v>
                </c:pt>
                <c:pt idx="19">
                  <c:v>20/08/2026</c:v>
                </c:pt>
                <c:pt idx="20">
                  <c:v>21/08/2026</c:v>
                </c:pt>
                <c:pt idx="21">
                  <c:v>22/08/2026</c:v>
                </c:pt>
                <c:pt idx="22">
                  <c:v>23/08/2026</c:v>
                </c:pt>
                <c:pt idx="23">
                  <c:v>24/08/2026</c:v>
                </c:pt>
                <c:pt idx="24">
                  <c:v>25/08/2026</c:v>
                </c:pt>
                <c:pt idx="25">
                  <c:v>26/08/2026</c:v>
                </c:pt>
                <c:pt idx="26">
                  <c:v>27/08/2026</c:v>
                </c:pt>
                <c:pt idx="27">
                  <c:v>28/08/2026</c:v>
                </c:pt>
                <c:pt idx="28">
                  <c:v>29/08/2026</c:v>
                </c:pt>
                <c:pt idx="29">
                  <c:v>30/08/2026</c:v>
                </c:pt>
                <c:pt idx="30">
                  <c:v>31/08/2026</c:v>
                </c:pt>
              </c:strCache>
            </c:strRef>
          </c:cat>
          <c:val>
            <c:numRef>
              <c:f>'RECAP JOUR'!$F$6:$F$36</c:f>
              <c:numCache>
                <c:formatCode>#,##0" DH";[RED]\-#,##0" DH";\–</c:formatCode>
                <c:ptCount val="31"/>
                <c:pt idx="0">
                  <c:v>2335</c:v>
                </c:pt>
                <c:pt idx="1">
                  <c:v>2456</c:v>
                </c:pt>
                <c:pt idx="2">
                  <c:v>2456</c:v>
                </c:pt>
                <c:pt idx="3">
                  <c:v>2145</c:v>
                </c:pt>
                <c:pt idx="4">
                  <c:v>2233</c:v>
                </c:pt>
                <c:pt idx="5">
                  <c:v>2074</c:v>
                </c:pt>
                <c:pt idx="6">
                  <c:v>1892</c:v>
                </c:pt>
                <c:pt idx="7">
                  <c:v>2172</c:v>
                </c:pt>
                <c:pt idx="8">
                  <c:v>2218</c:v>
                </c:pt>
                <c:pt idx="9">
                  <c:v>1548</c:v>
                </c:pt>
                <c:pt idx="10">
                  <c:v>1973</c:v>
                </c:pt>
                <c:pt idx="11">
                  <c:v>2045</c:v>
                </c:pt>
                <c:pt idx="12">
                  <c:v>2014</c:v>
                </c:pt>
                <c:pt idx="13">
                  <c:v>1902</c:v>
                </c:pt>
                <c:pt idx="14">
                  <c:v>2053</c:v>
                </c:pt>
                <c:pt idx="15">
                  <c:v>2100</c:v>
                </c:pt>
                <c:pt idx="16">
                  <c:v>1930</c:v>
                </c:pt>
                <c:pt idx="17">
                  <c:v>2081</c:v>
                </c:pt>
                <c:pt idx="18">
                  <c:v>2002</c:v>
                </c:pt>
                <c:pt idx="19">
                  <c:v>2253</c:v>
                </c:pt>
                <c:pt idx="20">
                  <c:v>1607</c:v>
                </c:pt>
                <c:pt idx="21">
                  <c:v>1853</c:v>
                </c:pt>
                <c:pt idx="22">
                  <c:v>2141</c:v>
                </c:pt>
                <c:pt idx="23">
                  <c:v>2154</c:v>
                </c:pt>
                <c:pt idx="24">
                  <c:v>1900</c:v>
                </c:pt>
                <c:pt idx="25">
                  <c:v>1713</c:v>
                </c:pt>
                <c:pt idx="26">
                  <c:v>1687</c:v>
                </c:pt>
                <c:pt idx="27">
                  <c:v>0</c:v>
                </c:pt>
                <c:pt idx="28">
                  <c:v>0</c:v>
                </c:pt>
                <c:pt idx="29">
                  <c:v>0</c:v>
                </c:pt>
                <c:pt idx="30">
                  <c:v>0</c:v>
                </c:pt>
              </c:numCache>
            </c:numRef>
          </c:val>
        </c:ser>
        <c:ser>
          <c:idx val="1"/>
          <c:order val="1"/>
          <c:tx>
            <c:strRef>
              <c:f>'RECAP JOUR'!M5</c:f>
              <c:strCache>
                <c:ptCount val="1"/>
                <c:pt idx="0">
                  <c:v>TOTAL
DÉPENSES</c:v>
                </c:pt>
              </c:strCache>
            </c:strRef>
          </c:tx>
          <c:spPr>
            <a:solidFill>
              <a:srgbClr val="b3261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'RECAP JOUR'!$A$6:$A$36</c:f>
              <c:strCache>
                <c:ptCount val="31"/>
                <c:pt idx="0">
                  <c:v>01/08/2026</c:v>
                </c:pt>
                <c:pt idx="1">
                  <c:v>02/08/2026</c:v>
                </c:pt>
                <c:pt idx="2">
                  <c:v>03/08/2026</c:v>
                </c:pt>
                <c:pt idx="3">
                  <c:v>04/08/2026</c:v>
                </c:pt>
                <c:pt idx="4">
                  <c:v>05/08/2026</c:v>
                </c:pt>
                <c:pt idx="5">
                  <c:v>06/08/2026</c:v>
                </c:pt>
                <c:pt idx="6">
                  <c:v>07/08/2026</c:v>
                </c:pt>
                <c:pt idx="7">
                  <c:v>08/08/2026</c:v>
                </c:pt>
                <c:pt idx="8">
                  <c:v>09/08/2026</c:v>
                </c:pt>
                <c:pt idx="9">
                  <c:v>10/08/2026</c:v>
                </c:pt>
                <c:pt idx="10">
                  <c:v>11/08/2026</c:v>
                </c:pt>
                <c:pt idx="11">
                  <c:v>12/08/2026</c:v>
                </c:pt>
                <c:pt idx="12">
                  <c:v>13/08/2026</c:v>
                </c:pt>
                <c:pt idx="13">
                  <c:v>14/08/2026</c:v>
                </c:pt>
                <c:pt idx="14">
                  <c:v>15/08/2026</c:v>
                </c:pt>
                <c:pt idx="15">
                  <c:v>16/08/2026</c:v>
                </c:pt>
                <c:pt idx="16">
                  <c:v>17/08/2026</c:v>
                </c:pt>
                <c:pt idx="17">
                  <c:v>18/08/2026</c:v>
                </c:pt>
                <c:pt idx="18">
                  <c:v>19/08/2026</c:v>
                </c:pt>
                <c:pt idx="19">
                  <c:v>20/08/2026</c:v>
                </c:pt>
                <c:pt idx="20">
                  <c:v>21/08/2026</c:v>
                </c:pt>
                <c:pt idx="21">
                  <c:v>22/08/2026</c:v>
                </c:pt>
                <c:pt idx="22">
                  <c:v>23/08/2026</c:v>
                </c:pt>
                <c:pt idx="23">
                  <c:v>24/08/2026</c:v>
                </c:pt>
                <c:pt idx="24">
                  <c:v>25/08/2026</c:v>
                </c:pt>
                <c:pt idx="25">
                  <c:v>26/08/2026</c:v>
                </c:pt>
                <c:pt idx="26">
                  <c:v>27/08/2026</c:v>
                </c:pt>
                <c:pt idx="27">
                  <c:v>28/08/2026</c:v>
                </c:pt>
                <c:pt idx="28">
                  <c:v>29/08/2026</c:v>
                </c:pt>
                <c:pt idx="29">
                  <c:v>30/08/2026</c:v>
                </c:pt>
                <c:pt idx="30">
                  <c:v>31/08/2026</c:v>
                </c:pt>
              </c:strCache>
            </c:strRef>
          </c:cat>
          <c:val>
            <c:numRef>
              <c:f>'RECAP JOUR'!$M$6:$M$36</c:f>
              <c:numCache>
                <c:formatCode>#,##0" DH";[RED]\-#,##0" DH";\–</c:formatCode>
                <c:ptCount val="31"/>
                <c:pt idx="0">
                  <c:v>921</c:v>
                </c:pt>
                <c:pt idx="1">
                  <c:v>3612</c:v>
                </c:pt>
                <c:pt idx="2">
                  <c:v>615</c:v>
                </c:pt>
                <c:pt idx="3">
                  <c:v>1566</c:v>
                </c:pt>
                <c:pt idx="4">
                  <c:v>721</c:v>
                </c:pt>
                <c:pt idx="5">
                  <c:v>741</c:v>
                </c:pt>
                <c:pt idx="6">
                  <c:v>476</c:v>
                </c:pt>
                <c:pt idx="7">
                  <c:v>756</c:v>
                </c:pt>
                <c:pt idx="8">
                  <c:v>3873</c:v>
                </c:pt>
                <c:pt idx="9">
                  <c:v>621</c:v>
                </c:pt>
                <c:pt idx="10">
                  <c:v>7887</c:v>
                </c:pt>
                <c:pt idx="11">
                  <c:v>2341</c:v>
                </c:pt>
                <c:pt idx="12">
                  <c:v>615</c:v>
                </c:pt>
                <c:pt idx="13">
                  <c:v>756</c:v>
                </c:pt>
                <c:pt idx="14">
                  <c:v>606</c:v>
                </c:pt>
                <c:pt idx="15">
                  <c:v>6971</c:v>
                </c:pt>
                <c:pt idx="16">
                  <c:v>756</c:v>
                </c:pt>
                <c:pt idx="17">
                  <c:v>615</c:v>
                </c:pt>
                <c:pt idx="18">
                  <c:v>2216</c:v>
                </c:pt>
                <c:pt idx="19">
                  <c:v>670</c:v>
                </c:pt>
                <c:pt idx="20">
                  <c:v>556</c:v>
                </c:pt>
                <c:pt idx="21">
                  <c:v>1198</c:v>
                </c:pt>
                <c:pt idx="22">
                  <c:v>3271</c:v>
                </c:pt>
                <c:pt idx="23">
                  <c:v>5606</c:v>
                </c:pt>
                <c:pt idx="24">
                  <c:v>721</c:v>
                </c:pt>
                <c:pt idx="25">
                  <c:v>1436</c:v>
                </c:pt>
                <c:pt idx="26">
                  <c:v>591</c:v>
                </c:pt>
                <c:pt idx="27">
                  <c:v>0</c:v>
                </c:pt>
                <c:pt idx="28">
                  <c:v>0</c:v>
                </c:pt>
                <c:pt idx="29">
                  <c:v>0</c:v>
                </c:pt>
                <c:pt idx="30">
                  <c:v>0</c:v>
                </c:pt>
              </c:numCache>
            </c:numRef>
          </c:val>
        </c:ser>
        <c:gapWidth val="40"/>
        <c:overlap val="0"/>
        <c:axId val="53720470"/>
        <c:axId val="16866778"/>
      </c:barChart>
      <c:catAx>
        <c:axId val="53720470"/>
        <c:scaling>
          <c:orientation val="minMax"/>
        </c:scaling>
        <c:delete val="0"/>
        <c:axPos val="b"/>
        <c:numFmt formatCode="dd/mm/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866778"/>
        <c:crosses val="autoZero"/>
        <c:auto val="1"/>
        <c:lblAlgn val="ctr"/>
        <c:lblOffset val="100"/>
        <c:noMultiLvlLbl val="0"/>
      </c:catAx>
      <c:valAx>
        <c:axId val="16866778"/>
        <c:scaling>
          <c:orientation val="minMax"/>
        </c:scaling>
        <c:delete val="0"/>
        <c:axPos val="l"/>
        <c:majorGridlines>
          <c:spPr>
            <a:ln w="9360">
              <a:solidFill>
                <a:srgbClr val="e8dcc8"/>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Dirhams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72047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Caisse cumulée au fil du mois (DH)</a:t>
            </a:r>
          </a:p>
        </c:rich>
      </c:tx>
      <c:overlay val="0"/>
      <c:spPr>
        <a:noFill/>
        <a:ln w="0">
          <a:noFill/>
        </a:ln>
      </c:spPr>
    </c:title>
    <c:autoTitleDeleted val="0"/>
    <c:plotArea>
      <c:lineChart>
        <c:grouping val="standard"/>
        <c:varyColors val="0"/>
        <c:ser>
          <c:idx val="0"/>
          <c:order val="0"/>
          <c:tx>
            <c:strRef>
              <c:f>'RECAP JOUR'!O5</c:f>
              <c:strCache>
                <c:ptCount val="1"/>
                <c:pt idx="0">
                  <c:v>CAISSE
CUMULÉE</c:v>
                </c:pt>
              </c:strCache>
            </c:strRef>
          </c:tx>
          <c:spPr>
            <a:solidFill>
              <a:srgbClr val="3e2723"/>
            </a:solidFill>
            <a:ln w="28080">
              <a:solidFill>
                <a:srgbClr val="3e2723"/>
              </a:solidFill>
              <a:round/>
            </a:ln>
          </c:spPr>
          <c:marker>
            <c:symbol val="circle"/>
            <c:size val="5"/>
            <c:spPr>
              <a:solidFill>
                <a:srgbClr val="3e2723"/>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'RECAP JOUR'!$A$6:$A$36</c:f>
              <c:strCache>
                <c:ptCount val="31"/>
                <c:pt idx="0">
                  <c:v>01/08/2026</c:v>
                </c:pt>
                <c:pt idx="1">
                  <c:v>02/08/2026</c:v>
                </c:pt>
                <c:pt idx="2">
                  <c:v>03/08/2026</c:v>
                </c:pt>
                <c:pt idx="3">
                  <c:v>04/08/2026</c:v>
                </c:pt>
                <c:pt idx="4">
                  <c:v>05/08/2026</c:v>
                </c:pt>
                <c:pt idx="5">
                  <c:v>06/08/2026</c:v>
                </c:pt>
                <c:pt idx="6">
                  <c:v>07/08/2026</c:v>
                </c:pt>
                <c:pt idx="7">
                  <c:v>08/08/2026</c:v>
                </c:pt>
                <c:pt idx="8">
                  <c:v>09/08/2026</c:v>
                </c:pt>
                <c:pt idx="9">
                  <c:v>10/08/2026</c:v>
                </c:pt>
                <c:pt idx="10">
                  <c:v>11/08/2026</c:v>
                </c:pt>
                <c:pt idx="11">
                  <c:v>12/08/2026</c:v>
                </c:pt>
                <c:pt idx="12">
                  <c:v>13/08/2026</c:v>
                </c:pt>
                <c:pt idx="13">
                  <c:v>14/08/2026</c:v>
                </c:pt>
                <c:pt idx="14">
                  <c:v>15/08/2026</c:v>
                </c:pt>
                <c:pt idx="15">
                  <c:v>16/08/2026</c:v>
                </c:pt>
                <c:pt idx="16">
                  <c:v>17/08/2026</c:v>
                </c:pt>
                <c:pt idx="17">
                  <c:v>18/08/2026</c:v>
                </c:pt>
                <c:pt idx="18">
                  <c:v>19/08/2026</c:v>
                </c:pt>
                <c:pt idx="19">
                  <c:v>20/08/2026</c:v>
                </c:pt>
                <c:pt idx="20">
                  <c:v>21/08/2026</c:v>
                </c:pt>
                <c:pt idx="21">
                  <c:v>22/08/2026</c:v>
                </c:pt>
                <c:pt idx="22">
                  <c:v>23/08/2026</c:v>
                </c:pt>
                <c:pt idx="23">
                  <c:v>24/08/2026</c:v>
                </c:pt>
                <c:pt idx="24">
                  <c:v>25/08/2026</c:v>
                </c:pt>
                <c:pt idx="25">
                  <c:v>26/08/2026</c:v>
                </c:pt>
                <c:pt idx="26">
                  <c:v>27/08/2026</c:v>
                </c:pt>
                <c:pt idx="27">
                  <c:v>28/08/2026</c:v>
                </c:pt>
                <c:pt idx="28">
                  <c:v>29/08/2026</c:v>
                </c:pt>
                <c:pt idx="29">
                  <c:v>30/08/2026</c:v>
                </c:pt>
                <c:pt idx="30">
                  <c:v>31/08/2026</c:v>
                </c:pt>
              </c:strCache>
            </c:strRef>
          </c:cat>
          <c:val>
            <c:numRef>
              <c:f>'RECAP JOUR'!$O$6:$O$36</c:f>
              <c:numCache>
                <c:formatCode>#,##0" DH";[RED]\-#,##0" DH";\–</c:formatCode>
                <c:ptCount val="31"/>
                <c:pt idx="0">
                  <c:v>1414</c:v>
                </c:pt>
                <c:pt idx="1">
                  <c:v>258</c:v>
                </c:pt>
                <c:pt idx="2">
                  <c:v>2099</c:v>
                </c:pt>
                <c:pt idx="3">
                  <c:v>2678</c:v>
                </c:pt>
                <c:pt idx="4">
                  <c:v>4190</c:v>
                </c:pt>
                <c:pt idx="5">
                  <c:v>5523</c:v>
                </c:pt>
                <c:pt idx="6">
                  <c:v>6939</c:v>
                </c:pt>
                <c:pt idx="7">
                  <c:v>8355</c:v>
                </c:pt>
                <c:pt idx="8">
                  <c:v>6700</c:v>
                </c:pt>
                <c:pt idx="9">
                  <c:v>7627</c:v>
                </c:pt>
                <c:pt idx="10">
                  <c:v>1713</c:v>
                </c:pt>
                <c:pt idx="11">
                  <c:v>1417</c:v>
                </c:pt>
                <c:pt idx="12">
                  <c:v>2816</c:v>
                </c:pt>
                <c:pt idx="13">
                  <c:v>3962</c:v>
                </c:pt>
                <c:pt idx="14">
                  <c:v>5409</c:v>
                </c:pt>
                <c:pt idx="15">
                  <c:v>538</c:v>
                </c:pt>
                <c:pt idx="16">
                  <c:v>1712</c:v>
                </c:pt>
                <c:pt idx="17">
                  <c:v>3178</c:v>
                </c:pt>
                <c:pt idx="18">
                  <c:v>2964</c:v>
                </c:pt>
                <c:pt idx="19">
                  <c:v>4547</c:v>
                </c:pt>
                <c:pt idx="20">
                  <c:v>5598</c:v>
                </c:pt>
                <c:pt idx="21">
                  <c:v>6253</c:v>
                </c:pt>
                <c:pt idx="22">
                  <c:v>5123</c:v>
                </c:pt>
                <c:pt idx="23">
                  <c:v>1671</c:v>
                </c:pt>
                <c:pt idx="24">
                  <c:v>2850</c:v>
                </c:pt>
                <c:pt idx="25">
                  <c:v>3127</c:v>
                </c:pt>
                <c:pt idx="26">
                  <c:v>4223</c:v>
                </c:pt>
                <c:pt idx="27">
                  <c:v>4223</c:v>
                </c:pt>
                <c:pt idx="28">
                  <c:v>4223</c:v>
                </c:pt>
                <c:pt idx="29">
                  <c:v>4223</c:v>
                </c:pt>
                <c:pt idx="30">
                  <c:v>4223</c:v>
                </c:pt>
              </c:numCache>
            </c:numRef>
          </c:val>
          <c:smooth val="0"/>
        </c:ser>
        <c:hiLowLines>
          <c:spPr>
            <a:ln w="0">
              <a:noFill/>
            </a:ln>
          </c:spPr>
        </c:hiLowLines>
        <c:marker val="1"/>
        <c:axId val="59673934"/>
        <c:axId val="44630602"/>
      </c:lineChart>
      <c:catAx>
        <c:axId val="59673934"/>
        <c:scaling>
          <c:orientation val="minMax"/>
        </c:scaling>
        <c:delete val="0"/>
        <c:axPos val="b"/>
        <c:numFmt formatCode="dd/mm/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630602"/>
        <c:crosses val="autoZero"/>
        <c:auto val="1"/>
        <c:lblAlgn val="ctr"/>
        <c:lblOffset val="100"/>
        <c:noMultiLvlLbl val="0"/>
      </c:catAx>
      <c:valAx>
        <c:axId val="44630602"/>
        <c:scaling>
          <c:orientation val="minMax"/>
        </c:scaling>
        <c:delete val="0"/>
        <c:axPos val="l"/>
        <c:majorGridlines>
          <c:spPr>
            <a:ln w="9360">
              <a:solidFill>
                <a:srgbClr val="e8dcc8"/>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67393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Où part l’argent : dépenses par catégorie (DH)</a:t>
            </a:r>
          </a:p>
        </c:rich>
      </c:tx>
      <c:overlay val="0"/>
      <c:spPr>
        <a:noFill/>
        <a:ln w="0">
          <a:noFill/>
        </a:ln>
      </c:spPr>
    </c:title>
    <c:autoTitleDeleted val="0"/>
    <c:plotArea>
      <c:barChart>
        <c:barDir val="bar"/>
        <c:grouping val="clustered"/>
        <c:varyColors val="0"/>
        <c:ser>
          <c:idx val="0"/>
          <c:order val="0"/>
          <c:tx>
            <c:strRef>
              <c:f>'TABLEAU DE BORD'!B59</c:f>
              <c:strCache>
                <c:ptCount val="1"/>
                <c:pt idx="0">
                  <c:v>MONTANT</c:v>
                </c:pt>
              </c:strCache>
            </c:strRef>
          </c:tx>
          <c:spPr>
            <a:solidFill>
              <a:srgbClr val="4f81bd"/>
            </a:solidFill>
            <a:ln w="0">
              <a:noFill/>
            </a:ln>
          </c:spPr>
          <c:invertIfNegative val="0"/>
          <c:dPt>
            <c:idx val="0"/>
            <c:invertIfNegative val="0"/>
            <c:spPr>
              <a:solidFill>
                <a:srgbClr val="2e7d32"/>
              </a:solidFill>
              <a:ln w="0">
                <a:noFill/>
              </a:ln>
            </c:spPr>
          </c:dPt>
          <c:dPt>
            <c:idx val="1"/>
            <c:invertIfNegative val="0"/>
            <c:spPr>
              <a:solidFill>
                <a:srgbClr val="b3261e"/>
              </a:solidFill>
              <a:ln w="0">
                <a:noFill/>
              </a:ln>
            </c:spPr>
          </c:dPt>
          <c:dPt>
            <c:idx val="2"/>
            <c:invertIfNegative val="0"/>
            <c:spPr>
              <a:solidFill>
                <a:srgbClr val="c8a265"/>
              </a:solidFill>
              <a:ln w="0">
                <a:noFill/>
              </a:ln>
            </c:spPr>
          </c:dPt>
          <c:dPt>
            <c:idx val="3"/>
            <c:invertIfNegative val="0"/>
            <c:spPr>
              <a:solidFill>
                <a:srgbClr val="5d4037"/>
              </a:solidFill>
              <a:ln w="0">
                <a:noFill/>
              </a:ln>
            </c:spPr>
          </c:dPt>
          <c:dPt>
            <c:idx val="4"/>
            <c:invertIfNegative val="0"/>
            <c:spPr>
              <a:solidFill>
                <a:srgbClr val="1a56a0"/>
              </a:solidFill>
              <a:ln w="0">
                <a:noFill/>
              </a:ln>
            </c:spPr>
          </c:dPt>
          <c:dPt>
            <c:idx val="5"/>
            <c:invertIfNegative val="0"/>
            <c:spPr>
              <a:solidFill>
                <a:srgbClr val="b26a00"/>
              </a:solidFill>
              <a:ln w="0">
                <a:noFill/>
              </a:ln>
            </c:spPr>
          </c:dPt>
          <c:dPt>
            <c:idx val="6"/>
            <c:invertIfNegative val="0"/>
            <c:spPr>
              <a:solidFill>
                <a:srgbClr val="7a9e7e"/>
              </a:solidFill>
              <a:ln w="0">
                <a:noFill/>
              </a:ln>
            </c:spPr>
          </c:dPt>
          <c:dPt>
            <c:idx val="7"/>
            <c:invertIfNegative val="0"/>
            <c:spPr>
              <a:solidFill>
                <a:srgbClr val="8d6e63"/>
              </a:solidFill>
              <a:ln w="0">
                <a:noFill/>
              </a:ln>
            </c:spPr>
          </c:dPt>
          <c:dPt>
            <c:idx val="8"/>
            <c:invertIfNegative val="0"/>
            <c:spPr>
              <a:solidFill>
                <a:srgbClr val="a67c52"/>
              </a:solidFill>
              <a:ln w="0">
                <a:noFill/>
              </a:ln>
            </c:spPr>
          </c:dPt>
          <c:dPt>
            <c:idx val="9"/>
            <c:invertIfNegative val="0"/>
            <c:spPr>
              <a:solidFill>
                <a:srgbClr val="4e6e81"/>
              </a:solidFill>
              <a:ln w="0">
                <a:noFill/>
              </a:ln>
            </c:spPr>
          </c:dPt>
          <c:dPt>
            <c:idx val="10"/>
            <c:invertIfNegative val="0"/>
            <c:spPr>
              <a:solidFill>
                <a:srgbClr val="c0873f"/>
              </a:solidFill>
              <a:ln w="0">
                <a:noFill/>
              </a:ln>
            </c:spPr>
          </c:dPt>
          <c:dPt>
            <c:idx val="11"/>
            <c:invertIfNegative val="0"/>
            <c:spPr>
              <a:solidFill>
                <a:srgbClr val="6d4c41"/>
              </a:solidFill>
              <a:ln w="0">
                <a:noFill/>
              </a:ln>
            </c:spPr>
          </c:dPt>
          <c:dPt>
            <c:idx val="12"/>
            <c:invertIfNegative val="0"/>
            <c:spPr>
              <a:solidFill>
                <a:srgbClr val="9e9d24"/>
              </a:solidFill>
              <a:ln w="0">
                <a:noFill/>
              </a:ln>
            </c:spPr>
          </c:dPt>
          <c:dPt>
            <c:idx val="13"/>
            <c:invertIfNegative val="0"/>
            <c:spPr>
              <a:solidFill>
                <a:srgbClr val="00695c"/>
              </a:solidFill>
              <a:ln w="0">
                <a:noFill/>
              </a:ln>
            </c:spPr>
          </c:dPt>
          <c:dPt>
            <c:idx val="14"/>
            <c:invertIfNegative val="0"/>
            <c:spPr>
              <a:solidFill>
                <a:srgbClr val="8e24aa"/>
              </a:solidFill>
              <a:ln w="0">
                <a:noFill/>
              </a:ln>
            </c:spPr>
          </c:dPt>
          <c:dPt>
            <c:idx val="15"/>
            <c:invertIfNegative val="0"/>
            <c:spPr>
              <a:solidFill>
                <a:srgbClr val="546e7a"/>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dLbl>
              <c:idx val="5"/>
              <c:txPr>
                <a:bodyPr wrap="none"/>
                <a:lstStyle/>
                <a:p>
                  <a:pPr>
                    <a:defRPr b="0" sz="1000" spc="-1" strike="noStrike">
                      <a:latin typeface="Arial"/>
                    </a:defRPr>
                  </a:pPr>
                </a:p>
              </c:txPr>
              <c:showLegendKey val="0"/>
              <c:showVal val="0"/>
              <c:showCatName val="0"/>
              <c:showSerName val="0"/>
              <c:showPercent val="0"/>
              <c:separator> </c:separator>
            </c:dLbl>
            <c:dLbl>
              <c:idx val="6"/>
              <c:txPr>
                <a:bodyPr wrap="none"/>
                <a:lstStyle/>
                <a:p>
                  <a:pPr>
                    <a:defRPr b="0" sz="1000" spc="-1" strike="noStrike">
                      <a:latin typeface="Arial"/>
                    </a:defRPr>
                  </a:pPr>
                </a:p>
              </c:txPr>
              <c:showLegendKey val="0"/>
              <c:showVal val="0"/>
              <c:showCatName val="0"/>
              <c:showSerName val="0"/>
              <c:showPercent val="0"/>
              <c:separator> </c:separator>
            </c:dLbl>
            <c:dLbl>
              <c:idx val="7"/>
              <c:txPr>
                <a:bodyPr wrap="none"/>
                <a:lstStyle/>
                <a:p>
                  <a:pPr>
                    <a:defRPr b="0" sz="1000" spc="-1" strike="noStrike">
                      <a:latin typeface="Arial"/>
                    </a:defRPr>
                  </a:pPr>
                </a:p>
              </c:txPr>
              <c:showLegendKey val="0"/>
              <c:showVal val="0"/>
              <c:showCatName val="0"/>
              <c:showSerName val="0"/>
              <c:showPercent val="0"/>
              <c:separator> </c:separator>
            </c:dLbl>
            <c:dLbl>
              <c:idx val="8"/>
              <c:txPr>
                <a:bodyPr wrap="none"/>
                <a:lstStyle/>
                <a:p>
                  <a:pPr>
                    <a:defRPr b="0" sz="1000" spc="-1" strike="noStrike">
                      <a:latin typeface="Arial"/>
                    </a:defRPr>
                  </a:pPr>
                </a:p>
              </c:txPr>
              <c:showLegendKey val="0"/>
              <c:showVal val="0"/>
              <c:showCatName val="0"/>
              <c:showSerName val="0"/>
              <c:showPercent val="0"/>
              <c:separator> </c:separator>
            </c:dLbl>
            <c:dLbl>
              <c:idx val="9"/>
              <c:txPr>
                <a:bodyPr wrap="none"/>
                <a:lstStyle/>
                <a:p>
                  <a:pPr>
                    <a:defRPr b="0" sz="1000" spc="-1" strike="noStrike">
                      <a:latin typeface="Arial"/>
                    </a:defRPr>
                  </a:pPr>
                </a:p>
              </c:txPr>
              <c:showLegendKey val="0"/>
              <c:showVal val="0"/>
              <c:showCatName val="0"/>
              <c:showSerName val="0"/>
              <c:showPercent val="0"/>
              <c:separator> </c:separator>
            </c:dLbl>
            <c:dLbl>
              <c:idx val="10"/>
              <c:txPr>
                <a:bodyPr wrap="none"/>
                <a:lstStyle/>
                <a:p>
                  <a:pPr>
                    <a:defRPr b="0" sz="1000" spc="-1" strike="noStrike">
                      <a:latin typeface="Arial"/>
                    </a:defRPr>
                  </a:pPr>
                </a:p>
              </c:txPr>
              <c:showLegendKey val="0"/>
              <c:showVal val="0"/>
              <c:showCatName val="0"/>
              <c:showSerName val="0"/>
              <c:showPercent val="0"/>
              <c:separator> </c:separator>
            </c:dLbl>
            <c:dLbl>
              <c:idx val="11"/>
              <c:txPr>
                <a:bodyPr wrap="none"/>
                <a:lstStyle/>
                <a:p>
                  <a:pPr>
                    <a:defRPr b="0" sz="1000" spc="-1" strike="noStrike">
                      <a:latin typeface="Arial"/>
                    </a:defRPr>
                  </a:pPr>
                </a:p>
              </c:txPr>
              <c:showLegendKey val="0"/>
              <c:showVal val="0"/>
              <c:showCatName val="0"/>
              <c:showSerName val="0"/>
              <c:showPercent val="0"/>
              <c:separator> </c:separator>
            </c:dLbl>
            <c:dLbl>
              <c:idx val="12"/>
              <c:txPr>
                <a:bodyPr wrap="none"/>
                <a:lstStyle/>
                <a:p>
                  <a:pPr>
                    <a:defRPr b="0" sz="1000" spc="-1" strike="noStrike">
                      <a:latin typeface="Arial"/>
                    </a:defRPr>
                  </a:pPr>
                </a:p>
              </c:txPr>
              <c:showLegendKey val="0"/>
              <c:showVal val="0"/>
              <c:showCatName val="0"/>
              <c:showSerName val="0"/>
              <c:showPercent val="0"/>
              <c:separator> </c:separator>
            </c:dLbl>
            <c:dLbl>
              <c:idx val="13"/>
              <c:txPr>
                <a:bodyPr wrap="none"/>
                <a:lstStyle/>
                <a:p>
                  <a:pPr>
                    <a:defRPr b="0" sz="1000" spc="-1" strike="noStrike">
                      <a:latin typeface="Arial"/>
                    </a:defRPr>
                  </a:pPr>
                </a:p>
              </c:txPr>
              <c:showLegendKey val="0"/>
              <c:showVal val="0"/>
              <c:showCatName val="0"/>
              <c:showSerName val="0"/>
              <c:showPercent val="0"/>
              <c:separator> </c:separator>
            </c:dLbl>
            <c:dLbl>
              <c:idx val="14"/>
              <c:txPr>
                <a:bodyPr wrap="none"/>
                <a:lstStyle/>
                <a:p>
                  <a:pPr>
                    <a:defRPr b="0" sz="1000" spc="-1" strike="noStrike">
                      <a:latin typeface="Arial"/>
                    </a:defRPr>
                  </a:pPr>
                </a:p>
              </c:txPr>
              <c:showLegendKey val="0"/>
              <c:showVal val="0"/>
              <c:showCatName val="0"/>
              <c:showSerName val="0"/>
              <c:showPercent val="0"/>
              <c:separator> </c:separator>
            </c:dLbl>
            <c:dLbl>
              <c:idx val="15"/>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'TABLEAU DE BORD'!$A$60:$A$75</c:f>
              <c:strCache>
                <c:ptCount val="16"/>
                <c:pt idx="0">
                  <c:v>Boissons</c:v>
                </c:pt>
                <c:pt idx="1">
                  <c:v>Café &amp; Torréfaction</c:v>
                </c:pt>
                <c:pt idx="2">
                  <c:v>Boulangerie</c:v>
                </c:pt>
                <c:pt idx="3">
                  <c:v>Fruits &amp; Légumes</c:v>
                </c:pt>
                <c:pt idx="4">
                  <c:v>Épicerie &amp; Divers</c:v>
                </c:pt>
                <c:pt idx="5">
                  <c:v>Nettoyage</c:v>
                </c:pt>
                <c:pt idx="6">
                  <c:v>Salaires</c:v>
                </c:pt>
                <c:pt idx="7">
                  <c:v>Loyer</c:v>
                </c:pt>
                <c:pt idx="8">
                  <c:v>Eau &amp; Électricité</c:v>
                </c:pt>
                <c:pt idx="9">
                  <c:v>Internet &amp; Télécom</c:v>
                </c:pt>
                <c:pt idx="10">
                  <c:v>Taxes &amp; Impôts</c:v>
                </c:pt>
                <c:pt idx="11">
                  <c:v>Abonnements</c:v>
                </c:pt>
                <c:pt idx="12">
                  <c:v>Entretien &amp; Réparation</c:v>
                </c:pt>
                <c:pt idx="13">
                  <c:v>Virement Banque</c:v>
                </c:pt>
                <c:pt idx="14">
                  <c:v>Virement Associés</c:v>
                </c:pt>
                <c:pt idx="15">
                  <c:v>Divers</c:v>
                </c:pt>
              </c:strCache>
            </c:strRef>
          </c:cat>
          <c:val>
            <c:numRef>
              <c:f>'TABLEAU DE BORD'!$B$60:$B$75</c:f>
              <c:numCache>
                <c:formatCode>#,##0" DH";[RED]\-#,##0" DH";\–</c:formatCode>
                <c:ptCount val="16"/>
                <c:pt idx="0">
                  <c:v>6566</c:v>
                </c:pt>
                <c:pt idx="1">
                  <c:v>4910</c:v>
                </c:pt>
                <c:pt idx="2">
                  <c:v>1303</c:v>
                </c:pt>
                <c:pt idx="3">
                  <c:v>2135</c:v>
                </c:pt>
                <c:pt idx="4">
                  <c:v>5565</c:v>
                </c:pt>
                <c:pt idx="5">
                  <c:v>4050</c:v>
                </c:pt>
                <c:pt idx="6">
                  <c:v>12400</c:v>
                </c:pt>
                <c:pt idx="7">
                  <c:v>5000</c:v>
                </c:pt>
                <c:pt idx="8">
                  <c:v>3785</c:v>
                </c:pt>
                <c:pt idx="9">
                  <c:v>0</c:v>
                </c:pt>
                <c:pt idx="10">
                  <c:v>5000</c:v>
                </c:pt>
                <c:pt idx="11">
                  <c:v>0</c:v>
                </c:pt>
                <c:pt idx="12">
                  <c:v>0</c:v>
                </c:pt>
                <c:pt idx="13">
                  <c:v>0</c:v>
                </c:pt>
                <c:pt idx="14">
                  <c:v>0</c:v>
                </c:pt>
                <c:pt idx="15">
                  <c:v>0</c:v>
                </c:pt>
              </c:numCache>
            </c:numRef>
          </c:val>
        </c:ser>
        <c:gapWidth val="35"/>
        <c:overlap val="0"/>
        <c:axId val="34370914"/>
        <c:axId val="8364413"/>
      </c:barChart>
      <c:catAx>
        <c:axId val="3437091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64413"/>
        <c:crosses val="autoZero"/>
        <c:auto val="1"/>
        <c:lblAlgn val="ctr"/>
        <c:lblOffset val="100"/>
        <c:noMultiLvlLbl val="0"/>
      </c:catAx>
      <c:valAx>
        <c:axId val="8364413"/>
        <c:scaling>
          <c:orientation val="minMax"/>
        </c:scaling>
        <c:delete val="0"/>
        <c:axPos val="l"/>
        <c:majorGridlines>
          <c:spPr>
            <a:ln w="9360">
              <a:solidFill>
                <a:srgbClr val="e8dcc8"/>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37091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Principaux fournisseurs du mois (DH)</a:t>
            </a:r>
          </a:p>
        </c:rich>
      </c:tx>
      <c:overlay val="0"/>
      <c:spPr>
        <a:noFill/>
        <a:ln w="0">
          <a:noFill/>
        </a:ln>
      </c:spPr>
    </c:title>
    <c:autoTitleDeleted val="0"/>
    <c:plotArea>
      <c:barChart>
        <c:barDir val="bar"/>
        <c:grouping val="clustered"/>
        <c:varyColors val="0"/>
        <c:ser>
          <c:idx val="0"/>
          <c:order val="0"/>
          <c:tx>
            <c:strRef>
              <c:f>'TABLEAU DE BORD'!G59</c:f>
              <c:strCache>
                <c:ptCount val="1"/>
                <c:pt idx="0">
                  <c:v>MONTANT</c:v>
                </c:pt>
              </c:strCache>
            </c:strRef>
          </c:tx>
          <c:spPr>
            <a:solidFill>
              <a:srgbClr val="8d6e63"/>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'TABLEAU DE BORD'!$F$60:$F$71</c:f>
              <c:strCache>
                <c:ptCount val="12"/>
                <c:pt idx="0">
                  <c:v>BIM</c:v>
                </c:pt>
                <c:pt idx="1">
                  <c:v>TAXE NADAFA 2026</c:v>
                </c:pt>
                <c:pt idx="2">
                  <c:v>AIN SAISS</c:v>
                </c:pt>
                <c:pt idx="3">
                  <c:v>NADAFA</c:v>
                </c:pt>
                <c:pt idx="4">
                  <c:v>CAFE</c:v>
                </c:pt>
                <c:pt idx="5">
                  <c:v>EAU + ELECTRICITE</c:v>
                </c:pt>
                <c:pt idx="6">
                  <c:v>ORANGE</c:v>
                </c:pt>
                <c:pt idx="7">
                  <c:v>BOULANGERIE</c:v>
                </c:pt>
                <c:pt idx="8">
                  <c:v>COCA</c:v>
                </c:pt>
                <c:pt idx="9">
                  <c:v>MECAFE</c:v>
                </c:pt>
                <c:pt idx="10">
                  <c:v>OULMES</c:v>
                </c:pt>
                <c:pt idx="11">
                  <c:v>FRUITS</c:v>
                </c:pt>
              </c:strCache>
            </c:strRef>
          </c:cat>
          <c:val>
            <c:numRef>
              <c:f>'TABLEAU DE BORD'!$G$60:$G$71</c:f>
              <c:numCache>
                <c:formatCode>#,##0" DH";[RED]\-#,##0" DH";\–</c:formatCode>
                <c:ptCount val="12"/>
                <c:pt idx="0">
                  <c:v>5500</c:v>
                </c:pt>
                <c:pt idx="1">
                  <c:v>5000</c:v>
                </c:pt>
                <c:pt idx="2">
                  <c:v>4956</c:v>
                </c:pt>
                <c:pt idx="3">
                  <c:v>4050</c:v>
                </c:pt>
                <c:pt idx="4">
                  <c:v>4000</c:v>
                </c:pt>
                <c:pt idx="5">
                  <c:v>3785</c:v>
                </c:pt>
                <c:pt idx="6">
                  <c:v>1980</c:v>
                </c:pt>
                <c:pt idx="7">
                  <c:v>1303</c:v>
                </c:pt>
                <c:pt idx="8">
                  <c:v>1116</c:v>
                </c:pt>
                <c:pt idx="9">
                  <c:v>910</c:v>
                </c:pt>
                <c:pt idx="10">
                  <c:v>468</c:v>
                </c:pt>
                <c:pt idx="11">
                  <c:v>155</c:v>
                </c:pt>
              </c:numCache>
            </c:numRef>
          </c:val>
        </c:ser>
        <c:gapWidth val="45"/>
        <c:overlap val="0"/>
        <c:axId val="6500157"/>
        <c:axId val="80383646"/>
      </c:barChart>
      <c:catAx>
        <c:axId val="650015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383646"/>
        <c:crosses val="autoZero"/>
        <c:auto val="1"/>
        <c:lblAlgn val="ctr"/>
        <c:lblOffset val="100"/>
        <c:noMultiLvlLbl val="0"/>
      </c:catAx>
      <c:valAx>
        <c:axId val="80383646"/>
        <c:scaling>
          <c:orientation val="minMax"/>
        </c:scaling>
        <c:delete val="0"/>
        <c:axPos val="l"/>
        <c:majorGridlines>
          <c:spPr>
            <a:ln w="9360">
              <a:solidFill>
                <a:srgbClr val="e8dcc8"/>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0015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Recette et achats marchandise, mois par mois (DH)</a:t>
            </a:r>
          </a:p>
        </c:rich>
      </c:tx>
      <c:overlay val="0"/>
      <c:spPr>
        <a:noFill/>
        <a:ln w="0">
          <a:noFill/>
        </a:ln>
      </c:spPr>
    </c:title>
    <c:autoTitleDeleted val="0"/>
    <c:plotArea>
      <c:barChart>
        <c:barDir val="col"/>
        <c:grouping val="clustered"/>
        <c:varyColors val="0"/>
        <c:ser>
          <c:idx val="0"/>
          <c:order val="0"/>
          <c:tx>
            <c:strRef>
              <c:f>'SUIVI MENSUEL'!B4</c:f>
              <c:strCache>
                <c:ptCount val="1"/>
                <c:pt idx="0">
                  <c:v>RECETTE</c:v>
                </c:pt>
              </c:strCache>
            </c:strRef>
          </c:tx>
          <c:spPr>
            <a:solidFill>
              <a:srgbClr val="2e7d3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'SUIVI MENSUEL'!$A$5:$A$28</c:f>
              <c:strCache>
                <c:ptCount val="24"/>
                <c:pt idx="0">
                  <c:v>janvier 2025</c:v>
                </c:pt>
                <c:pt idx="1">
                  <c:v>février 2025</c:v>
                </c:pt>
                <c:pt idx="2">
                  <c:v>mars 2025</c:v>
                </c:pt>
                <c:pt idx="3">
                  <c:v>avril 2025</c:v>
                </c:pt>
                <c:pt idx="4">
                  <c:v>mai 2025</c:v>
                </c:pt>
                <c:pt idx="5">
                  <c:v>juin 2025</c:v>
                </c:pt>
                <c:pt idx="6">
                  <c:v>juillet 2025</c:v>
                </c:pt>
                <c:pt idx="7">
                  <c:v>août 2025</c:v>
                </c:pt>
                <c:pt idx="8">
                  <c:v>septembre 2025</c:v>
                </c:pt>
                <c:pt idx="9">
                  <c:v>octobre 2025</c:v>
                </c:pt>
                <c:pt idx="10">
                  <c:v>novembre 2025</c:v>
                </c:pt>
                <c:pt idx="11">
                  <c:v>décembre 2025</c:v>
                </c:pt>
                <c:pt idx="12">
                  <c:v>janvier 2026</c:v>
                </c:pt>
                <c:pt idx="13">
                  <c:v>février 2026</c:v>
                </c:pt>
                <c:pt idx="14">
                  <c:v>mars 2026</c:v>
                </c:pt>
                <c:pt idx="15">
                  <c:v>avril 2026</c:v>
                </c:pt>
                <c:pt idx="16">
                  <c:v>mai 2026</c:v>
                </c:pt>
                <c:pt idx="17">
                  <c:v>juin 2026</c:v>
                </c:pt>
                <c:pt idx="18">
                  <c:v>juillet 2026</c:v>
                </c:pt>
                <c:pt idx="19">
                  <c:v>août 2026</c:v>
                </c:pt>
                <c:pt idx="20">
                  <c:v>septembre 2026</c:v>
                </c:pt>
                <c:pt idx="21">
                  <c:v>octobre 2026</c:v>
                </c:pt>
                <c:pt idx="22">
                  <c:v>novembre 2026</c:v>
                </c:pt>
                <c:pt idx="23">
                  <c:v>décembre 2026</c:v>
                </c:pt>
              </c:strCache>
            </c:strRef>
          </c:cat>
          <c:val>
            <c:numRef>
              <c:f>'SUIVI MENSUEL'!$B$5:$B$28</c:f>
              <c:numCache>
                <c:formatCode>#,##0" DH";[RED]\-#,##0" DH";\–</c:formatCode>
                <c:ptCount val="24"/>
                <c:pt idx="0">
                  <c:v>58097</c:v>
                </c:pt>
                <c:pt idx="1">
                  <c:v>47774</c:v>
                </c:pt>
                <c:pt idx="2">
                  <c:v>33629</c:v>
                </c:pt>
                <c:pt idx="3">
                  <c:v>63101</c:v>
                </c:pt>
                <c:pt idx="4">
                  <c:v>67697</c:v>
                </c:pt>
                <c:pt idx="5">
                  <c:v>57443</c:v>
                </c:pt>
                <c:pt idx="6">
                  <c:v>71948</c:v>
                </c:pt>
                <c:pt idx="7">
                  <c:v>78294</c:v>
                </c:pt>
                <c:pt idx="8">
                  <c:v>53925</c:v>
                </c:pt>
                <c:pt idx="9">
                  <c:v>52669</c:v>
                </c:pt>
                <c:pt idx="12">
                  <c:v>0</c:v>
                </c:pt>
                <c:pt idx="13">
                  <c:v>0</c:v>
                </c:pt>
                <c:pt idx="14">
                  <c:v>0</c:v>
                </c:pt>
                <c:pt idx="15">
                  <c:v>0</c:v>
                </c:pt>
                <c:pt idx="16">
                  <c:v>0</c:v>
                </c:pt>
                <c:pt idx="17">
                  <c:v>0</c:v>
                </c:pt>
                <c:pt idx="18">
                  <c:v>0</c:v>
                </c:pt>
                <c:pt idx="19">
                  <c:v>54937</c:v>
                </c:pt>
                <c:pt idx="20">
                  <c:v>0</c:v>
                </c:pt>
                <c:pt idx="21">
                  <c:v>0</c:v>
                </c:pt>
                <c:pt idx="22">
                  <c:v>0</c:v>
                </c:pt>
                <c:pt idx="23">
                  <c:v>0</c:v>
                </c:pt>
              </c:numCache>
            </c:numRef>
          </c:val>
        </c:ser>
        <c:ser>
          <c:idx val="1"/>
          <c:order val="1"/>
          <c:tx>
            <c:strRef>
              <c:f>'SUIVI MENSUEL'!C4</c:f>
              <c:strCache>
                <c:ptCount val="1"/>
                <c:pt idx="0">
                  <c:v>ACHATS
MARCHANDISE</c:v>
                </c:pt>
              </c:strCache>
            </c:strRef>
          </c:tx>
          <c:spPr>
            <a:solidFill>
              <a:srgbClr val="c8a26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'SUIVI MENSUEL'!$A$5:$A$28</c:f>
              <c:strCache>
                <c:ptCount val="24"/>
                <c:pt idx="0">
                  <c:v>janvier 2025</c:v>
                </c:pt>
                <c:pt idx="1">
                  <c:v>février 2025</c:v>
                </c:pt>
                <c:pt idx="2">
                  <c:v>mars 2025</c:v>
                </c:pt>
                <c:pt idx="3">
                  <c:v>avril 2025</c:v>
                </c:pt>
                <c:pt idx="4">
                  <c:v>mai 2025</c:v>
                </c:pt>
                <c:pt idx="5">
                  <c:v>juin 2025</c:v>
                </c:pt>
                <c:pt idx="6">
                  <c:v>juillet 2025</c:v>
                </c:pt>
                <c:pt idx="7">
                  <c:v>août 2025</c:v>
                </c:pt>
                <c:pt idx="8">
                  <c:v>septembre 2025</c:v>
                </c:pt>
                <c:pt idx="9">
                  <c:v>octobre 2025</c:v>
                </c:pt>
                <c:pt idx="10">
                  <c:v>novembre 2025</c:v>
                </c:pt>
                <c:pt idx="11">
                  <c:v>décembre 2025</c:v>
                </c:pt>
                <c:pt idx="12">
                  <c:v>janvier 2026</c:v>
                </c:pt>
                <c:pt idx="13">
                  <c:v>février 2026</c:v>
                </c:pt>
                <c:pt idx="14">
                  <c:v>mars 2026</c:v>
                </c:pt>
                <c:pt idx="15">
                  <c:v>avril 2026</c:v>
                </c:pt>
                <c:pt idx="16">
                  <c:v>mai 2026</c:v>
                </c:pt>
                <c:pt idx="17">
                  <c:v>juin 2026</c:v>
                </c:pt>
                <c:pt idx="18">
                  <c:v>juillet 2026</c:v>
                </c:pt>
                <c:pt idx="19">
                  <c:v>août 2026</c:v>
                </c:pt>
                <c:pt idx="20">
                  <c:v>septembre 2026</c:v>
                </c:pt>
                <c:pt idx="21">
                  <c:v>octobre 2026</c:v>
                </c:pt>
                <c:pt idx="22">
                  <c:v>novembre 2026</c:v>
                </c:pt>
                <c:pt idx="23">
                  <c:v>décembre 2026</c:v>
                </c:pt>
              </c:strCache>
            </c:strRef>
          </c:cat>
          <c:val>
            <c:numRef>
              <c:f>'SUIVI MENSUEL'!$C$5:$C$28</c:f>
              <c:numCache>
                <c:formatCode>#,##0" DH";[RED]\-#,##0" DH";\–</c:formatCode>
                <c:ptCount val="24"/>
                <c:pt idx="0">
                  <c:v>17550</c:v>
                </c:pt>
                <c:pt idx="1">
                  <c:v>15723</c:v>
                </c:pt>
                <c:pt idx="2">
                  <c:v>19497</c:v>
                </c:pt>
                <c:pt idx="3">
                  <c:v>24871</c:v>
                </c:pt>
                <c:pt idx="4">
                  <c:v>27947</c:v>
                </c:pt>
                <c:pt idx="5">
                  <c:v>23534</c:v>
                </c:pt>
                <c:pt idx="6">
                  <c:v>28425</c:v>
                </c:pt>
                <c:pt idx="7">
                  <c:v>31683</c:v>
                </c:pt>
                <c:pt idx="8">
                  <c:v>23474</c:v>
                </c:pt>
                <c:pt idx="9">
                  <c:v>22122</c:v>
                </c:pt>
                <c:pt idx="12">
                  <c:v>0</c:v>
                </c:pt>
                <c:pt idx="13">
                  <c:v>0</c:v>
                </c:pt>
                <c:pt idx="14">
                  <c:v>0</c:v>
                </c:pt>
                <c:pt idx="15">
                  <c:v>0</c:v>
                </c:pt>
                <c:pt idx="16">
                  <c:v>0</c:v>
                </c:pt>
                <c:pt idx="17">
                  <c:v>0</c:v>
                </c:pt>
                <c:pt idx="18">
                  <c:v>0</c:v>
                </c:pt>
                <c:pt idx="19">
                  <c:v>24529</c:v>
                </c:pt>
                <c:pt idx="20">
                  <c:v>0</c:v>
                </c:pt>
                <c:pt idx="21">
                  <c:v>0</c:v>
                </c:pt>
                <c:pt idx="22">
                  <c:v>0</c:v>
                </c:pt>
                <c:pt idx="23">
                  <c:v>0</c:v>
                </c:pt>
              </c:numCache>
            </c:numRef>
          </c:val>
        </c:ser>
        <c:gapWidth val="35"/>
        <c:overlap val="0"/>
        <c:axId val="47440480"/>
        <c:axId val="6082924"/>
      </c:barChart>
      <c:catAx>
        <c:axId val="47440480"/>
        <c:scaling>
          <c:orientation val="minMax"/>
        </c:scaling>
        <c:delete val="0"/>
        <c:axPos val="b"/>
        <c:numFmt formatCode="[$-40C]mmmm\ 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82924"/>
        <c:crosses val="autoZero"/>
        <c:auto val="1"/>
        <c:lblAlgn val="ctr"/>
        <c:lblOffset val="100"/>
        <c:noMultiLvlLbl val="0"/>
      </c:catAx>
      <c:valAx>
        <c:axId val="6082924"/>
        <c:scaling>
          <c:orientation val="minMax"/>
        </c:scaling>
        <c:delete val="0"/>
        <c:axPos val="l"/>
        <c:majorGridlines>
          <c:spPr>
            <a:ln w="9360">
              <a:solidFill>
                <a:srgbClr val="e8dcc8"/>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44048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Poids des achats dans la recette (%)</a:t>
            </a:r>
          </a:p>
        </c:rich>
      </c:tx>
      <c:overlay val="0"/>
      <c:spPr>
        <a:noFill/>
        <a:ln w="0">
          <a:noFill/>
        </a:ln>
      </c:spPr>
    </c:title>
    <c:autoTitleDeleted val="0"/>
    <c:plotArea>
      <c:lineChart>
        <c:grouping val="standard"/>
        <c:varyColors val="0"/>
        <c:ser>
          <c:idx val="0"/>
          <c:order val="0"/>
          <c:tx>
            <c:strRef>
              <c:f>'SUIVI MENSUEL'!D4</c:f>
              <c:strCache>
                <c:ptCount val="1"/>
                <c:pt idx="0">
                  <c:v>% ACHATS</c:v>
                </c:pt>
              </c:strCache>
            </c:strRef>
          </c:tx>
          <c:spPr>
            <a:solidFill>
              <a:srgbClr val="b26a00"/>
            </a:solidFill>
            <a:ln w="25920">
              <a:solidFill>
                <a:srgbClr val="b26a00"/>
              </a:solidFill>
              <a:round/>
            </a:ln>
          </c:spPr>
          <c:marker>
            <c:symbol val="diamond"/>
            <c:size val="6"/>
            <c:spPr>
              <a:solidFill>
                <a:srgbClr val="b26a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'SUIVI MENSUEL'!$A$5:$A$28</c:f>
              <c:strCache>
                <c:ptCount val="24"/>
                <c:pt idx="0">
                  <c:v>janvier 2025</c:v>
                </c:pt>
                <c:pt idx="1">
                  <c:v>février 2025</c:v>
                </c:pt>
                <c:pt idx="2">
                  <c:v>mars 2025</c:v>
                </c:pt>
                <c:pt idx="3">
                  <c:v>avril 2025</c:v>
                </c:pt>
                <c:pt idx="4">
                  <c:v>mai 2025</c:v>
                </c:pt>
                <c:pt idx="5">
                  <c:v>juin 2025</c:v>
                </c:pt>
                <c:pt idx="6">
                  <c:v>juillet 2025</c:v>
                </c:pt>
                <c:pt idx="7">
                  <c:v>août 2025</c:v>
                </c:pt>
                <c:pt idx="8">
                  <c:v>septembre 2025</c:v>
                </c:pt>
                <c:pt idx="9">
                  <c:v>octobre 2025</c:v>
                </c:pt>
                <c:pt idx="10">
                  <c:v>novembre 2025</c:v>
                </c:pt>
                <c:pt idx="11">
                  <c:v>décembre 2025</c:v>
                </c:pt>
                <c:pt idx="12">
                  <c:v>janvier 2026</c:v>
                </c:pt>
                <c:pt idx="13">
                  <c:v>février 2026</c:v>
                </c:pt>
                <c:pt idx="14">
                  <c:v>mars 2026</c:v>
                </c:pt>
                <c:pt idx="15">
                  <c:v>avril 2026</c:v>
                </c:pt>
                <c:pt idx="16">
                  <c:v>mai 2026</c:v>
                </c:pt>
                <c:pt idx="17">
                  <c:v>juin 2026</c:v>
                </c:pt>
                <c:pt idx="18">
                  <c:v>juillet 2026</c:v>
                </c:pt>
                <c:pt idx="19">
                  <c:v>août 2026</c:v>
                </c:pt>
                <c:pt idx="20">
                  <c:v>septembre 2026</c:v>
                </c:pt>
                <c:pt idx="21">
                  <c:v>octobre 2026</c:v>
                </c:pt>
                <c:pt idx="22">
                  <c:v>novembre 2026</c:v>
                </c:pt>
                <c:pt idx="23">
                  <c:v>décembre 2026</c:v>
                </c:pt>
              </c:strCache>
            </c:strRef>
          </c:cat>
          <c:val>
            <c:numRef>
              <c:f>'SUIVI MENSUEL'!$D$5:$D$28</c:f>
              <c:numCache>
                <c:formatCode>0.0%;[RED]\-0.0%;\–</c:formatCode>
                <c:ptCount val="24"/>
                <c:pt idx="0">
                  <c:v>0.302081002461401</c:v>
                </c:pt>
                <c:pt idx="1">
                  <c:v>0.329112069326412</c:v>
                </c:pt>
                <c:pt idx="2">
                  <c:v>0.579767462606679</c:v>
                </c:pt>
                <c:pt idx="3">
                  <c:v>0.394145893092027</c:v>
                </c:pt>
                <c:pt idx="4">
                  <c:v>0.412824792826861</c:v>
                </c:pt>
                <c:pt idx="5">
                  <c:v>0.409693087060216</c:v>
                </c:pt>
                <c:pt idx="6">
                  <c:v>0.395077000055596</c:v>
                </c:pt>
                <c:pt idx="7">
                  <c:v>0.404667024293049</c:v>
                </c:pt>
                <c:pt idx="8">
                  <c:v>0.435308298562819</c:v>
                </c:pt>
                <c:pt idx="9">
                  <c:v>0.42001936623061</c:v>
                </c:pt>
                <c:pt idx="10">
                  <c:v>0</c:v>
                </c:pt>
                <c:pt idx="11">
                  <c:v>0</c:v>
                </c:pt>
                <c:pt idx="12">
                  <c:v>0</c:v>
                </c:pt>
                <c:pt idx="13">
                  <c:v>0</c:v>
                </c:pt>
                <c:pt idx="14">
                  <c:v>0</c:v>
                </c:pt>
                <c:pt idx="15">
                  <c:v>0</c:v>
                </c:pt>
                <c:pt idx="16">
                  <c:v>0</c:v>
                </c:pt>
                <c:pt idx="17">
                  <c:v>0</c:v>
                </c:pt>
                <c:pt idx="18">
                  <c:v>0</c:v>
                </c:pt>
                <c:pt idx="19">
                  <c:v>0.446493255911317</c:v>
                </c:pt>
                <c:pt idx="20">
                  <c:v>0</c:v>
                </c:pt>
                <c:pt idx="21">
                  <c:v>0</c:v>
                </c:pt>
                <c:pt idx="22">
                  <c:v>0</c:v>
                </c:pt>
                <c:pt idx="23">
                  <c:v>0</c:v>
                </c:pt>
              </c:numCache>
            </c:numRef>
          </c:val>
          <c:smooth val="1"/>
        </c:ser>
        <c:hiLowLines>
          <c:spPr>
            <a:ln w="0">
              <a:noFill/>
            </a:ln>
          </c:spPr>
        </c:hiLowLines>
        <c:marker val="1"/>
        <c:axId val="38989"/>
        <c:axId val="43591094"/>
      </c:lineChart>
      <c:catAx>
        <c:axId val="38989"/>
        <c:scaling>
          <c:orientation val="minMax"/>
        </c:scaling>
        <c:delete val="0"/>
        <c:axPos val="b"/>
        <c:numFmt formatCode="[$-40C]mmmm\ 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591094"/>
        <c:crosses val="autoZero"/>
        <c:auto val="1"/>
        <c:lblAlgn val="ctr"/>
        <c:lblOffset val="100"/>
        <c:noMultiLvlLbl val="0"/>
      </c:catAx>
      <c:valAx>
        <c:axId val="43591094"/>
        <c:scaling>
          <c:orientation val="minMax"/>
        </c:scaling>
        <c:delete val="0"/>
        <c:axPos val="l"/>
        <c:majorGridlines>
          <c:spPr>
            <a:ln w="9360">
              <a:solidFill>
                <a:srgbClr val="e8dcc8"/>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98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Budget contre réalisé, poste par poste (DH)</a:t>
            </a:r>
          </a:p>
        </c:rich>
      </c:tx>
      <c:overlay val="0"/>
      <c:spPr>
        <a:noFill/>
        <a:ln w="0">
          <a:noFill/>
        </a:ln>
      </c:spPr>
    </c:title>
    <c:autoTitleDeleted val="0"/>
    <c:plotArea>
      <c:barChart>
        <c:barDir val="bar"/>
        <c:grouping val="clustered"/>
        <c:varyColors val="0"/>
        <c:ser>
          <c:idx val="0"/>
          <c:order val="0"/>
          <c:tx>
            <c:strRef>
              <c:f>'CHARGES FIXES'!C4</c:f>
              <c:strCache>
                <c:ptCount val="1"/>
                <c:pt idx="0">
                  <c:v>BUDGET / MOIS</c:v>
                </c:pt>
              </c:strCache>
            </c:strRef>
          </c:tx>
          <c:spPr>
            <a:solidFill>
              <a:srgbClr val="c8a26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'CHARGES FIXES'!$B$5:$B$13</c:f>
              <c:strCache>
                <c:ptCount val="9"/>
                <c:pt idx="0">
                  <c:v>Loyer</c:v>
                </c:pt>
                <c:pt idx="1">
                  <c:v>Eau + Électricité</c:v>
                </c:pt>
                <c:pt idx="2">
                  <c:v>Internet &amp; télécom</c:v>
                </c:pt>
                <c:pt idx="3">
                  <c:v>Achats marchandise (café, eau, épicerie)</c:v>
                </c:pt>
                <c:pt idx="4">
                  <c:v>Nettoyage (NADAFA)</c:v>
                </c:pt>
                <c:pt idx="5">
                  <c:v>Salaires du personnel</c:v>
                </c:pt>
                <c:pt idx="6">
                  <c:v>Taxes et impôts</c:v>
                </c:pt>
                <c:pt idx="7">
                  <c:v>Abonnements (Bein, Remo…)</c:v>
                </c:pt>
                <c:pt idx="8">
                  <c:v>Entretien et réparation</c:v>
                </c:pt>
              </c:strCache>
            </c:strRef>
          </c:cat>
          <c:val>
            <c:numRef>
              <c:f>'CHARGES FIXES'!$C$5:$C$13</c:f>
              <c:numCache>
                <c:formatCode>#,##0" DH";[RED]\-#,##0" DH";\–</c:formatCode>
                <c:ptCount val="9"/>
                <c:pt idx="0">
                  <c:v>17000</c:v>
                </c:pt>
                <c:pt idx="1">
                  <c:v>4000</c:v>
                </c:pt>
                <c:pt idx="2">
                  <c:v>500</c:v>
                </c:pt>
                <c:pt idx="3">
                  <c:v>20500</c:v>
                </c:pt>
                <c:pt idx="4">
                  <c:v>4500</c:v>
                </c:pt>
                <c:pt idx="5">
                  <c:v>17000</c:v>
                </c:pt>
                <c:pt idx="6">
                  <c:v>0</c:v>
                </c:pt>
                <c:pt idx="7">
                  <c:v>0</c:v>
                </c:pt>
                <c:pt idx="8">
                  <c:v>0</c:v>
                </c:pt>
              </c:numCache>
            </c:numRef>
          </c:val>
        </c:ser>
        <c:ser>
          <c:idx val="1"/>
          <c:order val="1"/>
          <c:tx>
            <c:strRef>
              <c:f>'CHARGES FIXES'!D4</c:f>
              <c:strCache>
                <c:ptCount val="1"/>
                <c:pt idx="0">
                  <c:v>RÉALISÉ DU MOIS</c:v>
                </c:pt>
              </c:strCache>
            </c:strRef>
          </c:tx>
          <c:spPr>
            <a:solidFill>
              <a:srgbClr val="5d403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'CHARGES FIXES'!$B$5:$B$13</c:f>
              <c:strCache>
                <c:ptCount val="9"/>
                <c:pt idx="0">
                  <c:v>Loyer</c:v>
                </c:pt>
                <c:pt idx="1">
                  <c:v>Eau + Électricité</c:v>
                </c:pt>
                <c:pt idx="2">
                  <c:v>Internet &amp; télécom</c:v>
                </c:pt>
                <c:pt idx="3">
                  <c:v>Achats marchandise (café, eau, épicerie)</c:v>
                </c:pt>
                <c:pt idx="4">
                  <c:v>Nettoyage (NADAFA)</c:v>
                </c:pt>
                <c:pt idx="5">
                  <c:v>Salaires du personnel</c:v>
                </c:pt>
                <c:pt idx="6">
                  <c:v>Taxes et impôts</c:v>
                </c:pt>
                <c:pt idx="7">
                  <c:v>Abonnements (Bein, Remo…)</c:v>
                </c:pt>
                <c:pt idx="8">
                  <c:v>Entretien et réparation</c:v>
                </c:pt>
              </c:strCache>
            </c:strRef>
          </c:cat>
          <c:val>
            <c:numRef>
              <c:f>'CHARGES FIXES'!$D$5:$D$13</c:f>
              <c:numCache>
                <c:formatCode>#,##0" DH";[RED]\-#,##0" DH";\–</c:formatCode>
                <c:ptCount val="9"/>
                <c:pt idx="0">
                  <c:v>5000</c:v>
                </c:pt>
                <c:pt idx="1">
                  <c:v>3785</c:v>
                </c:pt>
                <c:pt idx="2">
                  <c:v>0</c:v>
                </c:pt>
                <c:pt idx="3">
                  <c:v>20479</c:v>
                </c:pt>
                <c:pt idx="4">
                  <c:v>4050</c:v>
                </c:pt>
                <c:pt idx="5">
                  <c:v>12400</c:v>
                </c:pt>
                <c:pt idx="6">
                  <c:v>5000</c:v>
                </c:pt>
                <c:pt idx="7">
                  <c:v>0</c:v>
                </c:pt>
                <c:pt idx="8">
                  <c:v>0</c:v>
                </c:pt>
              </c:numCache>
            </c:numRef>
          </c:val>
        </c:ser>
        <c:gapWidth val="45"/>
        <c:overlap val="0"/>
        <c:axId val="38060394"/>
        <c:axId val="27950888"/>
      </c:barChart>
      <c:catAx>
        <c:axId val="3806039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950888"/>
        <c:crosses val="autoZero"/>
        <c:auto val="1"/>
        <c:lblAlgn val="ctr"/>
        <c:lblOffset val="100"/>
        <c:noMultiLvlLbl val="0"/>
      </c:catAx>
      <c:valAx>
        <c:axId val="27950888"/>
        <c:scaling>
          <c:orientation val="minMax"/>
        </c:scaling>
        <c:delete val="0"/>
        <c:axPos val="l"/>
        <c:majorGridlines>
          <c:spPr>
            <a:ln w="9360">
              <a:solidFill>
                <a:srgbClr val="e8dcc8"/>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06039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Chiffre d’affaires et marge par produit, par jour (DH)</a:t>
            </a:r>
          </a:p>
        </c:rich>
      </c:tx>
      <c:overlay val="0"/>
      <c:spPr>
        <a:noFill/>
        <a:ln w="0">
          <a:noFill/>
        </a:ln>
      </c:spPr>
    </c:title>
    <c:autoTitleDeleted val="0"/>
    <c:plotArea>
      <c:barChart>
        <c:barDir val="col"/>
        <c:grouping val="clustered"/>
        <c:varyColors val="0"/>
        <c:ser>
          <c:idx val="0"/>
          <c:order val="0"/>
          <c:tx>
            <c:strRef>
              <c:f>'MARGES PRODUITS'!H4</c:f>
              <c:strCache>
                <c:ptCount val="1"/>
                <c:pt idx="0">
                  <c:v>CA / JOUR</c:v>
                </c:pt>
              </c:strCache>
            </c:strRef>
          </c:tx>
          <c:spPr>
            <a:solidFill>
              <a:srgbClr val="c8a26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'MARGES PRODUITS'!$B$5:$B$8</c:f>
              <c:strCache>
                <c:ptCount val="4"/>
                <c:pt idx="0">
                  <c:v>Café Noir</c:v>
                </c:pt>
                <c:pt idx="1">
                  <c:v>Café Crème</c:v>
                </c:pt>
                <c:pt idx="2">
                  <c:v>Petit Déjeuner</c:v>
                </c:pt>
                <c:pt idx="3">
                  <c:v>Thé</c:v>
                </c:pt>
              </c:strCache>
            </c:strRef>
          </c:cat>
          <c:val>
            <c:numRef>
              <c:f>'MARGES PRODUITS'!$H$5:$H$8</c:f>
              <c:numCache>
                <c:formatCode>#,##0" DH";[RED]\-#,##0" DH";\–</c:formatCode>
                <c:ptCount val="4"/>
                <c:pt idx="0">
                  <c:v>1300</c:v>
                </c:pt>
                <c:pt idx="1">
                  <c:v>260</c:v>
                </c:pt>
                <c:pt idx="2">
                  <c:v>160</c:v>
                </c:pt>
                <c:pt idx="3">
                  <c:v>120</c:v>
                </c:pt>
              </c:numCache>
            </c:numRef>
          </c:val>
        </c:ser>
        <c:ser>
          <c:idx val="1"/>
          <c:order val="1"/>
          <c:tx>
            <c:strRef>
              <c:f>'MARGES PRODUITS'!I4</c:f>
              <c:strCache>
                <c:ptCount val="1"/>
                <c:pt idx="0">
                  <c:v>MARGE / JOUR</c:v>
                </c:pt>
              </c:strCache>
            </c:strRef>
          </c:tx>
          <c:spPr>
            <a:solidFill>
              <a:srgbClr val="2e7d3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'MARGES PRODUITS'!$B$5:$B$8</c:f>
              <c:strCache>
                <c:ptCount val="4"/>
                <c:pt idx="0">
                  <c:v>Café Noir</c:v>
                </c:pt>
                <c:pt idx="1">
                  <c:v>Café Crème</c:v>
                </c:pt>
                <c:pt idx="2">
                  <c:v>Petit Déjeuner</c:v>
                </c:pt>
                <c:pt idx="3">
                  <c:v>Thé</c:v>
                </c:pt>
              </c:strCache>
            </c:strRef>
          </c:cat>
          <c:val>
            <c:numRef>
              <c:f>'MARGES PRODUITS'!$I$5:$I$8</c:f>
              <c:numCache>
                <c:formatCode>General</c:formatCode>
                <c:ptCount val="4"/>
              </c:numCache>
            </c:numRef>
          </c:val>
        </c:ser>
        <c:gapWidth val="50"/>
        <c:overlap val="0"/>
        <c:axId val="51135083"/>
        <c:axId val="56002949"/>
      </c:barChart>
      <c:catAx>
        <c:axId val="5113508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002949"/>
        <c:crosses val="autoZero"/>
        <c:auto val="1"/>
        <c:lblAlgn val="ctr"/>
        <c:lblOffset val="100"/>
        <c:noMultiLvlLbl val="0"/>
      </c:catAx>
      <c:valAx>
        <c:axId val="56002949"/>
        <c:scaling>
          <c:orientation val="minMax"/>
        </c:scaling>
        <c:delete val="0"/>
        <c:axPos val="l"/>
        <c:majorGridlines>
          <c:spPr>
            <a:ln w="9360">
              <a:solidFill>
                <a:srgbClr val="e8dcc8"/>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13508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Apports par associé (DH)</a:t>
            </a:r>
          </a:p>
        </c:rich>
      </c:tx>
      <c:overlay val="0"/>
      <c:spPr>
        <a:noFill/>
        <a:ln w="0">
          <a:noFill/>
        </a:ln>
      </c:spPr>
    </c:title>
    <c:autoTitleDeleted val="0"/>
    <c:plotArea>
      <c:barChart>
        <c:barDir val="col"/>
        <c:grouping val="stacked"/>
        <c:varyColors val="0"/>
        <c:ser>
          <c:idx val="0"/>
          <c:order val="0"/>
          <c:tx>
            <c:strRef>
              <c:f>ASSOCIÉS!D5</c:f>
              <c:strCache>
                <c:ptCount val="1"/>
                <c:pt idx="0">
                  <c:v>HAMID</c:v>
                </c:pt>
              </c:strCache>
            </c:strRef>
          </c:tx>
          <c:spPr>
            <a:solidFill>
              <a:srgbClr val="5d403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ASSOCIÉS!$C$6:$C$7</c:f>
              <c:strCache>
                <c:ptCount val="2"/>
                <c:pt idx="0">
                  <c:v>Achat du fonds de commerce (Saadaoui)</c:v>
                </c:pt>
                <c:pt idx="1">
                  <c:v>Aménagement du Café Victor Hugo</c:v>
                </c:pt>
              </c:strCache>
            </c:strRef>
          </c:cat>
          <c:val>
            <c:numRef>
              <c:f>ASSOCIÉS!$D$6:$D$7</c:f>
              <c:numCache>
                <c:formatCode>#,##0" DH";[RED]\-#,##0" DH";\–</c:formatCode>
                <c:ptCount val="2"/>
                <c:pt idx="0">
                  <c:v>397738</c:v>
                </c:pt>
                <c:pt idx="1">
                  <c:v>148042</c:v>
                </c:pt>
              </c:numCache>
            </c:numRef>
          </c:val>
        </c:ser>
        <c:ser>
          <c:idx val="1"/>
          <c:order val="1"/>
          <c:tx>
            <c:strRef>
              <c:f>ASSOCIÉS!E5</c:f>
              <c:strCache>
                <c:ptCount val="1"/>
                <c:pt idx="0">
                  <c:v>MOUHSSINE</c:v>
                </c:pt>
              </c:strCache>
            </c:strRef>
          </c:tx>
          <c:spPr>
            <a:solidFill>
              <a:srgbClr val="c8a26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ASSOCIÉS!$C$6:$C$7</c:f>
              <c:strCache>
                <c:ptCount val="2"/>
                <c:pt idx="0">
                  <c:v>Achat du fonds de commerce (Saadaoui)</c:v>
                </c:pt>
                <c:pt idx="1">
                  <c:v>Aménagement du Café Victor Hugo</c:v>
                </c:pt>
              </c:strCache>
            </c:strRef>
          </c:cat>
          <c:val>
            <c:numRef>
              <c:f>ASSOCIÉS!$E$6:$E$7</c:f>
              <c:numCache>
                <c:formatCode>#,##0" DH";[RED]\-#,##0" DH";\–</c:formatCode>
                <c:ptCount val="2"/>
                <c:pt idx="0">
                  <c:v>404700</c:v>
                </c:pt>
                <c:pt idx="1">
                  <c:v>298821</c:v>
                </c:pt>
              </c:numCache>
            </c:numRef>
          </c:val>
        </c:ser>
        <c:gapWidth val="60"/>
        <c:overlap val="100"/>
        <c:axId val="91036791"/>
        <c:axId val="79704285"/>
      </c:barChart>
      <c:catAx>
        <c:axId val="9103679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704285"/>
        <c:crosses val="autoZero"/>
        <c:auto val="1"/>
        <c:lblAlgn val="ctr"/>
        <c:lblOffset val="100"/>
        <c:noMultiLvlLbl val="0"/>
      </c:catAx>
      <c:valAx>
        <c:axId val="79704285"/>
        <c:scaling>
          <c:orientation val="minMax"/>
        </c:scaling>
        <c:delete val="0"/>
        <c:axPos val="l"/>
        <c:majorGridlines>
          <c:spPr>
            <a:ln w="9360">
              <a:solidFill>
                <a:srgbClr val="e8dcc8"/>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03679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_rels/drawing4.xml.rels><?xml version="1.0" encoding="UTF-8"?>
<Relationships xmlns="http://schemas.openxmlformats.org/package/2006/relationships"><Relationship Id="rId1" Type="http://schemas.openxmlformats.org/officeDocument/2006/relationships/chart" Target="../charts/chart7.xml"/>
</Relationships>
</file>

<file path=xl/drawings/_rels/drawing5.xml.rels><?xml version="1.0" encoding="UTF-8"?>
<Relationships xmlns="http://schemas.openxmlformats.org/package/2006/relationships"><Relationship Id="rId1" Type="http://schemas.openxmlformats.org/officeDocument/2006/relationships/chart" Target="../charts/chart8.xml"/>
</Relationships>
</file>

<file path=xl/drawings/_rels/drawing6.xml.rels><?xml version="1.0" encoding="UTF-8"?>
<Relationships xmlns="http://schemas.openxmlformats.org/package/2006/relationships"><Relationship Id="rId1"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15</xdr:row>
      <xdr:rowOff>0</xdr:rowOff>
    </xdr:from>
    <xdr:to>
      <xdr:col>5</xdr:col>
      <xdr:colOff>569880</xdr:colOff>
      <xdr:row>31</xdr:row>
      <xdr:rowOff>119880</xdr:rowOff>
    </xdr:to>
    <xdr:graphicFrame>
      <xdr:nvGraphicFramePr>
        <xdr:cNvPr id="0" name="Chart 1"/>
        <xdr:cNvGraphicFramePr/>
      </xdr:nvGraphicFramePr>
      <xdr:xfrm>
        <a:off x="0" y="3772080"/>
        <a:ext cx="6659640" cy="3167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xdr:row>
      <xdr:rowOff>0</xdr:rowOff>
    </xdr:from>
    <xdr:to>
      <xdr:col>14</xdr:col>
      <xdr:colOff>468000</xdr:colOff>
      <xdr:row>31</xdr:row>
      <xdr:rowOff>119880</xdr:rowOff>
    </xdr:to>
    <xdr:graphicFrame>
      <xdr:nvGraphicFramePr>
        <xdr:cNvPr id="1" name="Chart 2"/>
        <xdr:cNvGraphicFramePr/>
      </xdr:nvGraphicFramePr>
      <xdr:xfrm>
        <a:off x="11157120" y="3772080"/>
        <a:ext cx="5579640" cy="3167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34</xdr:row>
      <xdr:rowOff>0</xdr:rowOff>
    </xdr:from>
    <xdr:to>
      <xdr:col>5</xdr:col>
      <xdr:colOff>29880</xdr:colOff>
      <xdr:row>53</xdr:row>
      <xdr:rowOff>160200</xdr:rowOff>
    </xdr:to>
    <xdr:graphicFrame>
      <xdr:nvGraphicFramePr>
        <xdr:cNvPr id="2" name="Chart 3"/>
        <xdr:cNvGraphicFramePr/>
      </xdr:nvGraphicFramePr>
      <xdr:xfrm>
        <a:off x="0" y="7505640"/>
        <a:ext cx="6119640" cy="37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34</xdr:row>
      <xdr:rowOff>0</xdr:rowOff>
    </xdr:from>
    <xdr:to>
      <xdr:col>15</xdr:col>
      <xdr:colOff>165600</xdr:colOff>
      <xdr:row>53</xdr:row>
      <xdr:rowOff>160200</xdr:rowOff>
    </xdr:to>
    <xdr:graphicFrame>
      <xdr:nvGraphicFramePr>
        <xdr:cNvPr id="3" name="Chart 4"/>
        <xdr:cNvGraphicFramePr/>
      </xdr:nvGraphicFramePr>
      <xdr:xfrm>
        <a:off x="11157120" y="7505640"/>
        <a:ext cx="6299640" cy="37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0</xdr:rowOff>
    </xdr:from>
    <xdr:to>
      <xdr:col>7</xdr:col>
      <xdr:colOff>736200</xdr:colOff>
      <xdr:row>50</xdr:row>
      <xdr:rowOff>181080</xdr:rowOff>
    </xdr:to>
    <xdr:graphicFrame>
      <xdr:nvGraphicFramePr>
        <xdr:cNvPr id="4" name="Chart 1"/>
        <xdr:cNvGraphicFramePr/>
      </xdr:nvGraphicFramePr>
      <xdr:xfrm>
        <a:off x="0" y="8305920"/>
        <a:ext cx="935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53</xdr:row>
      <xdr:rowOff>0</xdr:rowOff>
    </xdr:from>
    <xdr:to>
      <xdr:col>7</xdr:col>
      <xdr:colOff>736200</xdr:colOff>
      <xdr:row>68</xdr:row>
      <xdr:rowOff>21960</xdr:rowOff>
    </xdr:to>
    <xdr:graphicFrame>
      <xdr:nvGraphicFramePr>
        <xdr:cNvPr id="5" name="Chart 2"/>
        <xdr:cNvGraphicFramePr/>
      </xdr:nvGraphicFramePr>
      <xdr:xfrm>
        <a:off x="0" y="12115800"/>
        <a:ext cx="93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24</xdr:row>
      <xdr:rowOff>0</xdr:rowOff>
    </xdr:from>
    <xdr:to>
      <xdr:col>5</xdr:col>
      <xdr:colOff>460800</xdr:colOff>
      <xdr:row>42</xdr:row>
      <xdr:rowOff>170640</xdr:rowOff>
    </xdr:to>
    <xdr:graphicFrame>
      <xdr:nvGraphicFramePr>
        <xdr:cNvPr id="6" name="Chart 1"/>
        <xdr:cNvGraphicFramePr/>
      </xdr:nvGraphicFramePr>
      <xdr:xfrm>
        <a:off x="355680" y="6315120"/>
        <a:ext cx="863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19</xdr:row>
      <xdr:rowOff>0</xdr:rowOff>
    </xdr:from>
    <xdr:to>
      <xdr:col>5</xdr:col>
      <xdr:colOff>265680</xdr:colOff>
      <xdr:row>36</xdr:row>
      <xdr:rowOff>1440</xdr:rowOff>
    </xdr:to>
    <xdr:graphicFrame>
      <xdr:nvGraphicFramePr>
        <xdr:cNvPr id="7" name="Chart 1"/>
        <xdr:cNvGraphicFramePr/>
      </xdr:nvGraphicFramePr>
      <xdr:xfrm>
        <a:off x="355680" y="491508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16</xdr:row>
      <xdr:rowOff>0</xdr:rowOff>
    </xdr:from>
    <xdr:to>
      <xdr:col>3</xdr:col>
      <xdr:colOff>430200</xdr:colOff>
      <xdr:row>29</xdr:row>
      <xdr:rowOff>98280</xdr:rowOff>
    </xdr:to>
    <xdr:graphicFrame>
      <xdr:nvGraphicFramePr>
        <xdr:cNvPr id="8" name="Chart 1"/>
        <xdr:cNvGraphicFramePr/>
      </xdr:nvGraphicFramePr>
      <xdr:xfrm>
        <a:off x="355680" y="4495680"/>
        <a:ext cx="61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4.xml"/><Relationship Id="rId3"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E2723"/>
    <pageSetUpPr fitToPage="true"/>
  </sheetPr>
  <dimension ref="A1:I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7"/>
    <col collapsed="false" customWidth="true" hidden="false" outlineLevel="0" max="8" min="4" style="0" width="20"/>
    <col collapsed="false" customWidth="true" hidden="false" outlineLevel="0" max="9" min="9" style="0" width="3"/>
  </cols>
  <sheetData>
    <row r="1" customFormat="false" ht="13.5" hidden="false" customHeight="true" outlineLevel="0" collapsed="false">
      <c r="A1" s="1"/>
      <c r="B1" s="1"/>
      <c r="C1" s="1"/>
      <c r="D1" s="1"/>
      <c r="E1" s="1"/>
      <c r="F1" s="1"/>
      <c r="G1" s="1"/>
      <c r="H1" s="1"/>
      <c r="I1" s="1"/>
    </row>
    <row r="2" customFormat="false" ht="45.75" hidden="false" customHeight="true" outlineLevel="0" collapsed="false">
      <c r="A2" s="1"/>
      <c r="B2" s="2" t="str">
        <f aca="false">PARAMETRES!$C$5</f>
        <v>CAFE VICTOR HUGO</v>
      </c>
      <c r="C2" s="2"/>
      <c r="D2" s="2"/>
      <c r="E2" s="2"/>
      <c r="F2" s="2"/>
      <c r="G2" s="2"/>
      <c r="H2" s="2"/>
      <c r="I2" s="1"/>
    </row>
    <row r="3" customFormat="false" ht="21.75" hidden="false" customHeight="true" outlineLevel="0" collapsed="false">
      <c r="A3" s="1"/>
      <c r="B3" s="3" t="str">
        <f aca="false">PARAMETRES!$C$6&amp;", "&amp;PARAMETRES!$C$7</f>
        <v>Mohammedia, Maroc</v>
      </c>
      <c r="C3" s="3"/>
      <c r="D3" s="3"/>
      <c r="E3" s="3"/>
      <c r="F3" s="3"/>
      <c r="G3" s="3"/>
      <c r="H3" s="3"/>
      <c r="I3" s="1"/>
    </row>
    <row r="4" customFormat="false" ht="19.5" hidden="false" customHeight="true" outlineLevel="0" collapsed="false">
      <c r="A4" s="1"/>
      <c r="B4" s="4" t="s">
        <v>0</v>
      </c>
      <c r="C4" s="4"/>
      <c r="D4" s="4"/>
      <c r="E4" s="4"/>
      <c r="F4" s="4"/>
      <c r="G4" s="4"/>
      <c r="H4" s="4"/>
      <c r="I4" s="1"/>
    </row>
    <row r="5" customFormat="false" ht="9.75" hidden="false" customHeight="true" outlineLevel="0" collapsed="false">
      <c r="A5" s="1"/>
      <c r="B5" s="1"/>
      <c r="C5" s="1"/>
      <c r="D5" s="1"/>
      <c r="E5" s="1"/>
      <c r="F5" s="1"/>
      <c r="G5" s="1"/>
      <c r="H5" s="1"/>
      <c r="I5" s="1"/>
    </row>
    <row r="7" customFormat="false" ht="24" hidden="false" customHeight="true" outlineLevel="0" collapsed="false">
      <c r="B7" s="5" t="s">
        <v>1</v>
      </c>
      <c r="C7" s="5"/>
      <c r="D7" s="6" t="n">
        <f aca="false">PARAMETRES!$C$15</f>
        <v>46235</v>
      </c>
      <c r="E7" s="6"/>
      <c r="F7" s="6"/>
      <c r="G7" s="6"/>
      <c r="H7" s="6"/>
    </row>
    <row r="8" customFormat="false" ht="16.5" hidden="false" customHeight="true" outlineLevel="0" collapsed="false">
      <c r="B8" s="7" t="s">
        <v>2</v>
      </c>
      <c r="C8" s="8" t="s">
        <v>3</v>
      </c>
      <c r="D8" s="9" t="s">
        <v>4</v>
      </c>
      <c r="E8" s="10" t="s">
        <v>5</v>
      </c>
      <c r="F8" s="11" t="s">
        <v>6</v>
      </c>
      <c r="G8" s="12" t="s">
        <v>7</v>
      </c>
    </row>
    <row r="9" customFormat="false" ht="31.5" hidden="false" customHeight="true" outlineLevel="0" collapsed="false">
      <c r="B9" s="13" t="n">
        <f aca="false">SUMIFS(JOURNAL!$H$8:$H$1007,JOURNAL!$D$8:$D$1007,"RECETTE",JOURNAL!$C$8:$C$1007,PARAMETRES!$C$14)</f>
        <v>54937</v>
      </c>
      <c r="C9" s="14" t="n">
        <f aca="false">SUMIFS(JOURNAL!$H$8:$H$1007,JOURNAL!$D$8:$D$1007,"DEPENSE",JOURNAL!$C$8:$C$1007,PARAMETRES!$C$14)</f>
        <v>50714</v>
      </c>
      <c r="D9" s="15" t="n">
        <f aca="false">SUMIFS(JOURNAL!$H$8:$H$1007,JOURNAL!$D$8:$D$1007,"RECETTE",JOURNAL!$C$8:$C$1007,PARAMETRES!$C$14)-SUMIFS(JOURNAL!$H$8:$H$1007,JOURNAL!$D$8:$D$1007,"DEPENSE",JOURNAL!$C$8:$C$1007,PARAMETRES!$C$14)</f>
        <v>4223</v>
      </c>
      <c r="E9" s="16" t="n">
        <f aca="false">IFERROR((SUMIFS(JOURNAL!$H$8:$H$1007,JOURNAL!$D$8:$D$1007,"RECETTE",JOURNAL!$C$8:$C$1007,PARAMETRES!$C$14)-SUMIFS(JOURNAL!$H$8:$H$1007,JOURNAL!$D$8:$D$1007,"DEPENSE",JOURNAL!$C$8:$C$1007,PARAMETRES!$C$14))/SUMIFS(JOURNAL!$H$8:$H$1007,JOURNAL!$D$8:$D$1007,"RECETTE",JOURNAL!$C$8:$C$1007,PARAMETRES!$C$14),0)</f>
        <v>0.0768698691228134</v>
      </c>
      <c r="F9" s="17" t="n">
        <f aca="false">'RECAP JOUR'!$O$37</f>
        <v>4223</v>
      </c>
      <c r="G9" s="18" t="n">
        <f aca="false">COUNTIF('RECAP JOUR'!$F$6:$F$36,"&gt;0")</f>
        <v>27</v>
      </c>
    </row>
    <row r="11" customFormat="false" ht="24" hidden="false" customHeight="true" outlineLevel="0" collapsed="false">
      <c r="B11" s="19" t="s">
        <v>8</v>
      </c>
      <c r="C11" s="19"/>
      <c r="D11" s="19"/>
      <c r="E11" s="19"/>
      <c r="F11" s="19"/>
      <c r="G11" s="19"/>
      <c r="H11" s="19"/>
    </row>
    <row r="12" customFormat="false" ht="21.75" hidden="false" customHeight="true" outlineLevel="0" collapsed="false">
      <c r="B12" s="20" t="s">
        <v>9</v>
      </c>
      <c r="C12" s="21" t="s">
        <v>10</v>
      </c>
      <c r="D12" s="21"/>
      <c r="E12" s="21"/>
      <c r="F12" s="21"/>
      <c r="G12" s="21"/>
      <c r="H12" s="21"/>
    </row>
    <row r="13" customFormat="false" ht="33.75" hidden="false" customHeight="true" outlineLevel="0" collapsed="false">
      <c r="B13" s="20"/>
      <c r="C13" s="22" t="s">
        <v>11</v>
      </c>
      <c r="D13" s="22"/>
      <c r="E13" s="22"/>
      <c r="F13" s="22"/>
      <c r="G13" s="22"/>
      <c r="H13" s="22"/>
    </row>
    <row r="15" customFormat="false" ht="21.75" hidden="false" customHeight="true" outlineLevel="0" collapsed="false">
      <c r="B15" s="20" t="s">
        <v>12</v>
      </c>
      <c r="C15" s="21" t="s">
        <v>13</v>
      </c>
      <c r="D15" s="21"/>
      <c r="E15" s="21"/>
      <c r="F15" s="21"/>
      <c r="G15" s="21"/>
      <c r="H15" s="21"/>
    </row>
    <row r="16" customFormat="false" ht="33.75" hidden="false" customHeight="true" outlineLevel="0" collapsed="false">
      <c r="B16" s="20"/>
      <c r="C16" s="22" t="s">
        <v>14</v>
      </c>
      <c r="D16" s="22"/>
      <c r="E16" s="22"/>
      <c r="F16" s="22"/>
      <c r="G16" s="22"/>
      <c r="H16" s="22"/>
    </row>
    <row r="18" customFormat="false" ht="21.75" hidden="false" customHeight="true" outlineLevel="0" collapsed="false">
      <c r="B18" s="20" t="s">
        <v>15</v>
      </c>
      <c r="C18" s="21" t="s">
        <v>16</v>
      </c>
      <c r="D18" s="21"/>
      <c r="E18" s="21"/>
      <c r="F18" s="21"/>
      <c r="G18" s="21"/>
      <c r="H18" s="21"/>
    </row>
    <row r="19" customFormat="false" ht="33.75" hidden="false" customHeight="true" outlineLevel="0" collapsed="false">
      <c r="B19" s="20"/>
      <c r="C19" s="22" t="s">
        <v>17</v>
      </c>
      <c r="D19" s="22"/>
      <c r="E19" s="22"/>
      <c r="F19" s="22"/>
      <c r="G19" s="22"/>
      <c r="H19" s="22"/>
    </row>
    <row r="21" customFormat="false" ht="24" hidden="false" customHeight="true" outlineLevel="0" collapsed="false">
      <c r="B21" s="19" t="s">
        <v>18</v>
      </c>
      <c r="C21" s="19"/>
      <c r="D21" s="19"/>
      <c r="E21" s="19"/>
      <c r="F21" s="19"/>
      <c r="G21" s="19"/>
      <c r="H21" s="19"/>
    </row>
    <row r="22" customFormat="false" ht="30" hidden="false" customHeight="true" outlineLevel="0" collapsed="false">
      <c r="B22" s="23" t="s">
        <v>19</v>
      </c>
      <c r="C22" s="23" t="s">
        <v>20</v>
      </c>
      <c r="D22" s="23"/>
      <c r="E22" s="23"/>
      <c r="F22" s="23"/>
      <c r="G22" s="23"/>
      <c r="H22" s="23" t="s">
        <v>21</v>
      </c>
    </row>
    <row r="23" customFormat="false" ht="19.5" hidden="false" customHeight="true" outlineLevel="0" collapsed="false">
      <c r="B23" s="24" t="s">
        <v>22</v>
      </c>
      <c r="C23" s="25" t="s">
        <v>23</v>
      </c>
      <c r="D23" s="25"/>
      <c r="E23" s="25"/>
      <c r="F23" s="25"/>
      <c r="G23" s="25"/>
      <c r="H23" s="26" t="s">
        <v>24</v>
      </c>
    </row>
    <row r="24" customFormat="false" ht="19.5" hidden="false" customHeight="true" outlineLevel="0" collapsed="false">
      <c r="B24" s="27" t="s">
        <v>25</v>
      </c>
      <c r="C24" s="28" t="s">
        <v>26</v>
      </c>
      <c r="D24" s="28"/>
      <c r="E24" s="28"/>
      <c r="F24" s="28"/>
      <c r="G24" s="28"/>
      <c r="H24" s="29" t="s">
        <v>27</v>
      </c>
    </row>
    <row r="25" customFormat="false" ht="19.5" hidden="false" customHeight="true" outlineLevel="0" collapsed="false">
      <c r="B25" s="24" t="s">
        <v>28</v>
      </c>
      <c r="C25" s="25" t="s">
        <v>29</v>
      </c>
      <c r="D25" s="25"/>
      <c r="E25" s="25"/>
      <c r="F25" s="25"/>
      <c r="G25" s="25"/>
      <c r="H25" s="30" t="s">
        <v>27</v>
      </c>
    </row>
    <row r="26" customFormat="false" ht="19.5" hidden="false" customHeight="true" outlineLevel="0" collapsed="false">
      <c r="B26" s="27" t="s">
        <v>30</v>
      </c>
      <c r="C26" s="28" t="s">
        <v>31</v>
      </c>
      <c r="D26" s="28"/>
      <c r="E26" s="28"/>
      <c r="F26" s="28"/>
      <c r="G26" s="28"/>
      <c r="H26" s="31" t="s">
        <v>24</v>
      </c>
    </row>
    <row r="27" customFormat="false" ht="19.5" hidden="false" customHeight="true" outlineLevel="0" collapsed="false">
      <c r="B27" s="24" t="s">
        <v>32</v>
      </c>
      <c r="C27" s="25" t="s">
        <v>33</v>
      </c>
      <c r="D27" s="25"/>
      <c r="E27" s="25"/>
      <c r="F27" s="25"/>
      <c r="G27" s="25"/>
      <c r="H27" s="26" t="s">
        <v>24</v>
      </c>
    </row>
    <row r="28" customFormat="false" ht="19.5" hidden="false" customHeight="true" outlineLevel="0" collapsed="false">
      <c r="B28" s="27" t="s">
        <v>34</v>
      </c>
      <c r="C28" s="28" t="s">
        <v>35</v>
      </c>
      <c r="D28" s="28"/>
      <c r="E28" s="28"/>
      <c r="F28" s="28"/>
      <c r="G28" s="28"/>
      <c r="H28" s="31" t="s">
        <v>24</v>
      </c>
    </row>
    <row r="29" customFormat="false" ht="19.5" hidden="false" customHeight="true" outlineLevel="0" collapsed="false">
      <c r="B29" s="24" t="s">
        <v>36</v>
      </c>
      <c r="C29" s="25" t="s">
        <v>37</v>
      </c>
      <c r="D29" s="25"/>
      <c r="E29" s="25"/>
      <c r="F29" s="25"/>
      <c r="G29" s="25"/>
      <c r="H29" s="30" t="s">
        <v>38</v>
      </c>
    </row>
    <row r="30" customFormat="false" ht="19.5" hidden="false" customHeight="true" outlineLevel="0" collapsed="false">
      <c r="B30" s="27" t="s">
        <v>39</v>
      </c>
      <c r="C30" s="28" t="s">
        <v>40</v>
      </c>
      <c r="D30" s="28"/>
      <c r="E30" s="28"/>
      <c r="F30" s="28"/>
      <c r="G30" s="28"/>
      <c r="H30" s="29" t="s">
        <v>41</v>
      </c>
    </row>
    <row r="31" customFormat="false" ht="19.5" hidden="false" customHeight="true" outlineLevel="0" collapsed="false">
      <c r="B31" s="24" t="s">
        <v>42</v>
      </c>
      <c r="C31" s="25" t="s">
        <v>43</v>
      </c>
      <c r="D31" s="25"/>
      <c r="E31" s="25"/>
      <c r="F31" s="25"/>
      <c r="G31" s="25"/>
      <c r="H31" s="30" t="s">
        <v>44</v>
      </c>
    </row>
    <row r="32" customFormat="false" ht="19.5" hidden="false" customHeight="true" outlineLevel="0" collapsed="false">
      <c r="B32" s="27" t="s">
        <v>45</v>
      </c>
      <c r="C32" s="28" t="s">
        <v>46</v>
      </c>
      <c r="D32" s="28"/>
      <c r="E32" s="28"/>
      <c r="F32" s="28"/>
      <c r="G32" s="28"/>
      <c r="H32" s="31" t="s">
        <v>24</v>
      </c>
    </row>
    <row r="33" customFormat="false" ht="19.5" hidden="false" customHeight="true" outlineLevel="0" collapsed="false">
      <c r="B33" s="24" t="s">
        <v>47</v>
      </c>
      <c r="C33" s="25" t="s">
        <v>48</v>
      </c>
      <c r="D33" s="25"/>
      <c r="E33" s="25"/>
      <c r="F33" s="25"/>
      <c r="G33" s="25"/>
      <c r="H33" s="26" t="s">
        <v>24</v>
      </c>
    </row>
    <row r="35" customFormat="false" ht="24" hidden="false" customHeight="true" outlineLevel="0" collapsed="false">
      <c r="B35" s="19" t="s">
        <v>49</v>
      </c>
      <c r="C35" s="19"/>
      <c r="D35" s="19"/>
      <c r="E35" s="19"/>
      <c r="F35" s="19"/>
      <c r="G35" s="19"/>
      <c r="H35" s="19"/>
    </row>
    <row r="36" customFormat="false" ht="19.5" hidden="false" customHeight="true" outlineLevel="0" collapsed="false">
      <c r="B36" s="24" t="s">
        <v>50</v>
      </c>
      <c r="C36" s="32" t="s">
        <v>51</v>
      </c>
      <c r="D36" s="32"/>
      <c r="E36" s="33" t="s">
        <v>52</v>
      </c>
      <c r="F36" s="33"/>
      <c r="G36" s="33"/>
      <c r="H36" s="33"/>
    </row>
    <row r="37" customFormat="false" ht="19.5" hidden="false" customHeight="true" outlineLevel="0" collapsed="false">
      <c r="B37" s="27" t="s">
        <v>53</v>
      </c>
      <c r="C37" s="34" t="s">
        <v>54</v>
      </c>
      <c r="D37" s="34"/>
      <c r="E37" s="35" t="s">
        <v>55</v>
      </c>
      <c r="F37" s="35"/>
      <c r="G37" s="35"/>
      <c r="H37" s="35"/>
    </row>
    <row r="38" customFormat="false" ht="19.5" hidden="false" customHeight="true" outlineLevel="0" collapsed="false">
      <c r="B38" s="24" t="s">
        <v>56</v>
      </c>
      <c r="C38" s="32" t="s">
        <v>57</v>
      </c>
      <c r="D38" s="32"/>
      <c r="E38" s="33" t="s">
        <v>58</v>
      </c>
      <c r="F38" s="33"/>
      <c r="G38" s="33"/>
      <c r="H38" s="33"/>
    </row>
    <row r="39" customFormat="false" ht="19.5" hidden="false" customHeight="true" outlineLevel="0" collapsed="false">
      <c r="B39" s="27" t="s">
        <v>59</v>
      </c>
      <c r="C39" s="34" t="s">
        <v>60</v>
      </c>
      <c r="D39" s="34"/>
      <c r="E39" s="35" t="s">
        <v>61</v>
      </c>
      <c r="F39" s="35"/>
      <c r="G39" s="35"/>
      <c r="H39" s="35"/>
    </row>
    <row r="40" customFormat="false" ht="19.5" hidden="false" customHeight="true" outlineLevel="0" collapsed="false">
      <c r="B40" s="24" t="s">
        <v>62</v>
      </c>
      <c r="C40" s="32" t="s">
        <v>63</v>
      </c>
      <c r="D40" s="32"/>
      <c r="E40" s="33" t="s">
        <v>64</v>
      </c>
      <c r="F40" s="33"/>
      <c r="G40" s="33"/>
      <c r="H40" s="33"/>
    </row>
    <row r="42" customFormat="false" ht="45.75" hidden="false" customHeight="true" outlineLevel="0" collapsed="false">
      <c r="B42" s="36" t="s">
        <v>65</v>
      </c>
      <c r="C42" s="36"/>
      <c r="D42" s="36"/>
      <c r="E42" s="36"/>
      <c r="F42" s="36"/>
      <c r="G42" s="36"/>
      <c r="H42" s="36"/>
    </row>
  </sheetData>
  <mergeCells count="40">
    <mergeCell ref="B2:H2"/>
    <mergeCell ref="B3:H3"/>
    <mergeCell ref="B4:H4"/>
    <mergeCell ref="B7:C7"/>
    <mergeCell ref="D7:H7"/>
    <mergeCell ref="B11:H11"/>
    <mergeCell ref="B12:B13"/>
    <mergeCell ref="C12:H12"/>
    <mergeCell ref="C13:H13"/>
    <mergeCell ref="B15:B16"/>
    <mergeCell ref="C15:H15"/>
    <mergeCell ref="C16:H16"/>
    <mergeCell ref="B18:B19"/>
    <mergeCell ref="C18:H18"/>
    <mergeCell ref="C19:H19"/>
    <mergeCell ref="B21:H21"/>
    <mergeCell ref="C22:G22"/>
    <mergeCell ref="C23:G23"/>
    <mergeCell ref="C24:G24"/>
    <mergeCell ref="C25:G25"/>
    <mergeCell ref="C26:G26"/>
    <mergeCell ref="C27:G27"/>
    <mergeCell ref="C28:G28"/>
    <mergeCell ref="C29:G29"/>
    <mergeCell ref="C30:G30"/>
    <mergeCell ref="C31:G31"/>
    <mergeCell ref="C32:G32"/>
    <mergeCell ref="C33:G33"/>
    <mergeCell ref="B35:H35"/>
    <mergeCell ref="C36:D36"/>
    <mergeCell ref="E36:H36"/>
    <mergeCell ref="C37:D37"/>
    <mergeCell ref="E37:H37"/>
    <mergeCell ref="C38:D38"/>
    <mergeCell ref="E38:H38"/>
    <mergeCell ref="C39:D39"/>
    <mergeCell ref="E39:H39"/>
    <mergeCell ref="C40:D40"/>
    <mergeCell ref="E40:H40"/>
    <mergeCell ref="B42:H42"/>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E2723"/>
    <pageSetUpPr fitToPage="true"/>
  </sheetPr>
  <dimension ref="A1:P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3"/>
    <col collapsed="false" customWidth="true" hidden="false" outlineLevel="0" max="3" min="3" style="0" width="10"/>
    <col collapsed="false" customWidth="true" hidden="false" outlineLevel="0" max="4" min="4" style="0" width="12"/>
    <col collapsed="false" customWidth="true" hidden="false" outlineLevel="0" max="5" min="5" style="0" width="11.5"/>
    <col collapsed="false" customWidth="true" hidden="false" outlineLevel="0" max="6" min="6" style="0" width="22"/>
    <col collapsed="false" customWidth="true" hidden="false" outlineLevel="0" max="7" min="7" style="0" width="13"/>
    <col collapsed="false" customWidth="true" hidden="false" outlineLevel="0" max="8" min="8" style="0" width="10"/>
    <col collapsed="false" customWidth="true" hidden="false" outlineLevel="0" max="9" min="9" style="0" width="12"/>
    <col collapsed="false" customWidth="true" hidden="false" outlineLevel="0" max="16" min="10" style="0" width="11.5"/>
  </cols>
  <sheetData>
    <row r="1" customFormat="false" ht="37.5" hidden="false" customHeight="true" outlineLevel="0" collapsed="false">
      <c r="A1" s="37" t="s">
        <v>32</v>
      </c>
      <c r="B1" s="37"/>
      <c r="C1" s="37"/>
      <c r="D1" s="37"/>
      <c r="E1" s="37"/>
      <c r="F1" s="37"/>
      <c r="G1" s="37"/>
      <c r="H1" s="37"/>
      <c r="I1" s="37"/>
      <c r="J1" s="37"/>
      <c r="K1" s="37"/>
      <c r="L1" s="37"/>
      <c r="M1" s="37"/>
      <c r="N1" s="37"/>
      <c r="O1" s="37"/>
      <c r="P1" s="37"/>
    </row>
    <row r="2" customFormat="false" ht="18" hidden="false" customHeight="true" outlineLevel="0" collapsed="false">
      <c r="A2" s="38" t="s">
        <v>66</v>
      </c>
      <c r="B2" s="38"/>
      <c r="C2" s="38"/>
      <c r="D2" s="38"/>
      <c r="E2" s="38"/>
      <c r="F2" s="38"/>
      <c r="G2" s="38"/>
      <c r="H2" s="38"/>
      <c r="I2" s="38"/>
      <c r="J2" s="38"/>
      <c r="K2" s="38"/>
      <c r="L2" s="38"/>
      <c r="M2" s="38"/>
      <c r="N2" s="38"/>
      <c r="O2" s="38"/>
      <c r="P2" s="38"/>
    </row>
    <row r="4" customFormat="false" ht="25.5" hidden="false" customHeight="true" outlineLevel="0" collapsed="false">
      <c r="A4" s="39" t="n">
        <f aca="false">PARAMETRES!$C$15</f>
        <v>46235</v>
      </c>
      <c r="B4" s="39"/>
      <c r="C4" s="39"/>
      <c r="D4" s="39"/>
      <c r="E4" s="39"/>
      <c r="F4" s="39"/>
      <c r="K4" s="40" t="str">
        <f aca="false">PARAMETRES!$C$5&amp;" — "&amp;PARAMETRES!$C$6</f>
        <v>CAFE VICTOR HUGO — Mohammedia</v>
      </c>
      <c r="L4" s="40"/>
      <c r="M4" s="40"/>
      <c r="N4" s="40"/>
      <c r="O4" s="40"/>
      <c r="P4" s="40"/>
    </row>
    <row r="6" customFormat="false" ht="15.75" hidden="false" customHeight="true" outlineLevel="0" collapsed="false">
      <c r="A6" s="41" t="s">
        <v>67</v>
      </c>
      <c r="B6" s="41"/>
      <c r="C6" s="41"/>
      <c r="E6" s="42" t="s">
        <v>68</v>
      </c>
      <c r="F6" s="42"/>
      <c r="G6" s="42"/>
      <c r="I6" s="43" t="s">
        <v>69</v>
      </c>
      <c r="J6" s="43"/>
      <c r="K6" s="43"/>
      <c r="M6" s="44" t="s">
        <v>70</v>
      </c>
      <c r="N6" s="44"/>
      <c r="O6" s="44"/>
    </row>
    <row r="7" customFormat="false" ht="27.75" hidden="false" customHeight="true" outlineLevel="0" collapsed="false">
      <c r="A7" s="45" t="n">
        <f aca="false">SUMIFS(JOURNAL!$H$8:$H$1007,JOURNAL!$D$8:$D$1007,"RECETTE",JOURNAL!$C$8:$C$1007,PARAMETRES!$C$14)</f>
        <v>54937</v>
      </c>
      <c r="B7" s="45"/>
      <c r="C7" s="45"/>
      <c r="E7" s="46" t="n">
        <f aca="false">SUMIFS(JOURNAL!$H$8:$H$1007,JOURNAL!$D$8:$D$1007,"DEPENSE",JOURNAL!$C$8:$C$1007,PARAMETRES!$C$14)</f>
        <v>50714</v>
      </c>
      <c r="F7" s="46"/>
      <c r="G7" s="46"/>
      <c r="I7" s="47" t="n">
        <f aca="false">SUMIFS(JOURNAL!$H$8:$H$1007,JOURNAL!$D$8:$D$1007,"RECETTE",JOURNAL!$C$8:$C$1007,PARAMETRES!$C$14)-SUMIFS(JOURNAL!$H$8:$H$1007,JOURNAL!$D$8:$D$1007,"DEPENSE",JOURNAL!$C$8:$C$1007,PARAMETRES!$C$14)</f>
        <v>4223</v>
      </c>
      <c r="J7" s="47"/>
      <c r="K7" s="47"/>
      <c r="M7" s="48" t="n">
        <f aca="false">IFERROR((SUMIFS(JOURNAL!$H$8:$H$1007,JOURNAL!$D$8:$D$1007,"RECETTE",JOURNAL!$C$8:$C$1007,PARAMETRES!$C$14)-SUMIFS(JOURNAL!$H$8:$H$1007,JOURNAL!$D$8:$D$1007,"DEPENSE",JOURNAL!$C$8:$C$1007,PARAMETRES!$C$14))/SUMIFS(JOURNAL!$H$8:$H$1007,JOURNAL!$D$8:$D$1007,"RECETTE",JOURNAL!$C$8:$C$1007,PARAMETRES!$C$14),0)</f>
        <v>0.0768698691228134</v>
      </c>
      <c r="N7" s="48"/>
      <c r="O7" s="48"/>
    </row>
    <row r="8" customFormat="false" ht="15" hidden="false" customHeight="true" outlineLevel="0" collapsed="false">
      <c r="A8" s="49" t="s">
        <v>71</v>
      </c>
      <c r="B8" s="49"/>
      <c r="C8" s="49"/>
      <c r="E8" s="49" t="s">
        <v>72</v>
      </c>
      <c r="F8" s="49"/>
      <c r="G8" s="49"/>
      <c r="I8" s="49" t="s">
        <v>73</v>
      </c>
      <c r="J8" s="49"/>
      <c r="K8" s="49"/>
      <c r="M8" s="49" t="s">
        <v>74</v>
      </c>
      <c r="N8" s="49"/>
      <c r="O8" s="49"/>
    </row>
    <row r="10" customFormat="false" ht="15.75" hidden="false" customHeight="true" outlineLevel="0" collapsed="false">
      <c r="A10" s="50" t="s">
        <v>75</v>
      </c>
      <c r="B10" s="50"/>
      <c r="C10" s="50"/>
      <c r="E10" s="41" t="s">
        <v>76</v>
      </c>
      <c r="F10" s="41"/>
      <c r="G10" s="41"/>
      <c r="I10" s="43" t="s">
        <v>77</v>
      </c>
      <c r="J10" s="43"/>
      <c r="K10" s="43"/>
      <c r="M10" s="50" t="s">
        <v>78</v>
      </c>
      <c r="N10" s="50"/>
      <c r="O10" s="50"/>
    </row>
    <row r="11" customFormat="false" ht="27.75" hidden="false" customHeight="true" outlineLevel="0" collapsed="false">
      <c r="A11" s="51" t="n">
        <f aca="false">IFERROR(SUMIFS(JOURNAL!$H$8:$H$1007,JOURNAL!$D$8:$D$1007,"RECETTE",JOURNAL!$C$8:$C$1007,PARAMETRES!$C$14)/COUNTIF('RECAP JOUR'!$F$6:$F$36,"&gt;0"),0)</f>
        <v>2034.7037037037</v>
      </c>
      <c r="B11" s="51"/>
      <c r="C11" s="51"/>
      <c r="E11" s="45" t="n">
        <f aca="false">IFERROR(MAX('RECAP JOUR'!$F$6:$F$36),0)</f>
        <v>2456</v>
      </c>
      <c r="F11" s="45"/>
      <c r="G11" s="45"/>
      <c r="I11" s="47" t="n">
        <f aca="false">'RECAP JOUR'!$O$37</f>
        <v>4223</v>
      </c>
      <c r="J11" s="47"/>
      <c r="K11" s="47"/>
      <c r="M11" s="52" t="n">
        <f aca="false">COUNTIF('RECAP JOUR'!$F$6:$F$36,"&gt;0")</f>
        <v>27</v>
      </c>
      <c r="N11" s="52"/>
      <c r="O11" s="52"/>
    </row>
    <row r="12" customFormat="false" ht="15" hidden="false" customHeight="true" outlineLevel="0" collapsed="false">
      <c r="A12" s="49" t="s">
        <v>79</v>
      </c>
      <c r="B12" s="49"/>
      <c r="C12" s="49"/>
      <c r="E12" s="49" t="s">
        <v>80</v>
      </c>
      <c r="F12" s="49"/>
      <c r="G12" s="49"/>
      <c r="I12" s="49" t="s">
        <v>81</v>
      </c>
      <c r="J12" s="49"/>
      <c r="K12" s="49"/>
      <c r="M12" s="49" t="s">
        <v>82</v>
      </c>
      <c r="N12" s="49"/>
      <c r="O12" s="49"/>
    </row>
    <row r="15" customFormat="false" ht="24" hidden="false" customHeight="true" outlineLevel="0" collapsed="false">
      <c r="A15" s="19" t="s">
        <v>83</v>
      </c>
      <c r="B15" s="19"/>
      <c r="C15" s="19"/>
      <c r="D15" s="19"/>
      <c r="E15" s="19"/>
      <c r="F15" s="19"/>
      <c r="G15" s="19"/>
      <c r="H15" s="19"/>
      <c r="I15" s="19"/>
      <c r="J15" s="19"/>
      <c r="K15" s="19"/>
      <c r="L15" s="19"/>
      <c r="M15" s="19"/>
      <c r="N15" s="19"/>
      <c r="O15" s="19"/>
      <c r="P15" s="19"/>
    </row>
    <row r="34" customFormat="false" ht="24" hidden="false" customHeight="true" outlineLevel="0" collapsed="false">
      <c r="A34" s="19" t="s">
        <v>84</v>
      </c>
      <c r="B34" s="19"/>
      <c r="C34" s="19"/>
      <c r="D34" s="19"/>
      <c r="E34" s="19"/>
      <c r="F34" s="19"/>
      <c r="G34" s="19"/>
      <c r="H34" s="19"/>
      <c r="I34" s="19"/>
      <c r="J34" s="19"/>
      <c r="K34" s="19"/>
      <c r="L34" s="19"/>
      <c r="M34" s="19"/>
      <c r="N34" s="19"/>
      <c r="O34" s="19"/>
      <c r="P34" s="19"/>
    </row>
    <row r="58" customFormat="false" ht="24" hidden="false" customHeight="true" outlineLevel="0" collapsed="false">
      <c r="A58" s="19" t="s">
        <v>85</v>
      </c>
      <c r="B58" s="19"/>
      <c r="C58" s="19"/>
      <c r="D58" s="19"/>
      <c r="F58" s="19" t="s">
        <v>86</v>
      </c>
      <c r="G58" s="19"/>
      <c r="H58" s="19"/>
      <c r="I58" s="19"/>
    </row>
    <row r="59" customFormat="false" ht="30" hidden="false" customHeight="true" outlineLevel="0" collapsed="false">
      <c r="A59" s="23" t="s">
        <v>87</v>
      </c>
      <c r="B59" s="23" t="s">
        <v>88</v>
      </c>
      <c r="C59" s="23" t="s">
        <v>89</v>
      </c>
      <c r="D59" s="23" t="s">
        <v>90</v>
      </c>
      <c r="F59" s="23" t="s">
        <v>91</v>
      </c>
      <c r="G59" s="23" t="s">
        <v>88</v>
      </c>
      <c r="H59" s="23" t="s">
        <v>89</v>
      </c>
      <c r="I59" s="23" t="s">
        <v>92</v>
      </c>
    </row>
    <row r="60" customFormat="false" ht="15" hidden="false" customHeight="false" outlineLevel="0" collapsed="false">
      <c r="A60" s="53" t="s">
        <v>93</v>
      </c>
      <c r="B60" s="54" t="n">
        <f aca="false">SUMIFS(JOURNAL!$H$8:$H$1007,JOURNAL!$E$8:$E$1007,"Boissons",JOURNAL!$C$8:$C$1007,PARAMETRES!$C$14)</f>
        <v>6566</v>
      </c>
      <c r="C60" s="55" t="n">
        <f aca="false">IFERROR($B60/$B$76,0)</f>
        <v>0.129471151950152</v>
      </c>
      <c r="D60" s="56" t="n">
        <f aca="false">IFERROR($B60/COUNTIF('RECAP JOUR'!$F$6:$F$36,"&gt;0"),0)</f>
        <v>243.185185185185</v>
      </c>
      <c r="F60" s="53" t="s">
        <v>94</v>
      </c>
      <c r="G60" s="54" t="n">
        <f aca="false">SUMIFS(JOURNAL!$H$8:$H$1007,JOURNAL!$F$8:$F$1007,"BIM",JOURNAL!$C$8:$C$1007,PARAMETRES!$C$14)</f>
        <v>5500</v>
      </c>
      <c r="H60" s="55" t="n">
        <f aca="false">IFERROR($G60/$B$76,0)</f>
        <v>0.108451315218677</v>
      </c>
      <c r="I60" s="57" t="n">
        <f aca="false">COUNTIFS(JOURNAL!$F$8:$F$1007,"BIM",JOURNAL!$C$8:$C$1007,PARAMETRES!$C$14)</f>
        <v>22</v>
      </c>
    </row>
    <row r="61" customFormat="false" ht="15" hidden="false" customHeight="false" outlineLevel="0" collapsed="false">
      <c r="A61" s="58" t="s">
        <v>95</v>
      </c>
      <c r="B61" s="59" t="n">
        <f aca="false">SUMIFS(JOURNAL!$H$8:$H$1007,JOURNAL!$E$8:$E$1007,"Café &amp; Torréfaction",JOURNAL!$C$8:$C$1007,PARAMETRES!$C$14)</f>
        <v>4910</v>
      </c>
      <c r="C61" s="60" t="n">
        <f aca="false">IFERROR($B61/$B$76,0)</f>
        <v>0.0968174468588555</v>
      </c>
      <c r="D61" s="61" t="n">
        <f aca="false">IFERROR($B61/COUNTIF('RECAP JOUR'!$F$6:$F$36,"&gt;0"),0)</f>
        <v>181.851851851852</v>
      </c>
      <c r="F61" s="58" t="s">
        <v>96</v>
      </c>
      <c r="G61" s="59" t="n">
        <f aca="false">SUMIFS(JOURNAL!$H$8:$H$1007,JOURNAL!$F$8:$F$1007,"TAXE NADAFA 2026",JOURNAL!$C$8:$C$1007,PARAMETRES!$C$14)</f>
        <v>5000</v>
      </c>
      <c r="H61" s="60" t="n">
        <f aca="false">IFERROR($G61/$B$76,0)</f>
        <v>0.0985921047442521</v>
      </c>
      <c r="I61" s="62" t="n">
        <f aca="false">COUNTIFS(JOURNAL!$F$8:$F$1007,"TAXE NADAFA 2026",JOURNAL!$C$8:$C$1007,PARAMETRES!$C$14)</f>
        <v>1</v>
      </c>
    </row>
    <row r="62" customFormat="false" ht="15" hidden="false" customHeight="false" outlineLevel="0" collapsed="false">
      <c r="A62" s="53" t="s">
        <v>97</v>
      </c>
      <c r="B62" s="54" t="n">
        <f aca="false">SUMIFS(JOURNAL!$H$8:$H$1007,JOURNAL!$E$8:$E$1007,"Boulangerie",JOURNAL!$C$8:$C$1007,PARAMETRES!$C$14)</f>
        <v>1303</v>
      </c>
      <c r="C62" s="55" t="n">
        <f aca="false">IFERROR($B62/$B$76,0)</f>
        <v>0.0256931024963521</v>
      </c>
      <c r="D62" s="56" t="n">
        <f aca="false">IFERROR($B62/COUNTIF('RECAP JOUR'!$F$6:$F$36,"&gt;0"),0)</f>
        <v>48.2592592592593</v>
      </c>
      <c r="F62" s="53" t="s">
        <v>98</v>
      </c>
      <c r="G62" s="54" t="n">
        <f aca="false">SUMIFS(JOURNAL!$H$8:$H$1007,JOURNAL!$F$8:$F$1007,"AIN SAISS",JOURNAL!$C$8:$C$1007,PARAMETRES!$C$14)</f>
        <v>4956</v>
      </c>
      <c r="H62" s="55" t="n">
        <f aca="false">IFERROR($G62/$B$76,0)</f>
        <v>0.0977244942225027</v>
      </c>
      <c r="I62" s="57" t="n">
        <f aca="false">COUNTIFS(JOURNAL!$F$8:$F$1007,"AIN SAISS",JOURNAL!$C$8:$C$1007,PARAMETRES!$C$14)</f>
        <v>16</v>
      </c>
    </row>
    <row r="63" customFormat="false" ht="15" hidden="false" customHeight="false" outlineLevel="0" collapsed="false">
      <c r="A63" s="58" t="s">
        <v>99</v>
      </c>
      <c r="B63" s="59" t="n">
        <f aca="false">SUMIFS(JOURNAL!$H$8:$H$1007,JOURNAL!$E$8:$E$1007,"Fruits &amp; Légumes",JOURNAL!$C$8:$C$1007,PARAMETRES!$C$14)</f>
        <v>2135</v>
      </c>
      <c r="C63" s="60" t="n">
        <f aca="false">IFERROR($B63/$B$76,0)</f>
        <v>0.0420988287257956</v>
      </c>
      <c r="D63" s="61" t="n">
        <f aca="false">IFERROR($B63/COUNTIF('RECAP JOUR'!$F$6:$F$36,"&gt;0"),0)</f>
        <v>79.0740740740741</v>
      </c>
      <c r="F63" s="58" t="s">
        <v>100</v>
      </c>
      <c r="G63" s="59" t="n">
        <f aca="false">SUMIFS(JOURNAL!$H$8:$H$1007,JOURNAL!$F$8:$F$1007,"NADAFA",JOURNAL!$C$8:$C$1007,PARAMETRES!$C$14)</f>
        <v>4050</v>
      </c>
      <c r="H63" s="60" t="n">
        <f aca="false">IFERROR($G63/$B$76,0)</f>
        <v>0.0798596048428442</v>
      </c>
      <c r="I63" s="62" t="n">
        <f aca="false">COUNTIFS(JOURNAL!$F$8:$F$1007,"NADAFA",JOURNAL!$C$8:$C$1007,PARAMETRES!$C$14)</f>
        <v>27</v>
      </c>
    </row>
    <row r="64" customFormat="false" ht="15" hidden="false" customHeight="false" outlineLevel="0" collapsed="false">
      <c r="A64" s="53" t="s">
        <v>101</v>
      </c>
      <c r="B64" s="54" t="n">
        <f aca="false">SUMIFS(JOURNAL!$H$8:$H$1007,JOURNAL!$E$8:$E$1007,"Épicerie &amp; Divers",JOURNAL!$C$8:$C$1007,PARAMETRES!$C$14)</f>
        <v>5565</v>
      </c>
      <c r="C64" s="55" t="n">
        <f aca="false">IFERROR($B64/$B$76,0)</f>
        <v>0.109733012580353</v>
      </c>
      <c r="D64" s="56" t="n">
        <f aca="false">IFERROR($B64/COUNTIF('RECAP JOUR'!$F$6:$F$36,"&gt;0"),0)</f>
        <v>206.111111111111</v>
      </c>
      <c r="F64" s="53" t="s">
        <v>102</v>
      </c>
      <c r="G64" s="54" t="n">
        <f aca="false">SUMIFS(JOURNAL!$H$8:$H$1007,JOURNAL!$F$8:$F$1007,"CAFE",JOURNAL!$C$8:$C$1007,PARAMETRES!$C$14)</f>
        <v>4000</v>
      </c>
      <c r="H64" s="55" t="n">
        <f aca="false">IFERROR($G64/$B$76,0)</f>
        <v>0.0788736837954017</v>
      </c>
      <c r="I64" s="57" t="n">
        <f aca="false">COUNTIFS(JOURNAL!$F$8:$F$1007,"CAFE",JOURNAL!$C$8:$C$1007,PARAMETRES!$C$14)</f>
        <v>3</v>
      </c>
    </row>
    <row r="65" customFormat="false" ht="15" hidden="false" customHeight="false" outlineLevel="0" collapsed="false">
      <c r="A65" s="58" t="s">
        <v>103</v>
      </c>
      <c r="B65" s="59" t="n">
        <f aca="false">SUMIFS(JOURNAL!$H$8:$H$1007,JOURNAL!$E$8:$E$1007,"Nettoyage",JOURNAL!$C$8:$C$1007,PARAMETRES!$C$14)</f>
        <v>4050</v>
      </c>
      <c r="C65" s="60" t="n">
        <f aca="false">IFERROR($B65/$B$76,0)</f>
        <v>0.0798596048428442</v>
      </c>
      <c r="D65" s="61" t="n">
        <f aca="false">IFERROR($B65/COUNTIF('RECAP JOUR'!$F$6:$F$36,"&gt;0"),0)</f>
        <v>150</v>
      </c>
      <c r="F65" s="58" t="s">
        <v>104</v>
      </c>
      <c r="G65" s="59" t="n">
        <f aca="false">SUMIFS(JOURNAL!$H$8:$H$1007,JOURNAL!$F$8:$F$1007,"EAU + ELECTRICITE",JOURNAL!$C$8:$C$1007,PARAMETRES!$C$14)</f>
        <v>3785</v>
      </c>
      <c r="H65" s="60" t="n">
        <f aca="false">IFERROR($G65/$B$76,0)</f>
        <v>0.0746342232913988</v>
      </c>
      <c r="I65" s="62" t="n">
        <f aca="false">COUNTIFS(JOURNAL!$F$8:$F$1007,"EAU + ELECTRICITE",JOURNAL!$C$8:$C$1007,PARAMETRES!$C$14)</f>
        <v>1</v>
      </c>
    </row>
    <row r="66" customFormat="false" ht="15" hidden="false" customHeight="false" outlineLevel="0" collapsed="false">
      <c r="A66" s="53" t="s">
        <v>41</v>
      </c>
      <c r="B66" s="54" t="n">
        <f aca="false">SUMIFS(JOURNAL!$H$8:$H$1007,JOURNAL!$E$8:$E$1007,"Salaires",JOURNAL!$C$8:$C$1007,PARAMETRES!$C$14)</f>
        <v>12400</v>
      </c>
      <c r="C66" s="55" t="n">
        <f aca="false">IFERROR($B66/$B$76,0)</f>
        <v>0.244508419765745</v>
      </c>
      <c r="D66" s="56" t="n">
        <f aca="false">IFERROR($B66/COUNTIF('RECAP JOUR'!$F$6:$F$36,"&gt;0"),0)</f>
        <v>459.259259259259</v>
      </c>
      <c r="F66" s="53" t="s">
        <v>105</v>
      </c>
      <c r="G66" s="54" t="n">
        <f aca="false">SUMIFS(JOURNAL!$H$8:$H$1007,JOURNAL!$F$8:$F$1007,"ORANGE",JOURNAL!$C$8:$C$1007,PARAMETRES!$C$14)</f>
        <v>1980</v>
      </c>
      <c r="H66" s="55" t="n">
        <f aca="false">IFERROR($G66/$B$76,0)</f>
        <v>0.0390424734787238</v>
      </c>
      <c r="I66" s="57" t="n">
        <f aca="false">COUNTIFS(JOURNAL!$F$8:$F$1007,"ORANGE",JOURNAL!$C$8:$C$1007,PARAMETRES!$C$14)</f>
        <v>12</v>
      </c>
    </row>
    <row r="67" customFormat="false" ht="15" hidden="false" customHeight="false" outlineLevel="0" collapsed="false">
      <c r="A67" s="58" t="s">
        <v>106</v>
      </c>
      <c r="B67" s="59" t="n">
        <f aca="false">SUMIFS(JOURNAL!$H$8:$H$1007,JOURNAL!$E$8:$E$1007,"Loyer",JOURNAL!$C$8:$C$1007,PARAMETRES!$C$14)</f>
        <v>5000</v>
      </c>
      <c r="C67" s="60" t="n">
        <f aca="false">IFERROR($B67/$B$76,0)</f>
        <v>0.0985921047442521</v>
      </c>
      <c r="D67" s="61" t="n">
        <f aca="false">IFERROR($B67/COUNTIF('RECAP JOUR'!$F$6:$F$36,"&gt;0"),0)</f>
        <v>185.185185185185</v>
      </c>
      <c r="F67" s="58" t="s">
        <v>107</v>
      </c>
      <c r="G67" s="59" t="n">
        <f aca="false">SUMIFS(JOURNAL!$H$8:$H$1007,JOURNAL!$F$8:$F$1007,"BOULANGERIE",JOURNAL!$C$8:$C$1007,PARAMETRES!$C$14)</f>
        <v>1303</v>
      </c>
      <c r="H67" s="60" t="n">
        <f aca="false">IFERROR($G67/$B$76,0)</f>
        <v>0.0256931024963521</v>
      </c>
      <c r="I67" s="62" t="n">
        <f aca="false">COUNTIFS(JOURNAL!$F$8:$F$1007,"BOULANGERIE",JOURNAL!$C$8:$C$1007,PARAMETRES!$C$14)</f>
        <v>4</v>
      </c>
    </row>
    <row r="68" customFormat="false" ht="15" hidden="false" customHeight="false" outlineLevel="0" collapsed="false">
      <c r="A68" s="53" t="s">
        <v>108</v>
      </c>
      <c r="B68" s="54" t="n">
        <f aca="false">SUMIFS(JOURNAL!$H$8:$H$1007,JOURNAL!$E$8:$E$1007,"Eau &amp; Électricité",JOURNAL!$C$8:$C$1007,PARAMETRES!$C$14)</f>
        <v>3785</v>
      </c>
      <c r="C68" s="55" t="n">
        <f aca="false">IFERROR($B68/$B$76,0)</f>
        <v>0.0746342232913988</v>
      </c>
      <c r="D68" s="56" t="n">
        <f aca="false">IFERROR($B68/COUNTIF('RECAP JOUR'!$F$6:$F$36,"&gt;0"),0)</f>
        <v>140.185185185185</v>
      </c>
      <c r="F68" s="53" t="s">
        <v>109</v>
      </c>
      <c r="G68" s="54" t="n">
        <f aca="false">SUMIFS(JOURNAL!$H$8:$H$1007,JOURNAL!$F$8:$F$1007,"COCA",JOURNAL!$C$8:$C$1007,PARAMETRES!$C$14)</f>
        <v>1116</v>
      </c>
      <c r="H68" s="55" t="n">
        <f aca="false">IFERROR($G68/$B$76,0)</f>
        <v>0.0220057577789171</v>
      </c>
      <c r="I68" s="57" t="n">
        <f aca="false">COUNTIFS(JOURNAL!$F$8:$F$1007,"COCA",JOURNAL!$C$8:$C$1007,PARAMETRES!$C$14)</f>
        <v>2</v>
      </c>
    </row>
    <row r="69" customFormat="false" ht="15" hidden="false" customHeight="false" outlineLevel="0" collapsed="false">
      <c r="A69" s="58" t="s">
        <v>110</v>
      </c>
      <c r="B69" s="59" t="n">
        <f aca="false">SUMIFS(JOURNAL!$H$8:$H$1007,JOURNAL!$E$8:$E$1007,"Internet &amp; Télécom",JOURNAL!$C$8:$C$1007,PARAMETRES!$C$14)</f>
        <v>0</v>
      </c>
      <c r="C69" s="60" t="n">
        <f aca="false">IFERROR($B69/$B$76,0)</f>
        <v>0</v>
      </c>
      <c r="D69" s="61" t="n">
        <f aca="false">IFERROR($B69/COUNTIF('RECAP JOUR'!$F$6:$F$36,"&gt;0"),0)</f>
        <v>0</v>
      </c>
      <c r="F69" s="58" t="s">
        <v>111</v>
      </c>
      <c r="G69" s="59" t="n">
        <f aca="false">SUMIFS(JOURNAL!$H$8:$H$1007,JOURNAL!$F$8:$F$1007,"MECAFE",JOURNAL!$C$8:$C$1007,PARAMETRES!$C$14)</f>
        <v>910</v>
      </c>
      <c r="H69" s="60" t="n">
        <f aca="false">IFERROR($G69/$B$76,0)</f>
        <v>0.0179437630634539</v>
      </c>
      <c r="I69" s="62" t="n">
        <f aca="false">COUNTIFS(JOURNAL!$F$8:$F$1007,"MECAFE",JOURNAL!$C$8:$C$1007,PARAMETRES!$C$14)</f>
        <v>1</v>
      </c>
    </row>
    <row r="70" customFormat="false" ht="15" hidden="false" customHeight="false" outlineLevel="0" collapsed="false">
      <c r="A70" s="53" t="s">
        <v>112</v>
      </c>
      <c r="B70" s="54" t="n">
        <f aca="false">SUMIFS(JOURNAL!$H$8:$H$1007,JOURNAL!$E$8:$E$1007,"Taxes &amp; Impôts",JOURNAL!$C$8:$C$1007,PARAMETRES!$C$14)</f>
        <v>5000</v>
      </c>
      <c r="C70" s="55" t="n">
        <f aca="false">IFERROR($B70/$B$76,0)</f>
        <v>0.0985921047442521</v>
      </c>
      <c r="D70" s="56" t="n">
        <f aca="false">IFERROR($B70/COUNTIF('RECAP JOUR'!$F$6:$F$36,"&gt;0"),0)</f>
        <v>185.185185185185</v>
      </c>
      <c r="F70" s="53" t="s">
        <v>113</v>
      </c>
      <c r="G70" s="54" t="n">
        <f aca="false">SUMIFS(JOURNAL!$H$8:$H$1007,JOURNAL!$F$8:$F$1007,"OULMES",JOURNAL!$C$8:$C$1007,PARAMETRES!$C$14)</f>
        <v>468</v>
      </c>
      <c r="H70" s="55" t="n">
        <f aca="false">IFERROR($G70/$B$76,0)</f>
        <v>0.009228221004062</v>
      </c>
      <c r="I70" s="57" t="n">
        <f aca="false">COUNTIFS(JOURNAL!$F$8:$F$1007,"OULMES",JOURNAL!$C$8:$C$1007,PARAMETRES!$C$14)</f>
        <v>3</v>
      </c>
    </row>
    <row r="71" customFormat="false" ht="15" hidden="false" customHeight="false" outlineLevel="0" collapsed="false">
      <c r="A71" s="58" t="s">
        <v>114</v>
      </c>
      <c r="B71" s="59" t="n">
        <f aca="false">SUMIFS(JOURNAL!$H$8:$H$1007,JOURNAL!$E$8:$E$1007,"Abonnements",JOURNAL!$C$8:$C$1007,PARAMETRES!$C$14)</f>
        <v>0</v>
      </c>
      <c r="C71" s="60" t="n">
        <f aca="false">IFERROR($B71/$B$76,0)</f>
        <v>0</v>
      </c>
      <c r="D71" s="61" t="n">
        <f aca="false">IFERROR($B71/COUNTIF('RECAP JOUR'!$F$6:$F$36,"&gt;0"),0)</f>
        <v>0</v>
      </c>
      <c r="F71" s="58" t="s">
        <v>115</v>
      </c>
      <c r="G71" s="59" t="n">
        <f aca="false">SUMIFS(JOURNAL!$H$8:$H$1007,JOURNAL!$F$8:$F$1007,"FRUITS",JOURNAL!$C$8:$C$1007,PARAMETRES!$C$14)</f>
        <v>155</v>
      </c>
      <c r="H71" s="60" t="n">
        <f aca="false">IFERROR($G71/$B$76,0)</f>
        <v>0.00305635524707181</v>
      </c>
      <c r="I71" s="62" t="n">
        <f aca="false">COUNTIFS(JOURNAL!$F$8:$F$1007,"FRUITS",JOURNAL!$C$8:$C$1007,PARAMETRES!$C$14)</f>
        <v>2</v>
      </c>
    </row>
    <row r="72" customFormat="false" ht="15" hidden="false" customHeight="false" outlineLevel="0" collapsed="false">
      <c r="A72" s="53" t="s">
        <v>116</v>
      </c>
      <c r="B72" s="54" t="n">
        <f aca="false">SUMIFS(JOURNAL!$H$8:$H$1007,JOURNAL!$E$8:$E$1007,"Entretien &amp; Réparation",JOURNAL!$C$8:$C$1007,PARAMETRES!$C$14)</f>
        <v>0</v>
      </c>
      <c r="C72" s="55" t="n">
        <f aca="false">IFERROR($B72/$B$76,0)</f>
        <v>0</v>
      </c>
      <c r="D72" s="56" t="n">
        <f aca="false">IFERROR($B72/COUNTIF('RECAP JOUR'!$F$6:$F$36,"&gt;0"),0)</f>
        <v>0</v>
      </c>
    </row>
    <row r="73" customFormat="false" ht="15" hidden="false" customHeight="false" outlineLevel="0" collapsed="false">
      <c r="A73" s="58" t="s">
        <v>117</v>
      </c>
      <c r="B73" s="59" t="n">
        <f aca="false">SUMIFS(JOURNAL!$H$8:$H$1007,JOURNAL!$E$8:$E$1007,"Virement Banque",JOURNAL!$C$8:$C$1007,PARAMETRES!$C$14)</f>
        <v>0</v>
      </c>
      <c r="C73" s="60" t="n">
        <f aca="false">IFERROR($B73/$B$76,0)</f>
        <v>0</v>
      </c>
      <c r="D73" s="61" t="n">
        <f aca="false">IFERROR($B73/COUNTIF('RECAP JOUR'!$F$6:$F$36,"&gt;0"),0)</f>
        <v>0</v>
      </c>
    </row>
    <row r="74" customFormat="false" ht="15" hidden="false" customHeight="false" outlineLevel="0" collapsed="false">
      <c r="A74" s="53" t="s">
        <v>118</v>
      </c>
      <c r="B74" s="54" t="n">
        <f aca="false">SUMIFS(JOURNAL!$H$8:$H$1007,JOURNAL!$E$8:$E$1007,"Virement Associés",JOURNAL!$C$8:$C$1007,PARAMETRES!$C$14)</f>
        <v>0</v>
      </c>
      <c r="C74" s="55" t="n">
        <f aca="false">IFERROR($B74/$B$76,0)</f>
        <v>0</v>
      </c>
      <c r="D74" s="56" t="n">
        <f aca="false">IFERROR($B74/COUNTIF('RECAP JOUR'!$F$6:$F$36,"&gt;0"),0)</f>
        <v>0</v>
      </c>
    </row>
    <row r="75" customFormat="false" ht="15" hidden="false" customHeight="false" outlineLevel="0" collapsed="false">
      <c r="A75" s="58" t="s">
        <v>119</v>
      </c>
      <c r="B75" s="59" t="n">
        <f aca="false">SUMIFS(JOURNAL!$H$8:$H$1007,JOURNAL!$E$8:$E$1007,"Divers",JOURNAL!$C$8:$C$1007,PARAMETRES!$C$14)</f>
        <v>0</v>
      </c>
      <c r="C75" s="60" t="n">
        <f aca="false">IFERROR($B75/$B$76,0)</f>
        <v>0</v>
      </c>
      <c r="D75" s="61" t="n">
        <f aca="false">IFERROR($B75/COUNTIF('RECAP JOUR'!$F$6:$F$36,"&gt;0"),0)</f>
        <v>0</v>
      </c>
    </row>
    <row r="76" customFormat="false" ht="24" hidden="false" customHeight="true" outlineLevel="0" collapsed="false">
      <c r="A76" s="63" t="s">
        <v>120</v>
      </c>
      <c r="B76" s="64" t="n">
        <f aca="false">SUM($B$60:$B$75)</f>
        <v>50714</v>
      </c>
      <c r="C76" s="65" t="n">
        <f aca="false">IFERROR($B76/$B76,0)</f>
        <v>1</v>
      </c>
      <c r="D76" s="64" t="n">
        <f aca="false">IFERROR($B76/COUNTIF('RECAP JOUR'!$F$6:$F$36,"&gt;0"),0)</f>
        <v>1878.2962962963</v>
      </c>
    </row>
    <row r="79" customFormat="false" ht="39.75" hidden="false" customHeight="true" outlineLevel="0" collapsed="false">
      <c r="A79" s="36" t="s">
        <v>121</v>
      </c>
      <c r="B79" s="36"/>
      <c r="C79" s="36"/>
      <c r="D79" s="36"/>
      <c r="E79" s="36"/>
      <c r="F79" s="36"/>
      <c r="G79" s="36"/>
      <c r="H79" s="36"/>
      <c r="I79" s="36"/>
      <c r="J79" s="36"/>
      <c r="K79" s="36"/>
      <c r="L79" s="36"/>
      <c r="M79" s="36"/>
      <c r="N79" s="36"/>
      <c r="O79" s="36"/>
      <c r="P79" s="36"/>
    </row>
  </sheetData>
  <mergeCells count="33">
    <mergeCell ref="A1:P1"/>
    <mergeCell ref="A2:P2"/>
    <mergeCell ref="A4:F4"/>
    <mergeCell ref="K4:P4"/>
    <mergeCell ref="A6:C6"/>
    <mergeCell ref="E6:G6"/>
    <mergeCell ref="I6:K6"/>
    <mergeCell ref="M6:O6"/>
    <mergeCell ref="A7:C7"/>
    <mergeCell ref="E7:G7"/>
    <mergeCell ref="I7:K7"/>
    <mergeCell ref="M7:O7"/>
    <mergeCell ref="A8:C8"/>
    <mergeCell ref="E8:G8"/>
    <mergeCell ref="I8:K8"/>
    <mergeCell ref="M8:O8"/>
    <mergeCell ref="A10:C10"/>
    <mergeCell ref="E10:G10"/>
    <mergeCell ref="I10:K10"/>
    <mergeCell ref="M10:O10"/>
    <mergeCell ref="A11:C11"/>
    <mergeCell ref="E11:G11"/>
    <mergeCell ref="I11:K11"/>
    <mergeCell ref="M11:O11"/>
    <mergeCell ref="A12:C12"/>
    <mergeCell ref="E12:G12"/>
    <mergeCell ref="I12:K12"/>
    <mergeCell ref="M12:O12"/>
    <mergeCell ref="A15:P15"/>
    <mergeCell ref="A34:P34"/>
    <mergeCell ref="A58:D58"/>
    <mergeCell ref="F58:I58"/>
    <mergeCell ref="A79:P79"/>
  </mergeCells>
  <conditionalFormatting sqref="I7:K7">
    <cfRule type="cellIs" priority="2" operator="lessThan" aboveAverage="0" equalAverage="0" bottom="0" percent="0" rank="0" text="" dxfId="0">
      <formula>0</formula>
    </cfRule>
  </conditionalFormatting>
  <conditionalFormatting sqref="M7:O7">
    <cfRule type="cellIs" priority="3" operator="lessThan" aboveAverage="0" equalAverage="0" bottom="0" percent="0" rank="0" text="" dxfId="0">
      <formula>0</formula>
    </cfRule>
  </conditionalFormatting>
  <conditionalFormatting sqref="B60:B75">
    <cfRule type="dataBar" priority="4">
      <dataBar showValue="1" minLength="10" maxLength="90">
        <cfvo type="num" val="0"/>
        <cfvo type="percentile" val="100"/>
        <color rgb="FFC8A265"/>
      </dataBar>
      <extLst>
        <ext xmlns:x14="http://schemas.microsoft.com/office/spreadsheetml/2009/9/main" uri="{B025F937-C7B1-47D3-B67F-A62EFF666E3E}">
          <x14:id>{C2905B30-82EB-4680-B713-9689E5004BD2}</x14:id>
        </ext>
      </extLst>
    </cfRule>
  </conditionalFormatting>
  <conditionalFormatting sqref="G60:G71">
    <cfRule type="dataBar" priority="5">
      <dataBar showValue="1" minLength="10" maxLength="90">
        <cfvo type="num" val="0"/>
        <cfvo type="percentile" val="100"/>
        <color rgb="FF8D6E63"/>
      </dataBar>
      <extLst>
        <ext xmlns:x14="http://schemas.microsoft.com/office/spreadsheetml/2009/9/main" uri="{B025F937-C7B1-47D3-B67F-A62EFF666E3E}">
          <x14:id>{48377FDF-E5F6-44BB-85E2-953B58B2B9DC}</x14:id>
        </ext>
      </extLst>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C2905B30-82EB-4680-B713-9689E5004BD2}">
            <x14:dataBar minLength="10" maxLength="90" axisPosition="none" gradient="true">
              <x14:cfvo type="num">
                <xm:f>0</xm:f>
              </x14:cfvo>
              <x14:cfvo type="percentile">
                <xm:f>100</xm:f>
              </x14:cfvo>
              <x14:negativeFillColor rgb="FFC8A265"/>
              <x14:axisColor rgb="FF000000"/>
            </x14:dataBar>
          </x14:cfRule>
          <xm:sqref>B60:B75</xm:sqref>
        </x14:conditionalFormatting>
        <x14:conditionalFormatting xmlns:xm="http://schemas.microsoft.com/office/excel/2006/main">
          <x14:cfRule type="dataBar" id="{48377FDF-E5F6-44BB-85E2-953B58B2B9DC}">
            <x14:dataBar minLength="10" maxLength="90" axisPosition="none" gradient="true">
              <x14:cfvo type="num">
                <xm:f>0</xm:f>
              </x14:cfvo>
              <x14:cfvo type="percentile">
                <xm:f>100</xm:f>
              </x14:cfvo>
              <x14:negativeFillColor rgb="FF8D6E63"/>
              <x14:axisColor rgb="FF000000"/>
            </x14:dataBar>
          </x14:cfRule>
          <xm:sqref>G60:G71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265"/>
    <pageSetUpPr fitToPage="true"/>
  </sheetPr>
  <dimension ref="A1:J10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3" min="3" style="0" width="10"/>
    <col collapsed="false" customWidth="true" hidden="false" outlineLevel="0" max="4" min="4" style="0" width="12"/>
    <col collapsed="false" customWidth="true" hidden="false" outlineLevel="0" max="5" min="5" style="0" width="22"/>
    <col collapsed="false" customWidth="true" hidden="false" outlineLevel="0" max="6" min="6" style="0" width="20"/>
    <col collapsed="false" customWidth="true" hidden="false" outlineLevel="0" max="7" min="7" style="0" width="34"/>
    <col collapsed="false" customWidth="true" hidden="false" outlineLevel="0" max="8" min="8" style="0" width="15"/>
    <col collapsed="false" customWidth="true" hidden="false" outlineLevel="0" max="9" min="9" style="0" width="12"/>
    <col collapsed="false" customWidth="true" hidden="false" outlineLevel="0" max="10" min="10" style="0" width="13"/>
  </cols>
  <sheetData>
    <row r="1" customFormat="false" ht="37.5" hidden="false" customHeight="true" outlineLevel="0" collapsed="false">
      <c r="A1" s="37" t="s">
        <v>122</v>
      </c>
      <c r="B1" s="37"/>
      <c r="C1" s="37"/>
      <c r="D1" s="37"/>
      <c r="E1" s="37"/>
      <c r="F1" s="37"/>
      <c r="G1" s="37"/>
      <c r="H1" s="37"/>
      <c r="I1" s="37"/>
      <c r="J1" s="37"/>
    </row>
    <row r="2" customFormat="false" ht="18" hidden="false" customHeight="true" outlineLevel="0" collapsed="false">
      <c r="A2" s="38" t="s">
        <v>123</v>
      </c>
      <c r="B2" s="38"/>
      <c r="C2" s="38"/>
      <c r="D2" s="38"/>
      <c r="E2" s="38"/>
      <c r="F2" s="38"/>
      <c r="G2" s="38"/>
      <c r="H2" s="38"/>
      <c r="I2" s="38"/>
      <c r="J2" s="38"/>
    </row>
    <row r="3" customFormat="false" ht="30" hidden="false" customHeight="true" outlineLevel="0" collapsed="false">
      <c r="A3" s="66" t="s">
        <v>124</v>
      </c>
      <c r="B3" s="66"/>
      <c r="C3" s="66"/>
      <c r="D3" s="66"/>
      <c r="E3" s="66"/>
      <c r="F3" s="66"/>
      <c r="G3" s="66"/>
      <c r="H3" s="66"/>
      <c r="I3" s="66"/>
      <c r="J3" s="66"/>
    </row>
    <row r="5" customFormat="false" ht="15.75" hidden="false" customHeight="true" outlineLevel="0" collapsed="false">
      <c r="A5" s="67" t="s">
        <v>125</v>
      </c>
      <c r="B5" s="67"/>
      <c r="C5" s="67" t="s">
        <v>126</v>
      </c>
      <c r="D5" s="67"/>
      <c r="E5" s="67" t="s">
        <v>127</v>
      </c>
      <c r="F5" s="67"/>
      <c r="G5" s="67" t="s">
        <v>4</v>
      </c>
      <c r="H5" s="67"/>
    </row>
    <row r="6" customFormat="false" ht="25.5" hidden="false" customHeight="true" outlineLevel="0" collapsed="false">
      <c r="A6" s="68" t="n">
        <f aca="false">COUNT($B$8:$B$1007)</f>
        <v>145</v>
      </c>
      <c r="B6" s="68"/>
      <c r="C6" s="69" t="n">
        <f aca="false">SUMIF($D$8:$D$1007,"RECETTE",$H$8:$H$1007)</f>
        <v>54937</v>
      </c>
      <c r="D6" s="69"/>
      <c r="E6" s="70" t="n">
        <f aca="false">SUMIF($D$8:$D$1007,"DEPENSE",$H$8:$H$1007)</f>
        <v>50714</v>
      </c>
      <c r="F6" s="70"/>
      <c r="G6" s="71" t="n">
        <f aca="false">SUMIF($D$8:$D$1007,"RECETTE",$H$8:$H$1007)-SUMIF($D$8:$D$1007,"DEPENSE",$H$8:$H$1007)</f>
        <v>4223</v>
      </c>
      <c r="H6" s="71"/>
    </row>
    <row r="7" customFormat="false" ht="30" hidden="false" customHeight="true" outlineLevel="0" collapsed="false">
      <c r="A7" s="23" t="s">
        <v>128</v>
      </c>
      <c r="B7" s="23" t="s">
        <v>129</v>
      </c>
      <c r="C7" s="23" t="s">
        <v>130</v>
      </c>
      <c r="D7" s="23" t="s">
        <v>131</v>
      </c>
      <c r="E7" s="23" t="s">
        <v>87</v>
      </c>
      <c r="F7" s="23" t="s">
        <v>132</v>
      </c>
      <c r="G7" s="23" t="s">
        <v>133</v>
      </c>
      <c r="H7" s="23" t="s">
        <v>134</v>
      </c>
      <c r="I7" s="23" t="s">
        <v>135</v>
      </c>
      <c r="J7" s="23" t="s">
        <v>136</v>
      </c>
    </row>
    <row r="8" customFormat="false" ht="16.5" hidden="false" customHeight="true" outlineLevel="0" collapsed="false">
      <c r="A8" s="72" t="n">
        <f aca="false">IF($B8="","",ROW()-7)</f>
        <v>1</v>
      </c>
      <c r="B8" s="73" t="n">
        <v>46235</v>
      </c>
      <c r="C8" s="74" t="n">
        <f aca="false">IF($B8="","",YEAR($B8)*100+MONTH($B8))</f>
        <v>202608</v>
      </c>
      <c r="D8" s="75" t="s">
        <v>137</v>
      </c>
      <c r="E8" s="76" t="s">
        <v>138</v>
      </c>
      <c r="F8" s="76" t="s">
        <v>139</v>
      </c>
      <c r="G8" s="77" t="s">
        <v>140</v>
      </c>
      <c r="H8" s="78" t="n">
        <v>2335</v>
      </c>
      <c r="I8" s="79" t="s">
        <v>141</v>
      </c>
      <c r="J8" s="80" t="str">
        <f aca="false">IF($B8="","",IF(N($H8)&lt;=0,"Montant ?",IF($D8="RECETTE",IF(COUNTIF(PARAMETRES!$E$5:$E$9,$E8)=0,"Catégorie ?","OK"),IF($D8="DEPENSE",IF(COUNTIF(PARAMETRES!$G$5:$G$20,$E8)=0,"Catégorie ?","OK"),"Type ?"))))</f>
        <v>OK</v>
      </c>
    </row>
    <row r="9" customFormat="false" ht="16.5" hidden="false" customHeight="true" outlineLevel="0" collapsed="false">
      <c r="A9" s="81" t="n">
        <f aca="false">IF($B9="","",ROW()-7)</f>
        <v>2</v>
      </c>
      <c r="B9" s="82" t="n">
        <v>46235</v>
      </c>
      <c r="C9" s="83" t="n">
        <f aca="false">IF($B9="","",YEAR($B9)*100+MONTH($B9))</f>
        <v>202608</v>
      </c>
      <c r="D9" s="84" t="s">
        <v>142</v>
      </c>
      <c r="E9" s="85" t="s">
        <v>93</v>
      </c>
      <c r="F9" s="85" t="s">
        <v>98</v>
      </c>
      <c r="G9" s="86" t="s">
        <v>143</v>
      </c>
      <c r="H9" s="87" t="n">
        <v>306</v>
      </c>
      <c r="I9" s="88" t="s">
        <v>141</v>
      </c>
      <c r="J9" s="89" t="str">
        <f aca="false">IF($B9="","",IF(N($H9)&lt;=0,"Montant ?",IF($D9="RECETTE",IF(COUNTIF(PARAMETRES!$E$5:$E$9,$E9)=0,"Catégorie ?","OK"),IF($D9="DEPENSE",IF(COUNTIF(PARAMETRES!$G$5:$G$20,$E9)=0,"Catégorie ?","OK"),"Type ?"))))</f>
        <v>OK</v>
      </c>
    </row>
    <row r="10" customFormat="false" ht="16.5" hidden="false" customHeight="true" outlineLevel="0" collapsed="false">
      <c r="A10" s="72" t="n">
        <f aca="false">IF($B10="","",ROW()-7)</f>
        <v>3</v>
      </c>
      <c r="B10" s="73" t="n">
        <v>46235</v>
      </c>
      <c r="C10" s="74" t="n">
        <f aca="false">IF($B10="","",YEAR($B10)*100+MONTH($B10))</f>
        <v>202608</v>
      </c>
      <c r="D10" s="75" t="s">
        <v>142</v>
      </c>
      <c r="E10" s="76" t="s">
        <v>101</v>
      </c>
      <c r="F10" s="76" t="s">
        <v>94</v>
      </c>
      <c r="G10" s="77" t="s">
        <v>143</v>
      </c>
      <c r="H10" s="78" t="n">
        <v>300</v>
      </c>
      <c r="I10" s="79" t="s">
        <v>141</v>
      </c>
      <c r="J10" s="80" t="str">
        <f aca="false">IF($B10="","",IF(N($H10)&lt;=0,"Montant ?",IF($D10="RECETTE",IF(COUNTIF(PARAMETRES!$E$5:$E$9,$E10)=0,"Catégorie ?","OK"),IF($D10="DEPENSE",IF(COUNTIF(PARAMETRES!$G$5:$G$20,$E10)=0,"Catégorie ?","OK"),"Type ?"))))</f>
        <v>OK</v>
      </c>
    </row>
    <row r="11" customFormat="false" ht="16.5" hidden="false" customHeight="true" outlineLevel="0" collapsed="false">
      <c r="A11" s="81" t="n">
        <f aca="false">IF($B11="","",ROW()-7)</f>
        <v>4</v>
      </c>
      <c r="B11" s="82" t="n">
        <v>46235</v>
      </c>
      <c r="C11" s="83" t="n">
        <f aca="false">IF($B11="","",YEAR($B11)*100+MONTH($B11))</f>
        <v>202608</v>
      </c>
      <c r="D11" s="84" t="s">
        <v>142</v>
      </c>
      <c r="E11" s="85" t="s">
        <v>99</v>
      </c>
      <c r="F11" s="85" t="s">
        <v>105</v>
      </c>
      <c r="G11" s="86" t="s">
        <v>143</v>
      </c>
      <c r="H11" s="87" t="n">
        <v>165</v>
      </c>
      <c r="I11" s="88" t="s">
        <v>141</v>
      </c>
      <c r="J11" s="89" t="str">
        <f aca="false">IF($B11="","",IF(N($H11)&lt;=0,"Montant ?",IF($D11="RECETTE",IF(COUNTIF(PARAMETRES!$E$5:$E$9,$E11)=0,"Catégorie ?","OK"),IF($D11="DEPENSE",IF(COUNTIF(PARAMETRES!$G$5:$G$20,$E11)=0,"Catégorie ?","OK"),"Type ?"))))</f>
        <v>OK</v>
      </c>
    </row>
    <row r="12" customFormat="false" ht="16.5" hidden="false" customHeight="true" outlineLevel="0" collapsed="false">
      <c r="A12" s="72" t="n">
        <f aca="false">IF($B12="","",ROW()-7)</f>
        <v>5</v>
      </c>
      <c r="B12" s="73" t="n">
        <v>46235</v>
      </c>
      <c r="C12" s="74" t="n">
        <f aca="false">IF($B12="","",YEAR($B12)*100+MONTH($B12))</f>
        <v>202608</v>
      </c>
      <c r="D12" s="75" t="s">
        <v>142</v>
      </c>
      <c r="E12" s="76" t="s">
        <v>103</v>
      </c>
      <c r="F12" s="76" t="s">
        <v>100</v>
      </c>
      <c r="G12" s="77" t="s">
        <v>143</v>
      </c>
      <c r="H12" s="78" t="n">
        <v>150</v>
      </c>
      <c r="I12" s="79" t="s">
        <v>141</v>
      </c>
      <c r="J12" s="80" t="str">
        <f aca="false">IF($B12="","",IF(N($H12)&lt;=0,"Montant ?",IF($D12="RECETTE",IF(COUNTIF(PARAMETRES!$E$5:$E$9,$E12)=0,"Catégorie ?","OK"),IF($D12="DEPENSE",IF(COUNTIF(PARAMETRES!$G$5:$G$20,$E12)=0,"Catégorie ?","OK"),"Type ?"))))</f>
        <v>OK</v>
      </c>
    </row>
    <row r="13" customFormat="false" ht="16.5" hidden="false" customHeight="true" outlineLevel="0" collapsed="false">
      <c r="A13" s="81" t="n">
        <f aca="false">IF($B13="","",ROW()-7)</f>
        <v>6</v>
      </c>
      <c r="B13" s="82" t="n">
        <v>46236</v>
      </c>
      <c r="C13" s="83" t="n">
        <f aca="false">IF($B13="","",YEAR($B13)*100+MONTH($B13))</f>
        <v>202608</v>
      </c>
      <c r="D13" s="84" t="s">
        <v>137</v>
      </c>
      <c r="E13" s="85" t="s">
        <v>138</v>
      </c>
      <c r="F13" s="85" t="s">
        <v>139</v>
      </c>
      <c r="G13" s="86" t="s">
        <v>140</v>
      </c>
      <c r="H13" s="87" t="n">
        <v>2456</v>
      </c>
      <c r="I13" s="88" t="s">
        <v>141</v>
      </c>
      <c r="J13" s="89" t="str">
        <f aca="false">IF($B13="","",IF(N($H13)&lt;=0,"Montant ?",IF($D13="RECETTE",IF(COUNTIF(PARAMETRES!$E$5:$E$9,$E13)=0,"Catégorie ?","OK"),IF($D13="DEPENSE",IF(COUNTIF(PARAMETRES!$G$5:$G$20,$E13)=0,"Catégorie ?","OK"),"Type ?"))))</f>
        <v>OK</v>
      </c>
    </row>
    <row r="14" customFormat="false" ht="16.5" hidden="false" customHeight="true" outlineLevel="0" collapsed="false">
      <c r="A14" s="72" t="n">
        <f aca="false">IF($B14="","",ROW()-7)</f>
        <v>7</v>
      </c>
      <c r="B14" s="73" t="n">
        <v>46236</v>
      </c>
      <c r="C14" s="74" t="n">
        <f aca="false">IF($B14="","",YEAR($B14)*100+MONTH($B14))</f>
        <v>202608</v>
      </c>
      <c r="D14" s="75" t="s">
        <v>142</v>
      </c>
      <c r="E14" s="76" t="s">
        <v>93</v>
      </c>
      <c r="F14" s="76" t="s">
        <v>98</v>
      </c>
      <c r="G14" s="77" t="s">
        <v>143</v>
      </c>
      <c r="H14" s="78" t="n">
        <v>306</v>
      </c>
      <c r="I14" s="79" t="s">
        <v>141</v>
      </c>
      <c r="J14" s="80" t="str">
        <f aca="false">IF($B14="","",IF(N($H14)&lt;=0,"Montant ?",IF($D14="RECETTE",IF(COUNTIF(PARAMETRES!$E$5:$E$9,$E14)=0,"Catégorie ?","OK"),IF($D14="DEPENSE",IF(COUNTIF(PARAMETRES!$G$5:$G$20,$E14)=0,"Catégorie ?","OK"),"Type ?"))))</f>
        <v>OK</v>
      </c>
    </row>
    <row r="15" customFormat="false" ht="16.5" hidden="false" customHeight="true" outlineLevel="0" collapsed="false">
      <c r="A15" s="81" t="n">
        <f aca="false">IF($B15="","",ROW()-7)</f>
        <v>8</v>
      </c>
      <c r="B15" s="82" t="n">
        <v>46236</v>
      </c>
      <c r="C15" s="83" t="n">
        <f aca="false">IF($B15="","",YEAR($B15)*100+MONTH($B15))</f>
        <v>202608</v>
      </c>
      <c r="D15" s="84" t="s">
        <v>142</v>
      </c>
      <c r="E15" s="85" t="s">
        <v>101</v>
      </c>
      <c r="F15" s="85" t="s">
        <v>94</v>
      </c>
      <c r="G15" s="86" t="s">
        <v>143</v>
      </c>
      <c r="H15" s="87" t="n">
        <v>300</v>
      </c>
      <c r="I15" s="88" t="s">
        <v>141</v>
      </c>
      <c r="J15" s="89" t="str">
        <f aca="false">IF($B15="","",IF(N($H15)&lt;=0,"Montant ?",IF($D15="RECETTE",IF(COUNTIF(PARAMETRES!$E$5:$E$9,$E15)=0,"Catégorie ?","OK"),IF($D15="DEPENSE",IF(COUNTIF(PARAMETRES!$G$5:$G$20,$E15)=0,"Catégorie ?","OK"),"Type ?"))))</f>
        <v>OK</v>
      </c>
    </row>
    <row r="16" customFormat="false" ht="16.5" hidden="false" customHeight="true" outlineLevel="0" collapsed="false">
      <c r="A16" s="72" t="n">
        <f aca="false">IF($B16="","",ROW()-7)</f>
        <v>9</v>
      </c>
      <c r="B16" s="73" t="n">
        <v>46236</v>
      </c>
      <c r="C16" s="74" t="n">
        <f aca="false">IF($B16="","",YEAR($B16)*100+MONTH($B16))</f>
        <v>202608</v>
      </c>
      <c r="D16" s="75" t="s">
        <v>142</v>
      </c>
      <c r="E16" s="76" t="s">
        <v>93</v>
      </c>
      <c r="F16" s="76" t="s">
        <v>113</v>
      </c>
      <c r="G16" s="77" t="s">
        <v>143</v>
      </c>
      <c r="H16" s="78" t="n">
        <v>156</v>
      </c>
      <c r="I16" s="79" t="s">
        <v>141</v>
      </c>
      <c r="J16" s="80" t="str">
        <f aca="false">IF($B16="","",IF(N($H16)&lt;=0,"Montant ?",IF($D16="RECETTE",IF(COUNTIF(PARAMETRES!$E$5:$E$9,$E16)=0,"Catégorie ?","OK"),IF($D16="DEPENSE",IF(COUNTIF(PARAMETRES!$G$5:$G$20,$E16)=0,"Catégorie ?","OK"),"Type ?"))))</f>
        <v>OK</v>
      </c>
    </row>
    <row r="17" customFormat="false" ht="16.5" hidden="false" customHeight="true" outlineLevel="0" collapsed="false">
      <c r="A17" s="81" t="n">
        <f aca="false">IF($B17="","",ROW()-7)</f>
        <v>10</v>
      </c>
      <c r="B17" s="82" t="n">
        <v>46236</v>
      </c>
      <c r="C17" s="83" t="n">
        <f aca="false">IF($B17="","",YEAR($B17)*100+MONTH($B17))</f>
        <v>202608</v>
      </c>
      <c r="D17" s="84" t="s">
        <v>142</v>
      </c>
      <c r="E17" s="85" t="s">
        <v>103</v>
      </c>
      <c r="F17" s="85" t="s">
        <v>100</v>
      </c>
      <c r="G17" s="86" t="s">
        <v>143</v>
      </c>
      <c r="H17" s="87" t="n">
        <v>150</v>
      </c>
      <c r="I17" s="88" t="s">
        <v>141</v>
      </c>
      <c r="J17" s="89" t="str">
        <f aca="false">IF($B17="","",IF(N($H17)&lt;=0,"Montant ?",IF($D17="RECETTE",IF(COUNTIF(PARAMETRES!$E$5:$E$9,$E17)=0,"Catégorie ?","OK"),IF($D17="DEPENSE",IF(COUNTIF(PARAMETRES!$G$5:$G$20,$E17)=0,"Catégorie ?","OK"),"Type ?"))))</f>
        <v>OK</v>
      </c>
    </row>
    <row r="18" customFormat="false" ht="16.5" hidden="false" customHeight="true" outlineLevel="0" collapsed="false">
      <c r="A18" s="72" t="n">
        <f aca="false">IF($B18="","",ROW()-7)</f>
        <v>11</v>
      </c>
      <c r="B18" s="73" t="n">
        <v>46236</v>
      </c>
      <c r="C18" s="74" t="n">
        <f aca="false">IF($B18="","",YEAR($B18)*100+MONTH($B18))</f>
        <v>202608</v>
      </c>
      <c r="D18" s="75" t="s">
        <v>142</v>
      </c>
      <c r="E18" s="76" t="s">
        <v>41</v>
      </c>
      <c r="F18" s="76" t="s">
        <v>144</v>
      </c>
      <c r="G18" s="77" t="s">
        <v>145</v>
      </c>
      <c r="H18" s="78" t="n">
        <v>600</v>
      </c>
      <c r="I18" s="79" t="s">
        <v>141</v>
      </c>
      <c r="J18" s="80" t="str">
        <f aca="false">IF($B18="","",IF(N($H18)&lt;=0,"Montant ?",IF($D18="RECETTE",IF(COUNTIF(PARAMETRES!$E$5:$E$9,$E18)=0,"Catégorie ?","OK"),IF($D18="DEPENSE",IF(COUNTIF(PARAMETRES!$G$5:$G$20,$E18)=0,"Catégorie ?","OK"),"Type ?"))))</f>
        <v>OK</v>
      </c>
    </row>
    <row r="19" customFormat="false" ht="16.5" hidden="false" customHeight="true" outlineLevel="0" collapsed="false">
      <c r="A19" s="81" t="n">
        <f aca="false">IF($B19="","",ROW()-7)</f>
        <v>12</v>
      </c>
      <c r="B19" s="82" t="n">
        <v>46236</v>
      </c>
      <c r="C19" s="83" t="n">
        <f aca="false">IF($B19="","",YEAR($B19)*100+MONTH($B19))</f>
        <v>202608</v>
      </c>
      <c r="D19" s="84" t="s">
        <v>142</v>
      </c>
      <c r="E19" s="85" t="s">
        <v>41</v>
      </c>
      <c r="F19" s="85" t="s">
        <v>146</v>
      </c>
      <c r="G19" s="86" t="s">
        <v>145</v>
      </c>
      <c r="H19" s="87" t="n">
        <v>600</v>
      </c>
      <c r="I19" s="88" t="s">
        <v>141</v>
      </c>
      <c r="J19" s="89" t="str">
        <f aca="false">IF($B19="","",IF(N($H19)&lt;=0,"Montant ?",IF($D19="RECETTE",IF(COUNTIF(PARAMETRES!$E$5:$E$9,$E19)=0,"Catégorie ?","OK"),IF($D19="DEPENSE",IF(COUNTIF(PARAMETRES!$G$5:$G$20,$E19)=0,"Catégorie ?","OK"),"Type ?"))))</f>
        <v>OK</v>
      </c>
    </row>
    <row r="20" customFormat="false" ht="16.5" hidden="false" customHeight="true" outlineLevel="0" collapsed="false">
      <c r="A20" s="72" t="n">
        <f aca="false">IF($B20="","",ROW()-7)</f>
        <v>13</v>
      </c>
      <c r="B20" s="73" t="n">
        <v>46236</v>
      </c>
      <c r="C20" s="74" t="n">
        <f aca="false">IF($B20="","",YEAR($B20)*100+MONTH($B20))</f>
        <v>202608</v>
      </c>
      <c r="D20" s="75" t="s">
        <v>142</v>
      </c>
      <c r="E20" s="76" t="s">
        <v>41</v>
      </c>
      <c r="F20" s="76" t="s">
        <v>147</v>
      </c>
      <c r="G20" s="77" t="s">
        <v>145</v>
      </c>
      <c r="H20" s="78" t="n">
        <v>400</v>
      </c>
      <c r="I20" s="79" t="s">
        <v>141</v>
      </c>
      <c r="J20" s="80" t="str">
        <f aca="false">IF($B20="","",IF(N($H20)&lt;=0,"Montant ?",IF($D20="RECETTE",IF(COUNTIF(PARAMETRES!$E$5:$E$9,$E20)=0,"Catégorie ?","OK"),IF($D20="DEPENSE",IF(COUNTIF(PARAMETRES!$G$5:$G$20,$E20)=0,"Catégorie ?","OK"),"Type ?"))))</f>
        <v>OK</v>
      </c>
    </row>
    <row r="21" customFormat="false" ht="16.5" hidden="false" customHeight="true" outlineLevel="0" collapsed="false">
      <c r="A21" s="81" t="n">
        <f aca="false">IF($B21="","",ROW()-7)</f>
        <v>14</v>
      </c>
      <c r="B21" s="82" t="n">
        <v>46236</v>
      </c>
      <c r="C21" s="83" t="n">
        <f aca="false">IF($B21="","",YEAR($B21)*100+MONTH($B21))</f>
        <v>202608</v>
      </c>
      <c r="D21" s="84" t="s">
        <v>142</v>
      </c>
      <c r="E21" s="85" t="s">
        <v>41</v>
      </c>
      <c r="F21" s="85" t="s">
        <v>148</v>
      </c>
      <c r="G21" s="86" t="s">
        <v>145</v>
      </c>
      <c r="H21" s="87" t="n">
        <v>500</v>
      </c>
      <c r="I21" s="88" t="s">
        <v>141</v>
      </c>
      <c r="J21" s="89" t="str">
        <f aca="false">IF($B21="","",IF(N($H21)&lt;=0,"Montant ?",IF($D21="RECETTE",IF(COUNTIF(PARAMETRES!$E$5:$E$9,$E21)=0,"Catégorie ?","OK"),IF($D21="DEPENSE",IF(COUNTIF(PARAMETRES!$G$5:$G$20,$E21)=0,"Catégorie ?","OK"),"Type ?"))))</f>
        <v>OK</v>
      </c>
    </row>
    <row r="22" customFormat="false" ht="16.5" hidden="false" customHeight="true" outlineLevel="0" collapsed="false">
      <c r="A22" s="72" t="n">
        <f aca="false">IF($B22="","",ROW()-7)</f>
        <v>15</v>
      </c>
      <c r="B22" s="73" t="n">
        <v>46236</v>
      </c>
      <c r="C22" s="74" t="n">
        <f aca="false">IF($B22="","",YEAR($B22)*100+MONTH($B22))</f>
        <v>202608</v>
      </c>
      <c r="D22" s="75" t="s">
        <v>142</v>
      </c>
      <c r="E22" s="76" t="s">
        <v>41</v>
      </c>
      <c r="F22" s="76" t="s">
        <v>149</v>
      </c>
      <c r="G22" s="77" t="s">
        <v>145</v>
      </c>
      <c r="H22" s="78" t="n">
        <v>600</v>
      </c>
      <c r="I22" s="79" t="s">
        <v>141</v>
      </c>
      <c r="J22" s="80" t="str">
        <f aca="false">IF($B22="","",IF(N($H22)&lt;=0,"Montant ?",IF($D22="RECETTE",IF(COUNTIF(PARAMETRES!$E$5:$E$9,$E22)=0,"Catégorie ?","OK"),IF($D22="DEPENSE",IF(COUNTIF(PARAMETRES!$G$5:$G$20,$E22)=0,"Catégorie ?","OK"),"Type ?"))))</f>
        <v>OK</v>
      </c>
    </row>
    <row r="23" customFormat="false" ht="16.5" hidden="false" customHeight="true" outlineLevel="0" collapsed="false">
      <c r="A23" s="81" t="n">
        <f aca="false">IF($B23="","",ROW()-7)</f>
        <v>16</v>
      </c>
      <c r="B23" s="82" t="n">
        <v>46237</v>
      </c>
      <c r="C23" s="83" t="n">
        <f aca="false">IF($B23="","",YEAR($B23)*100+MONTH($B23))</f>
        <v>202608</v>
      </c>
      <c r="D23" s="84" t="s">
        <v>137</v>
      </c>
      <c r="E23" s="85" t="s">
        <v>138</v>
      </c>
      <c r="F23" s="85" t="s">
        <v>139</v>
      </c>
      <c r="G23" s="86" t="s">
        <v>140</v>
      </c>
      <c r="H23" s="87" t="n">
        <v>2456</v>
      </c>
      <c r="I23" s="88" t="s">
        <v>141</v>
      </c>
      <c r="J23" s="89" t="str">
        <f aca="false">IF($B23="","",IF(N($H23)&lt;=0,"Montant ?",IF($D23="RECETTE",IF(COUNTIF(PARAMETRES!$E$5:$E$9,$E23)=0,"Catégorie ?","OK"),IF($D23="DEPENSE",IF(COUNTIF(PARAMETRES!$G$5:$G$20,$E23)=0,"Catégorie ?","OK"),"Type ?"))))</f>
        <v>OK</v>
      </c>
    </row>
    <row r="24" customFormat="false" ht="16.5" hidden="false" customHeight="true" outlineLevel="0" collapsed="false">
      <c r="A24" s="72" t="n">
        <f aca="false">IF($B24="","",ROW()-7)</f>
        <v>17</v>
      </c>
      <c r="B24" s="73" t="n">
        <v>46237</v>
      </c>
      <c r="C24" s="74" t="n">
        <f aca="false">IF($B24="","",YEAR($B24)*100+MONTH($B24))</f>
        <v>202608</v>
      </c>
      <c r="D24" s="75" t="s">
        <v>142</v>
      </c>
      <c r="E24" s="76" t="s">
        <v>103</v>
      </c>
      <c r="F24" s="76" t="s">
        <v>100</v>
      </c>
      <c r="G24" s="77" t="s">
        <v>143</v>
      </c>
      <c r="H24" s="78" t="n">
        <v>150</v>
      </c>
      <c r="I24" s="79" t="s">
        <v>141</v>
      </c>
      <c r="J24" s="80" t="str">
        <f aca="false">IF($B24="","",IF(N($H24)&lt;=0,"Montant ?",IF($D24="RECETTE",IF(COUNTIF(PARAMETRES!$E$5:$E$9,$E24)=0,"Catégorie ?","OK"),IF($D24="DEPENSE",IF(COUNTIF(PARAMETRES!$G$5:$G$20,$E24)=0,"Catégorie ?","OK"),"Type ?"))))</f>
        <v>OK</v>
      </c>
    </row>
    <row r="25" customFormat="false" ht="16.5" hidden="false" customHeight="true" outlineLevel="0" collapsed="false">
      <c r="A25" s="81" t="n">
        <f aca="false">IF($B25="","",ROW()-7)</f>
        <v>18</v>
      </c>
      <c r="B25" s="82" t="n">
        <v>46237</v>
      </c>
      <c r="C25" s="83" t="n">
        <f aca="false">IF($B25="","",YEAR($B25)*100+MONTH($B25))</f>
        <v>202608</v>
      </c>
      <c r="D25" s="84" t="s">
        <v>142</v>
      </c>
      <c r="E25" s="85" t="s">
        <v>101</v>
      </c>
      <c r="F25" s="85" t="s">
        <v>94</v>
      </c>
      <c r="G25" s="86" t="s">
        <v>143</v>
      </c>
      <c r="H25" s="87" t="n">
        <v>300</v>
      </c>
      <c r="I25" s="88" t="s">
        <v>141</v>
      </c>
      <c r="J25" s="89" t="str">
        <f aca="false">IF($B25="","",IF(N($H25)&lt;=0,"Montant ?",IF($D25="RECETTE",IF(COUNTIF(PARAMETRES!$E$5:$E$9,$E25)=0,"Catégorie ?","OK"),IF($D25="DEPENSE",IF(COUNTIF(PARAMETRES!$G$5:$G$20,$E25)=0,"Catégorie ?","OK"),"Type ?"))))</f>
        <v>OK</v>
      </c>
    </row>
    <row r="26" customFormat="false" ht="16.5" hidden="false" customHeight="true" outlineLevel="0" collapsed="false">
      <c r="A26" s="72" t="n">
        <f aca="false">IF($B26="","",ROW()-7)</f>
        <v>19</v>
      </c>
      <c r="B26" s="73" t="n">
        <v>46237</v>
      </c>
      <c r="C26" s="74" t="n">
        <f aca="false">IF($B26="","",YEAR($B26)*100+MONTH($B26))</f>
        <v>202608</v>
      </c>
      <c r="D26" s="75" t="s">
        <v>142</v>
      </c>
      <c r="E26" s="76" t="s">
        <v>99</v>
      </c>
      <c r="F26" s="76" t="s">
        <v>105</v>
      </c>
      <c r="G26" s="77" t="s">
        <v>143</v>
      </c>
      <c r="H26" s="78" t="n">
        <v>165</v>
      </c>
      <c r="I26" s="79" t="s">
        <v>141</v>
      </c>
      <c r="J26" s="80" t="str">
        <f aca="false">IF($B26="","",IF(N($H26)&lt;=0,"Montant ?",IF($D26="RECETTE",IF(COUNTIF(PARAMETRES!$E$5:$E$9,$E26)=0,"Catégorie ?","OK"),IF($D26="DEPENSE",IF(COUNTIF(PARAMETRES!$G$5:$G$20,$E26)=0,"Catégorie ?","OK"),"Type ?"))))</f>
        <v>OK</v>
      </c>
    </row>
    <row r="27" customFormat="false" ht="16.5" hidden="false" customHeight="true" outlineLevel="0" collapsed="false">
      <c r="A27" s="81" t="n">
        <f aca="false">IF($B27="","",ROW()-7)</f>
        <v>20</v>
      </c>
      <c r="B27" s="82" t="n">
        <v>46238</v>
      </c>
      <c r="C27" s="83" t="n">
        <f aca="false">IF($B27="","",YEAR($B27)*100+MONTH($B27))</f>
        <v>202608</v>
      </c>
      <c r="D27" s="84" t="s">
        <v>137</v>
      </c>
      <c r="E27" s="85" t="s">
        <v>138</v>
      </c>
      <c r="F27" s="85" t="s">
        <v>139</v>
      </c>
      <c r="G27" s="86" t="s">
        <v>140</v>
      </c>
      <c r="H27" s="87" t="n">
        <v>2145</v>
      </c>
      <c r="I27" s="88" t="s">
        <v>141</v>
      </c>
      <c r="J27" s="89" t="str">
        <f aca="false">IF($B27="","",IF(N($H27)&lt;=0,"Montant ?",IF($D27="RECETTE",IF(COUNTIF(PARAMETRES!$E$5:$E$9,$E27)=0,"Catégorie ?","OK"),IF($D27="DEPENSE",IF(COUNTIF(PARAMETRES!$G$5:$G$20,$E27)=0,"Catégorie ?","OK"),"Type ?"))))</f>
        <v>OK</v>
      </c>
    </row>
    <row r="28" customFormat="false" ht="16.5" hidden="false" customHeight="true" outlineLevel="0" collapsed="false">
      <c r="A28" s="72" t="n">
        <f aca="false">IF($B28="","",ROW()-7)</f>
        <v>21</v>
      </c>
      <c r="B28" s="73" t="n">
        <v>46238</v>
      </c>
      <c r="C28" s="74" t="n">
        <f aca="false">IF($B28="","",YEAR($B28)*100+MONTH($B28))</f>
        <v>202608</v>
      </c>
      <c r="D28" s="75" t="s">
        <v>142</v>
      </c>
      <c r="E28" s="76" t="s">
        <v>103</v>
      </c>
      <c r="F28" s="76" t="s">
        <v>100</v>
      </c>
      <c r="G28" s="77" t="s">
        <v>143</v>
      </c>
      <c r="H28" s="78" t="n">
        <v>150</v>
      </c>
      <c r="I28" s="79" t="s">
        <v>141</v>
      </c>
      <c r="J28" s="80" t="str">
        <f aca="false">IF($B28="","",IF(N($H28)&lt;=0,"Montant ?",IF($D28="RECETTE",IF(COUNTIF(PARAMETRES!$E$5:$E$9,$E28)=0,"Catégorie ?","OK"),IF($D28="DEPENSE",IF(COUNTIF(PARAMETRES!$G$5:$G$20,$E28)=0,"Catégorie ?","OK"),"Type ?"))))</f>
        <v>OK</v>
      </c>
    </row>
    <row r="29" customFormat="false" ht="16.5" hidden="false" customHeight="true" outlineLevel="0" collapsed="false">
      <c r="A29" s="81" t="n">
        <f aca="false">IF($B29="","",ROW()-7)</f>
        <v>22</v>
      </c>
      <c r="B29" s="82" t="n">
        <v>46238</v>
      </c>
      <c r="C29" s="83" t="n">
        <f aca="false">IF($B29="","",YEAR($B29)*100+MONTH($B29))</f>
        <v>202608</v>
      </c>
      <c r="D29" s="84" t="s">
        <v>142</v>
      </c>
      <c r="E29" s="85" t="s">
        <v>101</v>
      </c>
      <c r="F29" s="85" t="s">
        <v>94</v>
      </c>
      <c r="G29" s="86" t="s">
        <v>143</v>
      </c>
      <c r="H29" s="87" t="n">
        <v>200</v>
      </c>
      <c r="I29" s="88" t="s">
        <v>141</v>
      </c>
      <c r="J29" s="89" t="str">
        <f aca="false">IF($B29="","",IF(N($H29)&lt;=0,"Montant ?",IF($D29="RECETTE",IF(COUNTIF(PARAMETRES!$E$5:$E$9,$E29)=0,"Catégorie ?","OK"),IF($D29="DEPENSE",IF(COUNTIF(PARAMETRES!$G$5:$G$20,$E29)=0,"Catégorie ?","OK"),"Type ?"))))</f>
        <v>OK</v>
      </c>
    </row>
    <row r="30" customFormat="false" ht="16.5" hidden="false" customHeight="true" outlineLevel="0" collapsed="false">
      <c r="A30" s="72" t="n">
        <f aca="false">IF($B30="","",ROW()-7)</f>
        <v>23</v>
      </c>
      <c r="B30" s="73" t="n">
        <v>46238</v>
      </c>
      <c r="C30" s="74" t="n">
        <f aca="false">IF($B30="","",YEAR($B30)*100+MONTH($B30))</f>
        <v>202608</v>
      </c>
      <c r="D30" s="75" t="s">
        <v>142</v>
      </c>
      <c r="E30" s="76" t="s">
        <v>93</v>
      </c>
      <c r="F30" s="76" t="s">
        <v>98</v>
      </c>
      <c r="G30" s="77" t="s">
        <v>143</v>
      </c>
      <c r="H30" s="78" t="n">
        <v>306</v>
      </c>
      <c r="I30" s="79" t="s">
        <v>141</v>
      </c>
      <c r="J30" s="80" t="str">
        <f aca="false">IF($B30="","",IF(N($H30)&lt;=0,"Montant ?",IF($D30="RECETTE",IF(COUNTIF(PARAMETRES!$E$5:$E$9,$E30)=0,"Catégorie ?","OK"),IF($D30="DEPENSE",IF(COUNTIF(PARAMETRES!$G$5:$G$20,$E30)=0,"Catégorie ?","OK"),"Type ?"))))</f>
        <v>OK</v>
      </c>
    </row>
    <row r="31" customFormat="false" ht="16.5" hidden="false" customHeight="true" outlineLevel="0" collapsed="false">
      <c r="A31" s="81" t="n">
        <f aca="false">IF($B31="","",ROW()-7)</f>
        <v>24</v>
      </c>
      <c r="B31" s="82" t="n">
        <v>46238</v>
      </c>
      <c r="C31" s="83" t="n">
        <f aca="false">IF($B31="","",YEAR($B31)*100+MONTH($B31))</f>
        <v>202608</v>
      </c>
      <c r="D31" s="84" t="s">
        <v>142</v>
      </c>
      <c r="E31" s="85" t="s">
        <v>95</v>
      </c>
      <c r="F31" s="85" t="s">
        <v>111</v>
      </c>
      <c r="G31" s="86" t="s">
        <v>143</v>
      </c>
      <c r="H31" s="87" t="n">
        <v>910</v>
      </c>
      <c r="I31" s="88" t="s">
        <v>141</v>
      </c>
      <c r="J31" s="89" t="str">
        <f aca="false">IF($B31="","",IF(N($H31)&lt;=0,"Montant ?",IF($D31="RECETTE",IF(COUNTIF(PARAMETRES!$E$5:$E$9,$E31)=0,"Catégorie ?","OK"),IF($D31="DEPENSE",IF(COUNTIF(PARAMETRES!$G$5:$G$20,$E31)=0,"Catégorie ?","OK"),"Type ?"))))</f>
        <v>OK</v>
      </c>
    </row>
    <row r="32" customFormat="false" ht="16.5" hidden="false" customHeight="true" outlineLevel="0" collapsed="false">
      <c r="A32" s="72" t="n">
        <f aca="false">IF($B32="","",ROW()-7)</f>
        <v>25</v>
      </c>
      <c r="B32" s="73" t="n">
        <v>46239</v>
      </c>
      <c r="C32" s="74" t="n">
        <f aca="false">IF($B32="","",YEAR($B32)*100+MONTH($B32))</f>
        <v>202608</v>
      </c>
      <c r="D32" s="75" t="s">
        <v>137</v>
      </c>
      <c r="E32" s="76" t="s">
        <v>138</v>
      </c>
      <c r="F32" s="76" t="s">
        <v>139</v>
      </c>
      <c r="G32" s="77" t="s">
        <v>140</v>
      </c>
      <c r="H32" s="78" t="n">
        <v>2233</v>
      </c>
      <c r="I32" s="79" t="s">
        <v>141</v>
      </c>
      <c r="J32" s="80" t="str">
        <f aca="false">IF($B32="","",IF(N($H32)&lt;=0,"Montant ?",IF($D32="RECETTE",IF(COUNTIF(PARAMETRES!$E$5:$E$9,$E32)=0,"Catégorie ?","OK"),IF($D32="DEPENSE",IF(COUNTIF(PARAMETRES!$G$5:$G$20,$E32)=0,"Catégorie ?","OK"),"Type ?"))))</f>
        <v>OK</v>
      </c>
    </row>
    <row r="33" customFormat="false" ht="16.5" hidden="false" customHeight="true" outlineLevel="0" collapsed="false">
      <c r="A33" s="81" t="n">
        <f aca="false">IF($B33="","",ROW()-7)</f>
        <v>26</v>
      </c>
      <c r="B33" s="82" t="n">
        <v>46239</v>
      </c>
      <c r="C33" s="83" t="n">
        <f aca="false">IF($B33="","",YEAR($B33)*100+MONTH($B33))</f>
        <v>202608</v>
      </c>
      <c r="D33" s="84" t="s">
        <v>142</v>
      </c>
      <c r="E33" s="85" t="s">
        <v>103</v>
      </c>
      <c r="F33" s="85" t="s">
        <v>100</v>
      </c>
      <c r="G33" s="86" t="s">
        <v>143</v>
      </c>
      <c r="H33" s="87" t="n">
        <v>150</v>
      </c>
      <c r="I33" s="88" t="s">
        <v>141</v>
      </c>
      <c r="J33" s="89" t="str">
        <f aca="false">IF($B33="","",IF(N($H33)&lt;=0,"Montant ?",IF($D33="RECETTE",IF(COUNTIF(PARAMETRES!$E$5:$E$9,$E33)=0,"Catégorie ?","OK"),IF($D33="DEPENSE",IF(COUNTIF(PARAMETRES!$G$5:$G$20,$E33)=0,"Catégorie ?","OK"),"Type ?"))))</f>
        <v>OK</v>
      </c>
    </row>
    <row r="34" customFormat="false" ht="16.5" hidden="false" customHeight="true" outlineLevel="0" collapsed="false">
      <c r="A34" s="72" t="n">
        <f aca="false">IF($B34="","",ROW()-7)</f>
        <v>27</v>
      </c>
      <c r="B34" s="73" t="n">
        <v>46239</v>
      </c>
      <c r="C34" s="74" t="n">
        <f aca="false">IF($B34="","",YEAR($B34)*100+MONTH($B34))</f>
        <v>202608</v>
      </c>
      <c r="D34" s="75" t="s">
        <v>142</v>
      </c>
      <c r="E34" s="76" t="s">
        <v>93</v>
      </c>
      <c r="F34" s="76" t="s">
        <v>98</v>
      </c>
      <c r="G34" s="77" t="s">
        <v>143</v>
      </c>
      <c r="H34" s="78" t="n">
        <v>306</v>
      </c>
      <c r="I34" s="79" t="s">
        <v>141</v>
      </c>
      <c r="J34" s="80" t="str">
        <f aca="false">IF($B34="","",IF(N($H34)&lt;=0,"Montant ?",IF($D34="RECETTE",IF(COUNTIF(PARAMETRES!$E$5:$E$9,$E34)=0,"Catégorie ?","OK"),IF($D34="DEPENSE",IF(COUNTIF(PARAMETRES!$G$5:$G$20,$E34)=0,"Catégorie ?","OK"),"Type ?"))))</f>
        <v>OK</v>
      </c>
    </row>
    <row r="35" customFormat="false" ht="16.5" hidden="false" customHeight="true" outlineLevel="0" collapsed="false">
      <c r="A35" s="81" t="n">
        <f aca="false">IF($B35="","",ROW()-7)</f>
        <v>28</v>
      </c>
      <c r="B35" s="82" t="n">
        <v>46239</v>
      </c>
      <c r="C35" s="83" t="n">
        <f aca="false">IF($B35="","",YEAR($B35)*100+MONTH($B35))</f>
        <v>202608</v>
      </c>
      <c r="D35" s="84" t="s">
        <v>142</v>
      </c>
      <c r="E35" s="85" t="s">
        <v>99</v>
      </c>
      <c r="F35" s="85" t="s">
        <v>105</v>
      </c>
      <c r="G35" s="86" t="s">
        <v>143</v>
      </c>
      <c r="H35" s="87" t="n">
        <v>165</v>
      </c>
      <c r="I35" s="88" t="s">
        <v>141</v>
      </c>
      <c r="J35" s="89" t="str">
        <f aca="false">IF($B35="","",IF(N($H35)&lt;=0,"Montant ?",IF($D35="RECETTE",IF(COUNTIF(PARAMETRES!$E$5:$E$9,$E35)=0,"Catégorie ?","OK"),IF($D35="DEPENSE",IF(COUNTIF(PARAMETRES!$G$5:$G$20,$E35)=0,"Catégorie ?","OK"),"Type ?"))))</f>
        <v>OK</v>
      </c>
    </row>
    <row r="36" customFormat="false" ht="16.5" hidden="false" customHeight="true" outlineLevel="0" collapsed="false">
      <c r="A36" s="72" t="n">
        <f aca="false">IF($B36="","",ROW()-7)</f>
        <v>29</v>
      </c>
      <c r="B36" s="73" t="n">
        <v>46239</v>
      </c>
      <c r="C36" s="74" t="n">
        <f aca="false">IF($B36="","",YEAR($B36)*100+MONTH($B36))</f>
        <v>202608</v>
      </c>
      <c r="D36" s="75" t="s">
        <v>142</v>
      </c>
      <c r="E36" s="76" t="s">
        <v>101</v>
      </c>
      <c r="F36" s="76" t="s">
        <v>94</v>
      </c>
      <c r="G36" s="77" t="s">
        <v>143</v>
      </c>
      <c r="H36" s="78" t="n">
        <v>100</v>
      </c>
      <c r="I36" s="79" t="s">
        <v>141</v>
      </c>
      <c r="J36" s="80" t="str">
        <f aca="false">IF($B36="","",IF(N($H36)&lt;=0,"Montant ?",IF($D36="RECETTE",IF(COUNTIF(PARAMETRES!$E$5:$E$9,$E36)=0,"Catégorie ?","OK"),IF($D36="DEPENSE",IF(COUNTIF(PARAMETRES!$G$5:$G$20,$E36)=0,"Catégorie ?","OK"),"Type ?"))))</f>
        <v>OK</v>
      </c>
    </row>
    <row r="37" customFormat="false" ht="16.5" hidden="false" customHeight="true" outlineLevel="0" collapsed="false">
      <c r="A37" s="81" t="n">
        <f aca="false">IF($B37="","",ROW()-7)</f>
        <v>30</v>
      </c>
      <c r="B37" s="82" t="n">
        <v>46240</v>
      </c>
      <c r="C37" s="83" t="n">
        <f aca="false">IF($B37="","",YEAR($B37)*100+MONTH($B37))</f>
        <v>202608</v>
      </c>
      <c r="D37" s="84" t="s">
        <v>137</v>
      </c>
      <c r="E37" s="85" t="s">
        <v>138</v>
      </c>
      <c r="F37" s="85" t="s">
        <v>139</v>
      </c>
      <c r="G37" s="86" t="s">
        <v>140</v>
      </c>
      <c r="H37" s="87" t="n">
        <v>2074</v>
      </c>
      <c r="I37" s="88" t="s">
        <v>141</v>
      </c>
      <c r="J37" s="89" t="str">
        <f aca="false">IF($B37="","",IF(N($H37)&lt;=0,"Montant ?",IF($D37="RECETTE",IF(COUNTIF(PARAMETRES!$E$5:$E$9,$E37)=0,"Catégorie ?","OK"),IF($D37="DEPENSE",IF(COUNTIF(PARAMETRES!$G$5:$G$20,$E37)=0,"Catégorie ?","OK"),"Type ?"))))</f>
        <v>OK</v>
      </c>
    </row>
    <row r="38" customFormat="false" ht="16.5" hidden="false" customHeight="true" outlineLevel="0" collapsed="false">
      <c r="A38" s="72" t="n">
        <f aca="false">IF($B38="","",ROW()-7)</f>
        <v>31</v>
      </c>
      <c r="B38" s="73" t="n">
        <v>46240</v>
      </c>
      <c r="C38" s="74" t="n">
        <f aca="false">IF($B38="","",YEAR($B38)*100+MONTH($B38))</f>
        <v>202608</v>
      </c>
      <c r="D38" s="75" t="s">
        <v>142</v>
      </c>
      <c r="E38" s="76" t="s">
        <v>93</v>
      </c>
      <c r="F38" s="76" t="s">
        <v>98</v>
      </c>
      <c r="G38" s="77" t="s">
        <v>143</v>
      </c>
      <c r="H38" s="78" t="n">
        <v>306</v>
      </c>
      <c r="I38" s="79" t="s">
        <v>141</v>
      </c>
      <c r="J38" s="80" t="str">
        <f aca="false">IF($B38="","",IF(N($H38)&lt;=0,"Montant ?",IF($D38="RECETTE",IF(COUNTIF(PARAMETRES!$E$5:$E$9,$E38)=0,"Catégorie ?","OK"),IF($D38="DEPENSE",IF(COUNTIF(PARAMETRES!$G$5:$G$20,$E38)=0,"Catégorie ?","OK"),"Type ?"))))</f>
        <v>OK</v>
      </c>
    </row>
    <row r="39" customFormat="false" ht="16.5" hidden="false" customHeight="true" outlineLevel="0" collapsed="false">
      <c r="A39" s="81" t="n">
        <f aca="false">IF($B39="","",ROW()-7)</f>
        <v>32</v>
      </c>
      <c r="B39" s="82" t="n">
        <v>46240</v>
      </c>
      <c r="C39" s="83" t="n">
        <f aca="false">IF($B39="","",YEAR($B39)*100+MONTH($B39))</f>
        <v>202608</v>
      </c>
      <c r="D39" s="84" t="s">
        <v>142</v>
      </c>
      <c r="E39" s="85" t="s">
        <v>97</v>
      </c>
      <c r="F39" s="85" t="s">
        <v>107</v>
      </c>
      <c r="G39" s="86" t="s">
        <v>143</v>
      </c>
      <c r="H39" s="87" t="n">
        <v>285</v>
      </c>
      <c r="I39" s="88" t="s">
        <v>141</v>
      </c>
      <c r="J39" s="89" t="str">
        <f aca="false">IF($B39="","",IF(N($H39)&lt;=0,"Montant ?",IF($D39="RECETTE",IF(COUNTIF(PARAMETRES!$E$5:$E$9,$E39)=0,"Catégorie ?","OK"),IF($D39="DEPENSE",IF(COUNTIF(PARAMETRES!$G$5:$G$20,$E39)=0,"Catégorie ?","OK"),"Type ?"))))</f>
        <v>OK</v>
      </c>
    </row>
    <row r="40" customFormat="false" ht="16.5" hidden="false" customHeight="true" outlineLevel="0" collapsed="false">
      <c r="A40" s="72" t="n">
        <f aca="false">IF($B40="","",ROW()-7)</f>
        <v>33</v>
      </c>
      <c r="B40" s="73" t="n">
        <v>46240</v>
      </c>
      <c r="C40" s="74" t="n">
        <f aca="false">IF($B40="","",YEAR($B40)*100+MONTH($B40))</f>
        <v>202608</v>
      </c>
      <c r="D40" s="75" t="s">
        <v>142</v>
      </c>
      <c r="E40" s="76" t="s">
        <v>103</v>
      </c>
      <c r="F40" s="76" t="s">
        <v>100</v>
      </c>
      <c r="G40" s="77" t="s">
        <v>143</v>
      </c>
      <c r="H40" s="78" t="n">
        <v>150</v>
      </c>
      <c r="I40" s="79" t="s">
        <v>141</v>
      </c>
      <c r="J40" s="80" t="str">
        <f aca="false">IF($B40="","",IF(N($H40)&lt;=0,"Montant ?",IF($D40="RECETTE",IF(COUNTIF(PARAMETRES!$E$5:$E$9,$E40)=0,"Catégorie ?","OK"),IF($D40="DEPENSE",IF(COUNTIF(PARAMETRES!$G$5:$G$20,$E40)=0,"Catégorie ?","OK"),"Type ?"))))</f>
        <v>OK</v>
      </c>
    </row>
    <row r="41" customFormat="false" ht="16.5" hidden="false" customHeight="true" outlineLevel="0" collapsed="false">
      <c r="A41" s="81" t="n">
        <f aca="false">IF($B41="","",ROW()-7)</f>
        <v>34</v>
      </c>
      <c r="B41" s="82" t="n">
        <v>46241</v>
      </c>
      <c r="C41" s="83" t="n">
        <f aca="false">IF($B41="","",YEAR($B41)*100+MONTH($B41))</f>
        <v>202608</v>
      </c>
      <c r="D41" s="84" t="s">
        <v>137</v>
      </c>
      <c r="E41" s="85" t="s">
        <v>138</v>
      </c>
      <c r="F41" s="85" t="s">
        <v>139</v>
      </c>
      <c r="G41" s="86" t="s">
        <v>140</v>
      </c>
      <c r="H41" s="87" t="n">
        <v>1892</v>
      </c>
      <c r="I41" s="88" t="s">
        <v>141</v>
      </c>
      <c r="J41" s="89" t="str">
        <f aca="false">IF($B41="","",IF(N($H41)&lt;=0,"Montant ?",IF($D41="RECETTE",IF(COUNTIF(PARAMETRES!$E$5:$E$9,$E41)=0,"Catégorie ?","OK"),IF($D41="DEPENSE",IF(COUNTIF(PARAMETRES!$G$5:$G$20,$E41)=0,"Catégorie ?","OK"),"Type ?"))))</f>
        <v>OK</v>
      </c>
    </row>
    <row r="42" customFormat="false" ht="16.5" hidden="false" customHeight="true" outlineLevel="0" collapsed="false">
      <c r="A42" s="72" t="n">
        <f aca="false">IF($B42="","",ROW()-7)</f>
        <v>35</v>
      </c>
      <c r="B42" s="73" t="n">
        <v>46241</v>
      </c>
      <c r="C42" s="74" t="n">
        <f aca="false">IF($B42="","",YEAR($B42)*100+MONTH($B42))</f>
        <v>202608</v>
      </c>
      <c r="D42" s="75" t="s">
        <v>142</v>
      </c>
      <c r="E42" s="76" t="s">
        <v>101</v>
      </c>
      <c r="F42" s="76" t="s">
        <v>94</v>
      </c>
      <c r="G42" s="77" t="s">
        <v>143</v>
      </c>
      <c r="H42" s="78" t="n">
        <v>300</v>
      </c>
      <c r="I42" s="79" t="s">
        <v>141</v>
      </c>
      <c r="J42" s="80" t="str">
        <f aca="false">IF($B42="","",IF(N($H42)&lt;=0,"Montant ?",IF($D42="RECETTE",IF(COUNTIF(PARAMETRES!$E$5:$E$9,$E42)=0,"Catégorie ?","OK"),IF($D42="DEPENSE",IF(COUNTIF(PARAMETRES!$G$5:$G$20,$E42)=0,"Catégorie ?","OK"),"Type ?"))))</f>
        <v>OK</v>
      </c>
    </row>
    <row r="43" customFormat="false" ht="16.5" hidden="false" customHeight="true" outlineLevel="0" collapsed="false">
      <c r="A43" s="81" t="n">
        <f aca="false">IF($B43="","",ROW()-7)</f>
        <v>36</v>
      </c>
      <c r="B43" s="82" t="n">
        <v>46241</v>
      </c>
      <c r="C43" s="83" t="n">
        <f aca="false">IF($B43="","",YEAR($B43)*100+MONTH($B43))</f>
        <v>202608</v>
      </c>
      <c r="D43" s="84" t="s">
        <v>142</v>
      </c>
      <c r="E43" s="85" t="s">
        <v>103</v>
      </c>
      <c r="F43" s="85" t="s">
        <v>100</v>
      </c>
      <c r="G43" s="86" t="s">
        <v>143</v>
      </c>
      <c r="H43" s="87" t="n">
        <v>150</v>
      </c>
      <c r="I43" s="88" t="s">
        <v>141</v>
      </c>
      <c r="J43" s="89" t="str">
        <f aca="false">IF($B43="","",IF(N($H43)&lt;=0,"Montant ?",IF($D43="RECETTE",IF(COUNTIF(PARAMETRES!$E$5:$E$9,$E43)=0,"Catégorie ?","OK"),IF($D43="DEPENSE",IF(COUNTIF(PARAMETRES!$G$5:$G$20,$E43)=0,"Catégorie ?","OK"),"Type ?"))))</f>
        <v>OK</v>
      </c>
    </row>
    <row r="44" customFormat="false" ht="16.5" hidden="false" customHeight="true" outlineLevel="0" collapsed="false">
      <c r="A44" s="72" t="n">
        <f aca="false">IF($B44="","",ROW()-7)</f>
        <v>37</v>
      </c>
      <c r="B44" s="73" t="n">
        <v>46241</v>
      </c>
      <c r="C44" s="74" t="n">
        <f aca="false">IF($B44="","",YEAR($B44)*100+MONTH($B44))</f>
        <v>202608</v>
      </c>
      <c r="D44" s="75" t="s">
        <v>142</v>
      </c>
      <c r="E44" s="76" t="s">
        <v>93</v>
      </c>
      <c r="F44" s="76" t="s">
        <v>150</v>
      </c>
      <c r="G44" s="77" t="s">
        <v>143</v>
      </c>
      <c r="H44" s="78" t="n">
        <v>26</v>
      </c>
      <c r="I44" s="79" t="s">
        <v>141</v>
      </c>
      <c r="J44" s="80" t="str">
        <f aca="false">IF($B44="","",IF(N($H44)&lt;=0,"Montant ?",IF($D44="RECETTE",IF(COUNTIF(PARAMETRES!$E$5:$E$9,$E44)=0,"Catégorie ?","OK"),IF($D44="DEPENSE",IF(COUNTIF(PARAMETRES!$G$5:$G$20,$E44)=0,"Catégorie ?","OK"),"Type ?"))))</f>
        <v>OK</v>
      </c>
    </row>
    <row r="45" customFormat="false" ht="16.5" hidden="false" customHeight="true" outlineLevel="0" collapsed="false">
      <c r="A45" s="81" t="n">
        <f aca="false">IF($B45="","",ROW()-7)</f>
        <v>38</v>
      </c>
      <c r="B45" s="82" t="n">
        <v>46242</v>
      </c>
      <c r="C45" s="83" t="n">
        <f aca="false">IF($B45="","",YEAR($B45)*100+MONTH($B45))</f>
        <v>202608</v>
      </c>
      <c r="D45" s="84" t="s">
        <v>137</v>
      </c>
      <c r="E45" s="85" t="s">
        <v>138</v>
      </c>
      <c r="F45" s="85" t="s">
        <v>139</v>
      </c>
      <c r="G45" s="86" t="s">
        <v>140</v>
      </c>
      <c r="H45" s="87" t="n">
        <v>2172</v>
      </c>
      <c r="I45" s="88" t="s">
        <v>141</v>
      </c>
      <c r="J45" s="89" t="str">
        <f aca="false">IF($B45="","",IF(N($H45)&lt;=0,"Montant ?",IF($D45="RECETTE",IF(COUNTIF(PARAMETRES!$E$5:$E$9,$E45)=0,"Catégorie ?","OK"),IF($D45="DEPENSE",IF(COUNTIF(PARAMETRES!$G$5:$G$20,$E45)=0,"Catégorie ?","OK"),"Type ?"))))</f>
        <v>OK</v>
      </c>
    </row>
    <row r="46" customFormat="false" ht="16.5" hidden="false" customHeight="true" outlineLevel="0" collapsed="false">
      <c r="A46" s="72" t="n">
        <f aca="false">IF($B46="","",ROW()-7)</f>
        <v>39</v>
      </c>
      <c r="B46" s="73" t="n">
        <v>46242</v>
      </c>
      <c r="C46" s="74" t="n">
        <f aca="false">IF($B46="","",YEAR($B46)*100+MONTH($B46))</f>
        <v>202608</v>
      </c>
      <c r="D46" s="75" t="s">
        <v>142</v>
      </c>
      <c r="E46" s="76" t="s">
        <v>101</v>
      </c>
      <c r="F46" s="76" t="s">
        <v>94</v>
      </c>
      <c r="G46" s="77" t="s">
        <v>143</v>
      </c>
      <c r="H46" s="78" t="n">
        <v>300</v>
      </c>
      <c r="I46" s="79" t="s">
        <v>141</v>
      </c>
      <c r="J46" s="80" t="str">
        <f aca="false">IF($B46="","",IF(N($H46)&lt;=0,"Montant ?",IF($D46="RECETTE",IF(COUNTIF(PARAMETRES!$E$5:$E$9,$E46)=0,"Catégorie ?","OK"),IF($D46="DEPENSE",IF(COUNTIF(PARAMETRES!$G$5:$G$20,$E46)=0,"Catégorie ?","OK"),"Type ?"))))</f>
        <v>OK</v>
      </c>
    </row>
    <row r="47" customFormat="false" ht="16.5" hidden="false" customHeight="true" outlineLevel="0" collapsed="false">
      <c r="A47" s="81" t="n">
        <f aca="false">IF($B47="","",ROW()-7)</f>
        <v>40</v>
      </c>
      <c r="B47" s="82" t="n">
        <v>46242</v>
      </c>
      <c r="C47" s="83" t="n">
        <f aca="false">IF($B47="","",YEAR($B47)*100+MONTH($B47))</f>
        <v>202608</v>
      </c>
      <c r="D47" s="84" t="s">
        <v>142</v>
      </c>
      <c r="E47" s="85" t="s">
        <v>93</v>
      </c>
      <c r="F47" s="85" t="s">
        <v>98</v>
      </c>
      <c r="G47" s="86" t="s">
        <v>143</v>
      </c>
      <c r="H47" s="87" t="n">
        <v>306</v>
      </c>
      <c r="I47" s="88" t="s">
        <v>141</v>
      </c>
      <c r="J47" s="89" t="str">
        <f aca="false">IF($B47="","",IF(N($H47)&lt;=0,"Montant ?",IF($D47="RECETTE",IF(COUNTIF(PARAMETRES!$E$5:$E$9,$E47)=0,"Catégorie ?","OK"),IF($D47="DEPENSE",IF(COUNTIF(PARAMETRES!$G$5:$G$20,$E47)=0,"Catégorie ?","OK"),"Type ?"))))</f>
        <v>OK</v>
      </c>
    </row>
    <row r="48" customFormat="false" ht="16.5" hidden="false" customHeight="true" outlineLevel="0" collapsed="false">
      <c r="A48" s="72" t="n">
        <f aca="false">IF($B48="","",ROW()-7)</f>
        <v>41</v>
      </c>
      <c r="B48" s="73" t="n">
        <v>46242</v>
      </c>
      <c r="C48" s="74" t="n">
        <f aca="false">IF($B48="","",YEAR($B48)*100+MONTH($B48))</f>
        <v>202608</v>
      </c>
      <c r="D48" s="75" t="s">
        <v>142</v>
      </c>
      <c r="E48" s="76" t="s">
        <v>103</v>
      </c>
      <c r="F48" s="76" t="s">
        <v>100</v>
      </c>
      <c r="G48" s="77" t="s">
        <v>143</v>
      </c>
      <c r="H48" s="78" t="n">
        <v>150</v>
      </c>
      <c r="I48" s="79" t="s">
        <v>141</v>
      </c>
      <c r="J48" s="80" t="str">
        <f aca="false">IF($B48="","",IF(N($H48)&lt;=0,"Montant ?",IF($D48="RECETTE",IF(COUNTIF(PARAMETRES!$E$5:$E$9,$E48)=0,"Catégorie ?","OK"),IF($D48="DEPENSE",IF(COUNTIF(PARAMETRES!$G$5:$G$20,$E48)=0,"Catégorie ?","OK"),"Type ?"))))</f>
        <v>OK</v>
      </c>
    </row>
    <row r="49" customFormat="false" ht="16.5" hidden="false" customHeight="true" outlineLevel="0" collapsed="false">
      <c r="A49" s="81" t="n">
        <f aca="false">IF($B49="","",ROW()-7)</f>
        <v>42</v>
      </c>
      <c r="B49" s="82" t="n">
        <v>46243</v>
      </c>
      <c r="C49" s="83" t="n">
        <f aca="false">IF($B49="","",YEAR($B49)*100+MONTH($B49))</f>
        <v>202608</v>
      </c>
      <c r="D49" s="84" t="s">
        <v>137</v>
      </c>
      <c r="E49" s="85" t="s">
        <v>138</v>
      </c>
      <c r="F49" s="85" t="s">
        <v>139</v>
      </c>
      <c r="G49" s="86" t="s">
        <v>140</v>
      </c>
      <c r="H49" s="87" t="n">
        <v>2218</v>
      </c>
      <c r="I49" s="88" t="s">
        <v>141</v>
      </c>
      <c r="J49" s="89" t="str">
        <f aca="false">IF($B49="","",IF(N($H49)&lt;=0,"Montant ?",IF($D49="RECETTE",IF(COUNTIF(PARAMETRES!$E$5:$E$9,$E49)=0,"Catégorie ?","OK"),IF($D49="DEPENSE",IF(COUNTIF(PARAMETRES!$G$5:$G$20,$E49)=0,"Catégorie ?","OK"),"Type ?"))))</f>
        <v>OK</v>
      </c>
    </row>
    <row r="50" customFormat="false" ht="16.5" hidden="false" customHeight="true" outlineLevel="0" collapsed="false">
      <c r="A50" s="72" t="n">
        <f aca="false">IF($B50="","",ROW()-7)</f>
        <v>43</v>
      </c>
      <c r="B50" s="73" t="n">
        <v>46243</v>
      </c>
      <c r="C50" s="74" t="n">
        <f aca="false">IF($B50="","",YEAR($B50)*100+MONTH($B50))</f>
        <v>202608</v>
      </c>
      <c r="D50" s="75" t="s">
        <v>142</v>
      </c>
      <c r="E50" s="76" t="s">
        <v>99</v>
      </c>
      <c r="F50" s="76" t="s">
        <v>105</v>
      </c>
      <c r="G50" s="77" t="s">
        <v>143</v>
      </c>
      <c r="H50" s="78" t="n">
        <v>165</v>
      </c>
      <c r="I50" s="79" t="s">
        <v>141</v>
      </c>
      <c r="J50" s="80" t="str">
        <f aca="false">IF($B50="","",IF(N($H50)&lt;=0,"Montant ?",IF($D50="RECETTE",IF(COUNTIF(PARAMETRES!$E$5:$E$9,$E50)=0,"Catégorie ?","OK"),IF($D50="DEPENSE",IF(COUNTIF(PARAMETRES!$G$5:$G$20,$E50)=0,"Catégorie ?","OK"),"Type ?"))))</f>
        <v>OK</v>
      </c>
    </row>
    <row r="51" customFormat="false" ht="16.5" hidden="false" customHeight="true" outlineLevel="0" collapsed="false">
      <c r="A51" s="81" t="n">
        <f aca="false">IF($B51="","",ROW()-7)</f>
        <v>44</v>
      </c>
      <c r="B51" s="82" t="n">
        <v>46243</v>
      </c>
      <c r="C51" s="83" t="n">
        <f aca="false">IF($B51="","",YEAR($B51)*100+MONTH($B51))</f>
        <v>202608</v>
      </c>
      <c r="D51" s="84" t="s">
        <v>142</v>
      </c>
      <c r="E51" s="85" t="s">
        <v>103</v>
      </c>
      <c r="F51" s="85" t="s">
        <v>100</v>
      </c>
      <c r="G51" s="86" t="s">
        <v>143</v>
      </c>
      <c r="H51" s="87" t="n">
        <v>150</v>
      </c>
      <c r="I51" s="88" t="s">
        <v>141</v>
      </c>
      <c r="J51" s="89" t="str">
        <f aca="false">IF($B51="","",IF(N($H51)&lt;=0,"Montant ?",IF($D51="RECETTE",IF(COUNTIF(PARAMETRES!$E$5:$E$9,$E51)=0,"Catégorie ?","OK"),IF($D51="DEPENSE",IF(COUNTIF(PARAMETRES!$G$5:$G$20,$E51)=0,"Catégorie ?","OK"),"Type ?"))))</f>
        <v>OK</v>
      </c>
    </row>
    <row r="52" customFormat="false" ht="16.5" hidden="false" customHeight="true" outlineLevel="0" collapsed="false">
      <c r="A52" s="72" t="n">
        <f aca="false">IF($B52="","",ROW()-7)</f>
        <v>45</v>
      </c>
      <c r="B52" s="73" t="n">
        <v>46243</v>
      </c>
      <c r="C52" s="74" t="n">
        <f aca="false">IF($B52="","",YEAR($B52)*100+MONTH($B52))</f>
        <v>202608</v>
      </c>
      <c r="D52" s="75" t="s">
        <v>142</v>
      </c>
      <c r="E52" s="76" t="s">
        <v>101</v>
      </c>
      <c r="F52" s="76" t="s">
        <v>94</v>
      </c>
      <c r="G52" s="77" t="s">
        <v>143</v>
      </c>
      <c r="H52" s="78" t="n">
        <v>300</v>
      </c>
      <c r="I52" s="79" t="s">
        <v>141</v>
      </c>
      <c r="J52" s="80" t="str">
        <f aca="false">IF($B52="","",IF(N($H52)&lt;=0,"Montant ?",IF($D52="RECETTE",IF(COUNTIF(PARAMETRES!$E$5:$E$9,$E52)=0,"Catégorie ?","OK"),IF($D52="DEPENSE",IF(COUNTIF(PARAMETRES!$G$5:$G$20,$E52)=0,"Catégorie ?","OK"),"Type ?"))))</f>
        <v>OK</v>
      </c>
    </row>
    <row r="53" customFormat="false" ht="16.5" hidden="false" customHeight="true" outlineLevel="0" collapsed="false">
      <c r="A53" s="81" t="n">
        <f aca="false">IF($B53="","",ROW()-7)</f>
        <v>46</v>
      </c>
      <c r="B53" s="82" t="n">
        <v>46243</v>
      </c>
      <c r="C53" s="83" t="n">
        <f aca="false">IF($B53="","",YEAR($B53)*100+MONTH($B53))</f>
        <v>202608</v>
      </c>
      <c r="D53" s="84" t="s">
        <v>142</v>
      </c>
      <c r="E53" s="85" t="s">
        <v>93</v>
      </c>
      <c r="F53" s="85" t="s">
        <v>109</v>
      </c>
      <c r="G53" s="86" t="s">
        <v>143</v>
      </c>
      <c r="H53" s="87" t="n">
        <v>558</v>
      </c>
      <c r="I53" s="88" t="s">
        <v>141</v>
      </c>
      <c r="J53" s="89" t="str">
        <f aca="false">IF($B53="","",IF(N($H53)&lt;=0,"Montant ?",IF($D53="RECETTE",IF(COUNTIF(PARAMETRES!$E$5:$E$9,$E53)=0,"Catégorie ?","OK"),IF($D53="DEPENSE",IF(COUNTIF(PARAMETRES!$G$5:$G$20,$E53)=0,"Catégorie ?","OK"),"Type ?"))))</f>
        <v>OK</v>
      </c>
    </row>
    <row r="54" customFormat="false" ht="16.5" hidden="false" customHeight="true" outlineLevel="0" collapsed="false">
      <c r="A54" s="72" t="n">
        <f aca="false">IF($B54="","",ROW()-7)</f>
        <v>47</v>
      </c>
      <c r="B54" s="73" t="n">
        <v>46243</v>
      </c>
      <c r="C54" s="74" t="n">
        <f aca="false">IF($B54="","",YEAR($B54)*100+MONTH($B54))</f>
        <v>202608</v>
      </c>
      <c r="D54" s="75" t="s">
        <v>142</v>
      </c>
      <c r="E54" s="76" t="s">
        <v>41</v>
      </c>
      <c r="F54" s="76" t="s">
        <v>144</v>
      </c>
      <c r="G54" s="77" t="s">
        <v>145</v>
      </c>
      <c r="H54" s="78" t="n">
        <v>600</v>
      </c>
      <c r="I54" s="79" t="s">
        <v>141</v>
      </c>
      <c r="J54" s="80" t="str">
        <f aca="false">IF($B54="","",IF(N($H54)&lt;=0,"Montant ?",IF($D54="RECETTE",IF(COUNTIF(PARAMETRES!$E$5:$E$9,$E54)=0,"Catégorie ?","OK"),IF($D54="DEPENSE",IF(COUNTIF(PARAMETRES!$G$5:$G$20,$E54)=0,"Catégorie ?","OK"),"Type ?"))))</f>
        <v>OK</v>
      </c>
    </row>
    <row r="55" customFormat="false" ht="16.5" hidden="false" customHeight="true" outlineLevel="0" collapsed="false">
      <c r="A55" s="81" t="n">
        <f aca="false">IF($B55="","",ROW()-7)</f>
        <v>48</v>
      </c>
      <c r="B55" s="82" t="n">
        <v>46243</v>
      </c>
      <c r="C55" s="83" t="n">
        <f aca="false">IF($B55="","",YEAR($B55)*100+MONTH($B55))</f>
        <v>202608</v>
      </c>
      <c r="D55" s="84" t="s">
        <v>142</v>
      </c>
      <c r="E55" s="85" t="s">
        <v>41</v>
      </c>
      <c r="F55" s="85" t="s">
        <v>146</v>
      </c>
      <c r="G55" s="86" t="s">
        <v>145</v>
      </c>
      <c r="H55" s="87" t="n">
        <v>600</v>
      </c>
      <c r="I55" s="88" t="s">
        <v>141</v>
      </c>
      <c r="J55" s="89" t="str">
        <f aca="false">IF($B55="","",IF(N($H55)&lt;=0,"Montant ?",IF($D55="RECETTE",IF(COUNTIF(PARAMETRES!$E$5:$E$9,$E55)=0,"Catégorie ?","OK"),IF($D55="DEPENSE",IF(COUNTIF(PARAMETRES!$G$5:$G$20,$E55)=0,"Catégorie ?","OK"),"Type ?"))))</f>
        <v>OK</v>
      </c>
    </row>
    <row r="56" customFormat="false" ht="16.5" hidden="false" customHeight="true" outlineLevel="0" collapsed="false">
      <c r="A56" s="72" t="n">
        <f aca="false">IF($B56="","",ROW()-7)</f>
        <v>49</v>
      </c>
      <c r="B56" s="73" t="n">
        <v>46243</v>
      </c>
      <c r="C56" s="74" t="n">
        <f aca="false">IF($B56="","",YEAR($B56)*100+MONTH($B56))</f>
        <v>202608</v>
      </c>
      <c r="D56" s="75" t="s">
        <v>142</v>
      </c>
      <c r="E56" s="76" t="s">
        <v>41</v>
      </c>
      <c r="F56" s="76" t="s">
        <v>147</v>
      </c>
      <c r="G56" s="77" t="s">
        <v>145</v>
      </c>
      <c r="H56" s="78" t="n">
        <v>400</v>
      </c>
      <c r="I56" s="79" t="s">
        <v>141</v>
      </c>
      <c r="J56" s="80" t="str">
        <f aca="false">IF($B56="","",IF(N($H56)&lt;=0,"Montant ?",IF($D56="RECETTE",IF(COUNTIF(PARAMETRES!$E$5:$E$9,$E56)=0,"Catégorie ?","OK"),IF($D56="DEPENSE",IF(COUNTIF(PARAMETRES!$G$5:$G$20,$E56)=0,"Catégorie ?","OK"),"Type ?"))))</f>
        <v>OK</v>
      </c>
    </row>
    <row r="57" customFormat="false" ht="16.5" hidden="false" customHeight="true" outlineLevel="0" collapsed="false">
      <c r="A57" s="81" t="n">
        <f aca="false">IF($B57="","",ROW()-7)</f>
        <v>50</v>
      </c>
      <c r="B57" s="82" t="n">
        <v>46243</v>
      </c>
      <c r="C57" s="83" t="n">
        <f aca="false">IF($B57="","",YEAR($B57)*100+MONTH($B57))</f>
        <v>202608</v>
      </c>
      <c r="D57" s="84" t="s">
        <v>142</v>
      </c>
      <c r="E57" s="85" t="s">
        <v>41</v>
      </c>
      <c r="F57" s="85" t="s">
        <v>148</v>
      </c>
      <c r="G57" s="86" t="s">
        <v>145</v>
      </c>
      <c r="H57" s="87" t="n">
        <v>500</v>
      </c>
      <c r="I57" s="88" t="s">
        <v>141</v>
      </c>
      <c r="J57" s="89" t="str">
        <f aca="false">IF($B57="","",IF(N($H57)&lt;=0,"Montant ?",IF($D57="RECETTE",IF(COUNTIF(PARAMETRES!$E$5:$E$9,$E57)=0,"Catégorie ?","OK"),IF($D57="DEPENSE",IF(COUNTIF(PARAMETRES!$G$5:$G$20,$E57)=0,"Catégorie ?","OK"),"Type ?"))))</f>
        <v>OK</v>
      </c>
    </row>
    <row r="58" customFormat="false" ht="16.5" hidden="false" customHeight="true" outlineLevel="0" collapsed="false">
      <c r="A58" s="72" t="n">
        <f aca="false">IF($B58="","",ROW()-7)</f>
        <v>51</v>
      </c>
      <c r="B58" s="73" t="n">
        <v>46243</v>
      </c>
      <c r="C58" s="74" t="n">
        <f aca="false">IF($B58="","",YEAR($B58)*100+MONTH($B58))</f>
        <v>202608</v>
      </c>
      <c r="D58" s="75" t="s">
        <v>142</v>
      </c>
      <c r="E58" s="76" t="s">
        <v>41</v>
      </c>
      <c r="F58" s="76" t="s">
        <v>149</v>
      </c>
      <c r="G58" s="77" t="s">
        <v>145</v>
      </c>
      <c r="H58" s="78" t="n">
        <v>600</v>
      </c>
      <c r="I58" s="79" t="s">
        <v>141</v>
      </c>
      <c r="J58" s="80" t="str">
        <f aca="false">IF($B58="","",IF(N($H58)&lt;=0,"Montant ?",IF($D58="RECETTE",IF(COUNTIF(PARAMETRES!$E$5:$E$9,$E58)=0,"Catégorie ?","OK"),IF($D58="DEPENSE",IF(COUNTIF(PARAMETRES!$G$5:$G$20,$E58)=0,"Catégorie ?","OK"),"Type ?"))))</f>
        <v>OK</v>
      </c>
    </row>
    <row r="59" customFormat="false" ht="16.5" hidden="false" customHeight="true" outlineLevel="0" collapsed="false">
      <c r="A59" s="81" t="n">
        <f aca="false">IF($B59="","",ROW()-7)</f>
        <v>52</v>
      </c>
      <c r="B59" s="82" t="n">
        <v>46244</v>
      </c>
      <c r="C59" s="83" t="n">
        <f aca="false">IF($B59="","",YEAR($B59)*100+MONTH($B59))</f>
        <v>202608</v>
      </c>
      <c r="D59" s="84" t="s">
        <v>137</v>
      </c>
      <c r="E59" s="85" t="s">
        <v>138</v>
      </c>
      <c r="F59" s="85" t="s">
        <v>139</v>
      </c>
      <c r="G59" s="86" t="s">
        <v>140</v>
      </c>
      <c r="H59" s="87" t="n">
        <v>1548</v>
      </c>
      <c r="I59" s="88" t="s">
        <v>141</v>
      </c>
      <c r="J59" s="89" t="str">
        <f aca="false">IF($B59="","",IF(N($H59)&lt;=0,"Montant ?",IF($D59="RECETTE",IF(COUNTIF(PARAMETRES!$E$5:$E$9,$E59)=0,"Catégorie ?","OK"),IF($D59="DEPENSE",IF(COUNTIF(PARAMETRES!$G$5:$G$20,$E59)=0,"Catégorie ?","OK"),"Type ?"))))</f>
        <v>OK</v>
      </c>
    </row>
    <row r="60" customFormat="false" ht="16.5" hidden="false" customHeight="true" outlineLevel="0" collapsed="false">
      <c r="A60" s="72" t="n">
        <f aca="false">IF($B60="","",ROW()-7)</f>
        <v>53</v>
      </c>
      <c r="B60" s="73" t="n">
        <v>46244</v>
      </c>
      <c r="C60" s="74" t="n">
        <f aca="false">IF($B60="","",YEAR($B60)*100+MONTH($B60))</f>
        <v>202608</v>
      </c>
      <c r="D60" s="75" t="s">
        <v>142</v>
      </c>
      <c r="E60" s="76" t="s">
        <v>93</v>
      </c>
      <c r="F60" s="76" t="s">
        <v>98</v>
      </c>
      <c r="G60" s="77" t="s">
        <v>143</v>
      </c>
      <c r="H60" s="78" t="n">
        <v>306</v>
      </c>
      <c r="I60" s="79" t="s">
        <v>141</v>
      </c>
      <c r="J60" s="80" t="str">
        <f aca="false">IF($B60="","",IF(N($H60)&lt;=0,"Montant ?",IF($D60="RECETTE",IF(COUNTIF(PARAMETRES!$E$5:$E$9,$E60)=0,"Catégorie ?","OK"),IF($D60="DEPENSE",IF(COUNTIF(PARAMETRES!$G$5:$G$20,$E60)=0,"Catégorie ?","OK"),"Type ?"))))</f>
        <v>OK</v>
      </c>
    </row>
    <row r="61" customFormat="false" ht="16.5" hidden="false" customHeight="true" outlineLevel="0" collapsed="false">
      <c r="A61" s="81" t="n">
        <f aca="false">IF($B61="","",ROW()-7)</f>
        <v>54</v>
      </c>
      <c r="B61" s="82" t="n">
        <v>46244</v>
      </c>
      <c r="C61" s="83" t="n">
        <f aca="false">IF($B61="","",YEAR($B61)*100+MONTH($B61))</f>
        <v>202608</v>
      </c>
      <c r="D61" s="84" t="s">
        <v>142</v>
      </c>
      <c r="E61" s="85" t="s">
        <v>99</v>
      </c>
      <c r="F61" s="85" t="s">
        <v>105</v>
      </c>
      <c r="G61" s="86" t="s">
        <v>143</v>
      </c>
      <c r="H61" s="87" t="n">
        <v>165</v>
      </c>
      <c r="I61" s="88" t="s">
        <v>141</v>
      </c>
      <c r="J61" s="89" t="str">
        <f aca="false">IF($B61="","",IF(N($H61)&lt;=0,"Montant ?",IF($D61="RECETTE",IF(COUNTIF(PARAMETRES!$E$5:$E$9,$E61)=0,"Catégorie ?","OK"),IF($D61="DEPENSE",IF(COUNTIF(PARAMETRES!$G$5:$G$20,$E61)=0,"Catégorie ?","OK"),"Type ?"))))</f>
        <v>OK</v>
      </c>
    </row>
    <row r="62" customFormat="false" ht="16.5" hidden="false" customHeight="true" outlineLevel="0" collapsed="false">
      <c r="A62" s="72" t="n">
        <f aca="false">IF($B62="","",ROW()-7)</f>
        <v>55</v>
      </c>
      <c r="B62" s="73" t="n">
        <v>46244</v>
      </c>
      <c r="C62" s="74" t="n">
        <f aca="false">IF($B62="","",YEAR($B62)*100+MONTH($B62))</f>
        <v>202608</v>
      </c>
      <c r="D62" s="75" t="s">
        <v>142</v>
      </c>
      <c r="E62" s="76" t="s">
        <v>103</v>
      </c>
      <c r="F62" s="76" t="s">
        <v>100</v>
      </c>
      <c r="G62" s="77" t="s">
        <v>143</v>
      </c>
      <c r="H62" s="78" t="n">
        <v>150</v>
      </c>
      <c r="I62" s="79" t="s">
        <v>141</v>
      </c>
      <c r="J62" s="80" t="str">
        <f aca="false">IF($B62="","",IF(N($H62)&lt;=0,"Montant ?",IF($D62="RECETTE",IF(COUNTIF(PARAMETRES!$E$5:$E$9,$E62)=0,"Catégorie ?","OK"),IF($D62="DEPENSE",IF(COUNTIF(PARAMETRES!$G$5:$G$20,$E62)=0,"Catégorie ?","OK"),"Type ?"))))</f>
        <v>OK</v>
      </c>
    </row>
    <row r="63" customFormat="false" ht="16.5" hidden="false" customHeight="true" outlineLevel="0" collapsed="false">
      <c r="A63" s="81" t="n">
        <f aca="false">IF($B63="","",ROW()-7)</f>
        <v>56</v>
      </c>
      <c r="B63" s="82" t="n">
        <v>46245</v>
      </c>
      <c r="C63" s="83" t="n">
        <f aca="false">IF($B63="","",YEAR($B63)*100+MONTH($B63))</f>
        <v>202608</v>
      </c>
      <c r="D63" s="84" t="s">
        <v>137</v>
      </c>
      <c r="E63" s="85" t="s">
        <v>138</v>
      </c>
      <c r="F63" s="85" t="s">
        <v>139</v>
      </c>
      <c r="G63" s="86" t="s">
        <v>140</v>
      </c>
      <c r="H63" s="87" t="n">
        <v>1973</v>
      </c>
      <c r="I63" s="88" t="s">
        <v>141</v>
      </c>
      <c r="J63" s="89" t="str">
        <f aca="false">IF($B63="","",IF(N($H63)&lt;=0,"Montant ?",IF($D63="RECETTE",IF(COUNTIF(PARAMETRES!$E$5:$E$9,$E63)=0,"Catégorie ?","OK"),IF($D63="DEPENSE",IF(COUNTIF(PARAMETRES!$G$5:$G$20,$E63)=0,"Catégorie ?","OK"),"Type ?"))))</f>
        <v>OK</v>
      </c>
    </row>
    <row r="64" customFormat="false" ht="16.5" hidden="false" customHeight="true" outlineLevel="0" collapsed="false">
      <c r="A64" s="72" t="n">
        <f aca="false">IF($B64="","",ROW()-7)</f>
        <v>57</v>
      </c>
      <c r="B64" s="73" t="n">
        <v>46245</v>
      </c>
      <c r="C64" s="74" t="n">
        <f aca="false">IF($B64="","",YEAR($B64)*100+MONTH($B64))</f>
        <v>202608</v>
      </c>
      <c r="D64" s="75" t="s">
        <v>142</v>
      </c>
      <c r="E64" s="76" t="s">
        <v>97</v>
      </c>
      <c r="F64" s="76" t="s">
        <v>107</v>
      </c>
      <c r="G64" s="77" t="s">
        <v>143</v>
      </c>
      <c r="H64" s="78" t="n">
        <v>437</v>
      </c>
      <c r="I64" s="79" t="s">
        <v>141</v>
      </c>
      <c r="J64" s="80" t="str">
        <f aca="false">IF($B64="","",IF(N($H64)&lt;=0,"Montant ?",IF($D64="RECETTE",IF(COUNTIF(PARAMETRES!$E$5:$E$9,$E64)=0,"Catégorie ?","OK"),IF($D64="DEPENSE",IF(COUNTIF(PARAMETRES!$G$5:$G$20,$E64)=0,"Catégorie ?","OK"),"Type ?"))))</f>
        <v>OK</v>
      </c>
    </row>
    <row r="65" customFormat="false" ht="16.5" hidden="false" customHeight="true" outlineLevel="0" collapsed="false">
      <c r="A65" s="81" t="n">
        <f aca="false">IF($B65="","",ROW()-7)</f>
        <v>58</v>
      </c>
      <c r="B65" s="82" t="n">
        <v>46245</v>
      </c>
      <c r="C65" s="83" t="n">
        <f aca="false">IF($B65="","",YEAR($B65)*100+MONTH($B65))</f>
        <v>202608</v>
      </c>
      <c r="D65" s="84" t="s">
        <v>142</v>
      </c>
      <c r="E65" s="85" t="s">
        <v>103</v>
      </c>
      <c r="F65" s="85" t="s">
        <v>100</v>
      </c>
      <c r="G65" s="86" t="s">
        <v>143</v>
      </c>
      <c r="H65" s="87" t="n">
        <v>150</v>
      </c>
      <c r="I65" s="88" t="s">
        <v>141</v>
      </c>
      <c r="J65" s="89" t="str">
        <f aca="false">IF($B65="","",IF(N($H65)&lt;=0,"Montant ?",IF($D65="RECETTE",IF(COUNTIF(PARAMETRES!$E$5:$E$9,$E65)=0,"Catégorie ?","OK"),IF($D65="DEPENSE",IF(COUNTIF(PARAMETRES!$G$5:$G$20,$E65)=0,"Catégorie ?","OK"),"Type ?"))))</f>
        <v>OK</v>
      </c>
    </row>
    <row r="66" customFormat="false" ht="16.5" hidden="false" customHeight="true" outlineLevel="0" collapsed="false">
      <c r="A66" s="72" t="n">
        <f aca="false">IF($B66="","",ROW()-7)</f>
        <v>59</v>
      </c>
      <c r="B66" s="73" t="n">
        <v>46245</v>
      </c>
      <c r="C66" s="74" t="n">
        <f aca="false">IF($B66="","",YEAR($B66)*100+MONTH($B66))</f>
        <v>202608</v>
      </c>
      <c r="D66" s="75" t="s">
        <v>142</v>
      </c>
      <c r="E66" s="76" t="s">
        <v>101</v>
      </c>
      <c r="F66" s="76" t="s">
        <v>94</v>
      </c>
      <c r="G66" s="77" t="s">
        <v>143</v>
      </c>
      <c r="H66" s="78" t="n">
        <v>300</v>
      </c>
      <c r="I66" s="79" t="s">
        <v>141</v>
      </c>
      <c r="J66" s="80" t="str">
        <f aca="false">IF($B66="","",IF(N($H66)&lt;=0,"Montant ?",IF($D66="RECETTE",IF(COUNTIF(PARAMETRES!$E$5:$E$9,$E66)=0,"Catégorie ?","OK"),IF($D66="DEPENSE",IF(COUNTIF(PARAMETRES!$G$5:$G$20,$E66)=0,"Catégorie ?","OK"),"Type ?"))))</f>
        <v>OK</v>
      </c>
    </row>
    <row r="67" customFormat="false" ht="16.5" hidden="false" customHeight="true" outlineLevel="0" collapsed="false">
      <c r="A67" s="81" t="n">
        <f aca="false">IF($B67="","",ROW()-7)</f>
        <v>60</v>
      </c>
      <c r="B67" s="82" t="n">
        <v>46245</v>
      </c>
      <c r="C67" s="83" t="n">
        <f aca="false">IF($B67="","",YEAR($B67)*100+MONTH($B67))</f>
        <v>202608</v>
      </c>
      <c r="D67" s="84" t="s">
        <v>142</v>
      </c>
      <c r="E67" s="85" t="s">
        <v>112</v>
      </c>
      <c r="F67" s="85" t="s">
        <v>96</v>
      </c>
      <c r="G67" s="86" t="s">
        <v>151</v>
      </c>
      <c r="H67" s="87" t="n">
        <v>5000</v>
      </c>
      <c r="I67" s="88" t="s">
        <v>141</v>
      </c>
      <c r="J67" s="89" t="str">
        <f aca="false">IF($B67="","",IF(N($H67)&lt;=0,"Montant ?",IF($D67="RECETTE",IF(COUNTIF(PARAMETRES!$E$5:$E$9,$E67)=0,"Catégorie ?","OK"),IF($D67="DEPENSE",IF(COUNTIF(PARAMETRES!$G$5:$G$20,$E67)=0,"Catégorie ?","OK"),"Type ?"))))</f>
        <v>OK</v>
      </c>
    </row>
    <row r="68" customFormat="false" ht="16.5" hidden="false" customHeight="true" outlineLevel="0" collapsed="false">
      <c r="A68" s="72" t="n">
        <f aca="false">IF($B68="","",ROW()-7)</f>
        <v>61</v>
      </c>
      <c r="B68" s="73" t="n">
        <v>46245</v>
      </c>
      <c r="C68" s="74" t="n">
        <f aca="false">IF($B68="","",YEAR($B68)*100+MONTH($B68))</f>
        <v>202608</v>
      </c>
      <c r="D68" s="75" t="s">
        <v>142</v>
      </c>
      <c r="E68" s="76" t="s">
        <v>41</v>
      </c>
      <c r="F68" s="76" t="s">
        <v>146</v>
      </c>
      <c r="G68" s="77" t="s">
        <v>145</v>
      </c>
      <c r="H68" s="78" t="n">
        <v>2000</v>
      </c>
      <c r="I68" s="79" t="s">
        <v>141</v>
      </c>
      <c r="J68" s="80" t="str">
        <f aca="false">IF($B68="","",IF(N($H68)&lt;=0,"Montant ?",IF($D68="RECETTE",IF(COUNTIF(PARAMETRES!$E$5:$E$9,$E68)=0,"Catégorie ?","OK"),IF($D68="DEPENSE",IF(COUNTIF(PARAMETRES!$G$5:$G$20,$E68)=0,"Catégorie ?","OK"),"Type ?"))))</f>
        <v>OK</v>
      </c>
    </row>
    <row r="69" customFormat="false" ht="16.5" hidden="false" customHeight="true" outlineLevel="0" collapsed="false">
      <c r="A69" s="81" t="n">
        <f aca="false">IF($B69="","",ROW()-7)</f>
        <v>62</v>
      </c>
      <c r="B69" s="82" t="n">
        <v>46246</v>
      </c>
      <c r="C69" s="83" t="n">
        <f aca="false">IF($B69="","",YEAR($B69)*100+MONTH($B69))</f>
        <v>202608</v>
      </c>
      <c r="D69" s="84" t="s">
        <v>137</v>
      </c>
      <c r="E69" s="85" t="s">
        <v>138</v>
      </c>
      <c r="F69" s="85" t="s">
        <v>139</v>
      </c>
      <c r="G69" s="86" t="s">
        <v>140</v>
      </c>
      <c r="H69" s="87" t="n">
        <v>2045</v>
      </c>
      <c r="I69" s="88" t="s">
        <v>141</v>
      </c>
      <c r="J69" s="89" t="str">
        <f aca="false">IF($B69="","",IF(N($H69)&lt;=0,"Montant ?",IF($D69="RECETTE",IF(COUNTIF(PARAMETRES!$E$5:$E$9,$E69)=0,"Catégorie ?","OK"),IF($D69="DEPENSE",IF(COUNTIF(PARAMETRES!$G$5:$G$20,$E69)=0,"Catégorie ?","OK"),"Type ?"))))</f>
        <v>OK</v>
      </c>
    </row>
    <row r="70" customFormat="false" ht="16.5" hidden="false" customHeight="true" outlineLevel="0" collapsed="false">
      <c r="A70" s="72" t="n">
        <f aca="false">IF($B70="","",ROW()-7)</f>
        <v>63</v>
      </c>
      <c r="B70" s="73" t="n">
        <v>46246</v>
      </c>
      <c r="C70" s="74" t="n">
        <f aca="false">IF($B70="","",YEAR($B70)*100+MONTH($B70))</f>
        <v>202608</v>
      </c>
      <c r="D70" s="75" t="s">
        <v>142</v>
      </c>
      <c r="E70" s="76" t="s">
        <v>93</v>
      </c>
      <c r="F70" s="76" t="s">
        <v>98</v>
      </c>
      <c r="G70" s="77" t="s">
        <v>143</v>
      </c>
      <c r="H70" s="78" t="n">
        <v>366</v>
      </c>
      <c r="I70" s="79" t="s">
        <v>141</v>
      </c>
      <c r="J70" s="80" t="str">
        <f aca="false">IF($B70="","",IF(N($H70)&lt;=0,"Montant ?",IF($D70="RECETTE",IF(COUNTIF(PARAMETRES!$E$5:$E$9,$E70)=0,"Catégorie ?","OK"),IF($D70="DEPENSE",IF(COUNTIF(PARAMETRES!$G$5:$G$20,$E70)=0,"Catégorie ?","OK"),"Type ?"))))</f>
        <v>OK</v>
      </c>
    </row>
    <row r="71" customFormat="false" ht="16.5" hidden="false" customHeight="true" outlineLevel="0" collapsed="false">
      <c r="A71" s="81" t="n">
        <f aca="false">IF($B71="","",ROW()-7)</f>
        <v>64</v>
      </c>
      <c r="B71" s="82" t="n">
        <v>46246</v>
      </c>
      <c r="C71" s="83" t="n">
        <f aca="false">IF($B71="","",YEAR($B71)*100+MONTH($B71))</f>
        <v>202608</v>
      </c>
      <c r="D71" s="84" t="s">
        <v>142</v>
      </c>
      <c r="E71" s="85" t="s">
        <v>103</v>
      </c>
      <c r="F71" s="85" t="s">
        <v>100</v>
      </c>
      <c r="G71" s="86" t="s">
        <v>143</v>
      </c>
      <c r="H71" s="87" t="n">
        <v>150</v>
      </c>
      <c r="I71" s="88" t="s">
        <v>141</v>
      </c>
      <c r="J71" s="89" t="str">
        <f aca="false">IF($B71="","",IF(N($H71)&lt;=0,"Montant ?",IF($D71="RECETTE",IF(COUNTIF(PARAMETRES!$E$5:$E$9,$E71)=0,"Catégorie ?","OK"),IF($D71="DEPENSE",IF(COUNTIF(PARAMETRES!$G$5:$G$20,$E71)=0,"Catégorie ?","OK"),"Type ?"))))</f>
        <v>OK</v>
      </c>
    </row>
    <row r="72" customFormat="false" ht="16.5" hidden="false" customHeight="true" outlineLevel="0" collapsed="false">
      <c r="A72" s="72" t="n">
        <f aca="false">IF($B72="","",ROW()-7)</f>
        <v>65</v>
      </c>
      <c r="B72" s="73" t="n">
        <v>46246</v>
      </c>
      <c r="C72" s="74" t="n">
        <f aca="false">IF($B72="","",YEAR($B72)*100+MONTH($B72))</f>
        <v>202608</v>
      </c>
      <c r="D72" s="75" t="s">
        <v>142</v>
      </c>
      <c r="E72" s="76" t="s">
        <v>99</v>
      </c>
      <c r="F72" s="76" t="s">
        <v>105</v>
      </c>
      <c r="G72" s="77" t="s">
        <v>143</v>
      </c>
      <c r="H72" s="78" t="n">
        <v>165</v>
      </c>
      <c r="I72" s="79" t="s">
        <v>141</v>
      </c>
      <c r="J72" s="80" t="str">
        <f aca="false">IF($B72="","",IF(N($H72)&lt;=0,"Montant ?",IF($D72="RECETTE",IF(COUNTIF(PARAMETRES!$E$5:$E$9,$E72)=0,"Catégorie ?","OK"),IF($D72="DEPENSE",IF(COUNTIF(PARAMETRES!$G$5:$G$20,$E72)=0,"Catégorie ?","OK"),"Type ?"))))</f>
        <v>OK</v>
      </c>
    </row>
    <row r="73" customFormat="false" ht="16.5" hidden="false" customHeight="true" outlineLevel="0" collapsed="false">
      <c r="A73" s="81" t="n">
        <f aca="false">IF($B73="","",ROW()-7)</f>
        <v>66</v>
      </c>
      <c r="B73" s="82" t="n">
        <v>46246</v>
      </c>
      <c r="C73" s="83" t="n">
        <f aca="false">IF($B73="","",YEAR($B73)*100+MONTH($B73))</f>
        <v>202608</v>
      </c>
      <c r="D73" s="84" t="s">
        <v>142</v>
      </c>
      <c r="E73" s="85" t="s">
        <v>95</v>
      </c>
      <c r="F73" s="85" t="s">
        <v>102</v>
      </c>
      <c r="G73" s="86" t="s">
        <v>143</v>
      </c>
      <c r="H73" s="87" t="n">
        <v>1660</v>
      </c>
      <c r="I73" s="88" t="s">
        <v>141</v>
      </c>
      <c r="J73" s="89" t="str">
        <f aca="false">IF($B73="","",IF(N($H73)&lt;=0,"Montant ?",IF($D73="RECETTE",IF(COUNTIF(PARAMETRES!$E$5:$E$9,$E73)=0,"Catégorie ?","OK"),IF($D73="DEPENSE",IF(COUNTIF(PARAMETRES!$G$5:$G$20,$E73)=0,"Catégorie ?","OK"),"Type ?"))))</f>
        <v>OK</v>
      </c>
    </row>
    <row r="74" customFormat="false" ht="16.5" hidden="false" customHeight="true" outlineLevel="0" collapsed="false">
      <c r="A74" s="72" t="n">
        <f aca="false">IF($B74="","",ROW()-7)</f>
        <v>67</v>
      </c>
      <c r="B74" s="73" t="n">
        <v>46247</v>
      </c>
      <c r="C74" s="74" t="n">
        <f aca="false">IF($B74="","",YEAR($B74)*100+MONTH($B74))</f>
        <v>202608</v>
      </c>
      <c r="D74" s="75" t="s">
        <v>137</v>
      </c>
      <c r="E74" s="76" t="s">
        <v>138</v>
      </c>
      <c r="F74" s="76" t="s">
        <v>139</v>
      </c>
      <c r="G74" s="77" t="s">
        <v>140</v>
      </c>
      <c r="H74" s="78" t="n">
        <v>2014</v>
      </c>
      <c r="I74" s="79" t="s">
        <v>141</v>
      </c>
      <c r="J74" s="80" t="str">
        <f aca="false">IF($B74="","",IF(N($H74)&lt;=0,"Montant ?",IF($D74="RECETTE",IF(COUNTIF(PARAMETRES!$E$5:$E$9,$E74)=0,"Catégorie ?","OK"),IF($D74="DEPENSE",IF(COUNTIF(PARAMETRES!$G$5:$G$20,$E74)=0,"Catégorie ?","OK"),"Type ?"))))</f>
        <v>OK</v>
      </c>
    </row>
    <row r="75" customFormat="false" ht="16.5" hidden="false" customHeight="true" outlineLevel="0" collapsed="false">
      <c r="A75" s="81" t="n">
        <f aca="false">IF($B75="","",ROW()-7)</f>
        <v>68</v>
      </c>
      <c r="B75" s="82" t="n">
        <v>46247</v>
      </c>
      <c r="C75" s="83" t="n">
        <f aca="false">IF($B75="","",YEAR($B75)*100+MONTH($B75))</f>
        <v>202608</v>
      </c>
      <c r="D75" s="84" t="s">
        <v>142</v>
      </c>
      <c r="E75" s="85" t="s">
        <v>101</v>
      </c>
      <c r="F75" s="85" t="s">
        <v>94</v>
      </c>
      <c r="G75" s="86" t="s">
        <v>143</v>
      </c>
      <c r="H75" s="87" t="n">
        <v>300</v>
      </c>
      <c r="I75" s="88" t="s">
        <v>141</v>
      </c>
      <c r="J75" s="89" t="str">
        <f aca="false">IF($B75="","",IF(N($H75)&lt;=0,"Montant ?",IF($D75="RECETTE",IF(COUNTIF(PARAMETRES!$E$5:$E$9,$E75)=0,"Catégorie ?","OK"),IF($D75="DEPENSE",IF(COUNTIF(PARAMETRES!$G$5:$G$20,$E75)=0,"Catégorie ?","OK"),"Type ?"))))</f>
        <v>OK</v>
      </c>
    </row>
    <row r="76" customFormat="false" ht="16.5" hidden="false" customHeight="true" outlineLevel="0" collapsed="false">
      <c r="A76" s="72" t="n">
        <f aca="false">IF($B76="","",ROW()-7)</f>
        <v>69</v>
      </c>
      <c r="B76" s="73" t="n">
        <v>46247</v>
      </c>
      <c r="C76" s="74" t="n">
        <f aca="false">IF($B76="","",YEAR($B76)*100+MONTH($B76))</f>
        <v>202608</v>
      </c>
      <c r="D76" s="75" t="s">
        <v>142</v>
      </c>
      <c r="E76" s="76" t="s">
        <v>103</v>
      </c>
      <c r="F76" s="76" t="s">
        <v>100</v>
      </c>
      <c r="G76" s="77" t="s">
        <v>143</v>
      </c>
      <c r="H76" s="78" t="n">
        <v>150</v>
      </c>
      <c r="I76" s="79" t="s">
        <v>141</v>
      </c>
      <c r="J76" s="80" t="str">
        <f aca="false">IF($B76="","",IF(N($H76)&lt;=0,"Montant ?",IF($D76="RECETTE",IF(COUNTIF(PARAMETRES!$E$5:$E$9,$E76)=0,"Catégorie ?","OK"),IF($D76="DEPENSE",IF(COUNTIF(PARAMETRES!$G$5:$G$20,$E76)=0,"Catégorie ?","OK"),"Type ?"))))</f>
        <v>OK</v>
      </c>
    </row>
    <row r="77" customFormat="false" ht="16.5" hidden="false" customHeight="true" outlineLevel="0" collapsed="false">
      <c r="A77" s="81" t="n">
        <f aca="false">IF($B77="","",ROW()-7)</f>
        <v>70</v>
      </c>
      <c r="B77" s="82" t="n">
        <v>46247</v>
      </c>
      <c r="C77" s="83" t="n">
        <f aca="false">IF($B77="","",YEAR($B77)*100+MONTH($B77))</f>
        <v>202608</v>
      </c>
      <c r="D77" s="84" t="s">
        <v>142</v>
      </c>
      <c r="E77" s="85" t="s">
        <v>99</v>
      </c>
      <c r="F77" s="85" t="s">
        <v>105</v>
      </c>
      <c r="G77" s="86" t="s">
        <v>143</v>
      </c>
      <c r="H77" s="87" t="n">
        <v>165</v>
      </c>
      <c r="I77" s="88" t="s">
        <v>141</v>
      </c>
      <c r="J77" s="89" t="str">
        <f aca="false">IF($B77="","",IF(N($H77)&lt;=0,"Montant ?",IF($D77="RECETTE",IF(COUNTIF(PARAMETRES!$E$5:$E$9,$E77)=0,"Catégorie ?","OK"),IF($D77="DEPENSE",IF(COUNTIF(PARAMETRES!$G$5:$G$20,$E77)=0,"Catégorie ?","OK"),"Type ?"))))</f>
        <v>OK</v>
      </c>
    </row>
    <row r="78" customFormat="false" ht="16.5" hidden="false" customHeight="true" outlineLevel="0" collapsed="false">
      <c r="A78" s="72" t="n">
        <f aca="false">IF($B78="","",ROW()-7)</f>
        <v>71</v>
      </c>
      <c r="B78" s="73" t="n">
        <v>46248</v>
      </c>
      <c r="C78" s="74" t="n">
        <f aca="false">IF($B78="","",YEAR($B78)*100+MONTH($B78))</f>
        <v>202608</v>
      </c>
      <c r="D78" s="75" t="s">
        <v>137</v>
      </c>
      <c r="E78" s="76" t="s">
        <v>138</v>
      </c>
      <c r="F78" s="76" t="s">
        <v>139</v>
      </c>
      <c r="G78" s="77" t="s">
        <v>140</v>
      </c>
      <c r="H78" s="78" t="n">
        <v>1902</v>
      </c>
      <c r="I78" s="79" t="s">
        <v>141</v>
      </c>
      <c r="J78" s="80" t="str">
        <f aca="false">IF($B78="","",IF(N($H78)&lt;=0,"Montant ?",IF($D78="RECETTE",IF(COUNTIF(PARAMETRES!$E$5:$E$9,$E78)=0,"Catégorie ?","OK"),IF($D78="DEPENSE",IF(COUNTIF(PARAMETRES!$G$5:$G$20,$E78)=0,"Catégorie ?","OK"),"Type ?"))))</f>
        <v>OK</v>
      </c>
    </row>
    <row r="79" customFormat="false" ht="16.5" hidden="false" customHeight="true" outlineLevel="0" collapsed="false">
      <c r="A79" s="81" t="n">
        <f aca="false">IF($B79="","",ROW()-7)</f>
        <v>72</v>
      </c>
      <c r="B79" s="82" t="n">
        <v>46248</v>
      </c>
      <c r="C79" s="83" t="n">
        <f aca="false">IF($B79="","",YEAR($B79)*100+MONTH($B79))</f>
        <v>202608</v>
      </c>
      <c r="D79" s="84" t="s">
        <v>142</v>
      </c>
      <c r="E79" s="85" t="s">
        <v>93</v>
      </c>
      <c r="F79" s="85" t="s">
        <v>98</v>
      </c>
      <c r="G79" s="86" t="s">
        <v>143</v>
      </c>
      <c r="H79" s="87" t="n">
        <v>306</v>
      </c>
      <c r="I79" s="88" t="s">
        <v>141</v>
      </c>
      <c r="J79" s="89" t="str">
        <f aca="false">IF($B79="","",IF(N($H79)&lt;=0,"Montant ?",IF($D79="RECETTE",IF(COUNTIF(PARAMETRES!$E$5:$E$9,$E79)=0,"Catégorie ?","OK"),IF($D79="DEPENSE",IF(COUNTIF(PARAMETRES!$G$5:$G$20,$E79)=0,"Catégorie ?","OK"),"Type ?"))))</f>
        <v>OK</v>
      </c>
    </row>
    <row r="80" customFormat="false" ht="16.5" hidden="false" customHeight="true" outlineLevel="0" collapsed="false">
      <c r="A80" s="72" t="n">
        <f aca="false">IF($B80="","",ROW()-7)</f>
        <v>73</v>
      </c>
      <c r="B80" s="73" t="n">
        <v>46248</v>
      </c>
      <c r="C80" s="74" t="n">
        <f aca="false">IF($B80="","",YEAR($B80)*100+MONTH($B80))</f>
        <v>202608</v>
      </c>
      <c r="D80" s="75" t="s">
        <v>142</v>
      </c>
      <c r="E80" s="76" t="s">
        <v>103</v>
      </c>
      <c r="F80" s="76" t="s">
        <v>100</v>
      </c>
      <c r="G80" s="77" t="s">
        <v>143</v>
      </c>
      <c r="H80" s="78" t="n">
        <v>150</v>
      </c>
      <c r="I80" s="79" t="s">
        <v>141</v>
      </c>
      <c r="J80" s="80" t="str">
        <f aca="false">IF($B80="","",IF(N($H80)&lt;=0,"Montant ?",IF($D80="RECETTE",IF(COUNTIF(PARAMETRES!$E$5:$E$9,$E80)=0,"Catégorie ?","OK"),IF($D80="DEPENSE",IF(COUNTIF(PARAMETRES!$G$5:$G$20,$E80)=0,"Catégorie ?","OK"),"Type ?"))))</f>
        <v>OK</v>
      </c>
    </row>
    <row r="81" customFormat="false" ht="16.5" hidden="false" customHeight="true" outlineLevel="0" collapsed="false">
      <c r="A81" s="81" t="n">
        <f aca="false">IF($B81="","",ROW()-7)</f>
        <v>74</v>
      </c>
      <c r="B81" s="82" t="n">
        <v>46248</v>
      </c>
      <c r="C81" s="83" t="n">
        <f aca="false">IF($B81="","",YEAR($B81)*100+MONTH($B81))</f>
        <v>202608</v>
      </c>
      <c r="D81" s="84" t="s">
        <v>142</v>
      </c>
      <c r="E81" s="85" t="s">
        <v>101</v>
      </c>
      <c r="F81" s="85" t="s">
        <v>94</v>
      </c>
      <c r="G81" s="86" t="s">
        <v>143</v>
      </c>
      <c r="H81" s="87" t="n">
        <v>300</v>
      </c>
      <c r="I81" s="88" t="s">
        <v>141</v>
      </c>
      <c r="J81" s="89" t="str">
        <f aca="false">IF($B81="","",IF(N($H81)&lt;=0,"Montant ?",IF($D81="RECETTE",IF(COUNTIF(PARAMETRES!$E$5:$E$9,$E81)=0,"Catégorie ?","OK"),IF($D81="DEPENSE",IF(COUNTIF(PARAMETRES!$G$5:$G$20,$E81)=0,"Catégorie ?","OK"),"Type ?"))))</f>
        <v>OK</v>
      </c>
    </row>
    <row r="82" customFormat="false" ht="16.5" hidden="false" customHeight="true" outlineLevel="0" collapsed="false">
      <c r="A82" s="72" t="n">
        <f aca="false">IF($B82="","",ROW()-7)</f>
        <v>75</v>
      </c>
      <c r="B82" s="73" t="n">
        <v>46249</v>
      </c>
      <c r="C82" s="74" t="n">
        <f aca="false">IF($B82="","",YEAR($B82)*100+MONTH($B82))</f>
        <v>202608</v>
      </c>
      <c r="D82" s="75" t="s">
        <v>137</v>
      </c>
      <c r="E82" s="76" t="s">
        <v>138</v>
      </c>
      <c r="F82" s="76" t="s">
        <v>139</v>
      </c>
      <c r="G82" s="77" t="s">
        <v>140</v>
      </c>
      <c r="H82" s="78" t="n">
        <v>2053</v>
      </c>
      <c r="I82" s="79" t="s">
        <v>141</v>
      </c>
      <c r="J82" s="80" t="str">
        <f aca="false">IF($B82="","",IF(N($H82)&lt;=0,"Montant ?",IF($D82="RECETTE",IF(COUNTIF(PARAMETRES!$E$5:$E$9,$E82)=0,"Catégorie ?","OK"),IF($D82="DEPENSE",IF(COUNTIF(PARAMETRES!$G$5:$G$20,$E82)=0,"Catégorie ?","OK"),"Type ?"))))</f>
        <v>OK</v>
      </c>
    </row>
    <row r="83" customFormat="false" ht="16.5" hidden="false" customHeight="true" outlineLevel="0" collapsed="false">
      <c r="A83" s="81" t="n">
        <f aca="false">IF($B83="","",ROW()-7)</f>
        <v>76</v>
      </c>
      <c r="B83" s="82" t="n">
        <v>46249</v>
      </c>
      <c r="C83" s="83" t="n">
        <f aca="false">IF($B83="","",YEAR($B83)*100+MONTH($B83))</f>
        <v>202608</v>
      </c>
      <c r="D83" s="84" t="s">
        <v>142</v>
      </c>
      <c r="E83" s="85" t="s">
        <v>101</v>
      </c>
      <c r="F83" s="85" t="s">
        <v>94</v>
      </c>
      <c r="G83" s="86" t="s">
        <v>143</v>
      </c>
      <c r="H83" s="87" t="n">
        <v>300</v>
      </c>
      <c r="I83" s="88" t="s">
        <v>141</v>
      </c>
      <c r="J83" s="89" t="str">
        <f aca="false">IF($B83="","",IF(N($H83)&lt;=0,"Montant ?",IF($D83="RECETTE",IF(COUNTIF(PARAMETRES!$E$5:$E$9,$E83)=0,"Catégorie ?","OK"),IF($D83="DEPENSE",IF(COUNTIF(PARAMETRES!$G$5:$G$20,$E83)=0,"Catégorie ?","OK"),"Type ?"))))</f>
        <v>OK</v>
      </c>
    </row>
    <row r="84" customFormat="false" ht="16.5" hidden="false" customHeight="true" outlineLevel="0" collapsed="false">
      <c r="A84" s="72" t="n">
        <f aca="false">IF($B84="","",ROW()-7)</f>
        <v>77</v>
      </c>
      <c r="B84" s="73" t="n">
        <v>46249</v>
      </c>
      <c r="C84" s="74" t="n">
        <f aca="false">IF($B84="","",YEAR($B84)*100+MONTH($B84))</f>
        <v>202608</v>
      </c>
      <c r="D84" s="75" t="s">
        <v>142</v>
      </c>
      <c r="E84" s="76" t="s">
        <v>103</v>
      </c>
      <c r="F84" s="76" t="s">
        <v>100</v>
      </c>
      <c r="G84" s="77" t="s">
        <v>143</v>
      </c>
      <c r="H84" s="78" t="n">
        <v>150</v>
      </c>
      <c r="I84" s="79" t="s">
        <v>141</v>
      </c>
      <c r="J84" s="80" t="str">
        <f aca="false">IF($B84="","",IF(N($H84)&lt;=0,"Montant ?",IF($D84="RECETTE",IF(COUNTIF(PARAMETRES!$E$5:$E$9,$E84)=0,"Catégorie ?","OK"),IF($D84="DEPENSE",IF(COUNTIF(PARAMETRES!$G$5:$G$20,$E84)=0,"Catégorie ?","OK"),"Type ?"))))</f>
        <v>OK</v>
      </c>
    </row>
    <row r="85" customFormat="false" ht="16.5" hidden="false" customHeight="true" outlineLevel="0" collapsed="false">
      <c r="A85" s="81" t="n">
        <f aca="false">IF($B85="","",ROW()-7)</f>
        <v>78</v>
      </c>
      <c r="B85" s="82" t="n">
        <v>46249</v>
      </c>
      <c r="C85" s="83" t="n">
        <f aca="false">IF($B85="","",YEAR($B85)*100+MONTH($B85))</f>
        <v>202608</v>
      </c>
      <c r="D85" s="84" t="s">
        <v>142</v>
      </c>
      <c r="E85" s="85" t="s">
        <v>93</v>
      </c>
      <c r="F85" s="85" t="s">
        <v>113</v>
      </c>
      <c r="G85" s="86" t="s">
        <v>143</v>
      </c>
      <c r="H85" s="87" t="n">
        <v>156</v>
      </c>
      <c r="I85" s="88" t="s">
        <v>141</v>
      </c>
      <c r="J85" s="89" t="str">
        <f aca="false">IF($B85="","",IF(N($H85)&lt;=0,"Montant ?",IF($D85="RECETTE",IF(COUNTIF(PARAMETRES!$E$5:$E$9,$E85)=0,"Catégorie ?","OK"),IF($D85="DEPENSE",IF(COUNTIF(PARAMETRES!$G$5:$G$20,$E85)=0,"Catégorie ?","OK"),"Type ?"))))</f>
        <v>OK</v>
      </c>
    </row>
    <row r="86" customFormat="false" ht="16.5" hidden="false" customHeight="true" outlineLevel="0" collapsed="false">
      <c r="A86" s="72" t="n">
        <f aca="false">IF($B86="","",ROW()-7)</f>
        <v>79</v>
      </c>
      <c r="B86" s="73" t="n">
        <v>46250</v>
      </c>
      <c r="C86" s="74" t="n">
        <f aca="false">IF($B86="","",YEAR($B86)*100+MONTH($B86))</f>
        <v>202608</v>
      </c>
      <c r="D86" s="75" t="s">
        <v>137</v>
      </c>
      <c r="E86" s="76" t="s">
        <v>138</v>
      </c>
      <c r="F86" s="76" t="s">
        <v>139</v>
      </c>
      <c r="G86" s="77" t="s">
        <v>140</v>
      </c>
      <c r="H86" s="78" t="n">
        <v>2100</v>
      </c>
      <c r="I86" s="79" t="s">
        <v>141</v>
      </c>
      <c r="J86" s="80" t="str">
        <f aca="false">IF($B86="","",IF(N($H86)&lt;=0,"Montant ?",IF($D86="RECETTE",IF(COUNTIF(PARAMETRES!$E$5:$E$9,$E86)=0,"Catégorie ?","OK"),IF($D86="DEPENSE",IF(COUNTIF(PARAMETRES!$G$5:$G$20,$E86)=0,"Catégorie ?","OK"),"Type ?"))))</f>
        <v>OK</v>
      </c>
    </row>
    <row r="87" customFormat="false" ht="16.5" hidden="false" customHeight="true" outlineLevel="0" collapsed="false">
      <c r="A87" s="81" t="n">
        <f aca="false">IF($B87="","",ROW()-7)</f>
        <v>80</v>
      </c>
      <c r="B87" s="82" t="n">
        <v>46250</v>
      </c>
      <c r="C87" s="83" t="n">
        <f aca="false">IF($B87="","",YEAR($B87)*100+MONTH($B87))</f>
        <v>202608</v>
      </c>
      <c r="D87" s="84" t="s">
        <v>142</v>
      </c>
      <c r="E87" s="85" t="s">
        <v>93</v>
      </c>
      <c r="F87" s="85" t="s">
        <v>98</v>
      </c>
      <c r="G87" s="86" t="s">
        <v>143</v>
      </c>
      <c r="H87" s="87" t="n">
        <v>306</v>
      </c>
      <c r="I87" s="88" t="s">
        <v>141</v>
      </c>
      <c r="J87" s="89" t="str">
        <f aca="false">IF($B87="","",IF(N($H87)&lt;=0,"Montant ?",IF($D87="RECETTE",IF(COUNTIF(PARAMETRES!$E$5:$E$9,$E87)=0,"Catégorie ?","OK"),IF($D87="DEPENSE",IF(COUNTIF(PARAMETRES!$G$5:$G$20,$E87)=0,"Catégorie ?","OK"),"Type ?"))))</f>
        <v>OK</v>
      </c>
    </row>
    <row r="88" customFormat="false" ht="16.5" hidden="false" customHeight="true" outlineLevel="0" collapsed="false">
      <c r="A88" s="72" t="n">
        <f aca="false">IF($B88="","",ROW()-7)</f>
        <v>81</v>
      </c>
      <c r="B88" s="73" t="n">
        <v>46250</v>
      </c>
      <c r="C88" s="74" t="n">
        <f aca="false">IF($B88="","",YEAR($B88)*100+MONTH($B88))</f>
        <v>202608</v>
      </c>
      <c r="D88" s="75" t="s">
        <v>142</v>
      </c>
      <c r="E88" s="76" t="s">
        <v>103</v>
      </c>
      <c r="F88" s="76" t="s">
        <v>100</v>
      </c>
      <c r="G88" s="77" t="s">
        <v>143</v>
      </c>
      <c r="H88" s="78" t="n">
        <v>150</v>
      </c>
      <c r="I88" s="79" t="s">
        <v>141</v>
      </c>
      <c r="J88" s="80" t="str">
        <f aca="false">IF($B88="","",IF(N($H88)&lt;=0,"Montant ?",IF($D88="RECETTE",IF(COUNTIF(PARAMETRES!$E$5:$E$9,$E88)=0,"Catégorie ?","OK"),IF($D88="DEPENSE",IF(COUNTIF(PARAMETRES!$G$5:$G$20,$E88)=0,"Catégorie ?","OK"),"Type ?"))))</f>
        <v>OK</v>
      </c>
    </row>
    <row r="89" customFormat="false" ht="16.5" hidden="false" customHeight="true" outlineLevel="0" collapsed="false">
      <c r="A89" s="81" t="n">
        <f aca="false">IF($B89="","",ROW()-7)</f>
        <v>82</v>
      </c>
      <c r="B89" s="82" t="n">
        <v>46250</v>
      </c>
      <c r="C89" s="83" t="n">
        <f aca="false">IF($B89="","",YEAR($B89)*100+MONTH($B89))</f>
        <v>202608</v>
      </c>
      <c r="D89" s="84" t="s">
        <v>142</v>
      </c>
      <c r="E89" s="85" t="s">
        <v>99</v>
      </c>
      <c r="F89" s="85" t="s">
        <v>105</v>
      </c>
      <c r="G89" s="86" t="s">
        <v>143</v>
      </c>
      <c r="H89" s="87" t="n">
        <v>165</v>
      </c>
      <c r="I89" s="88" t="s">
        <v>141</v>
      </c>
      <c r="J89" s="89" t="str">
        <f aca="false">IF($B89="","",IF(N($H89)&lt;=0,"Montant ?",IF($D89="RECETTE",IF(COUNTIF(PARAMETRES!$E$5:$E$9,$E89)=0,"Catégorie ?","OK"),IF($D89="DEPENSE",IF(COUNTIF(PARAMETRES!$G$5:$G$20,$E89)=0,"Catégorie ?","OK"),"Type ?"))))</f>
        <v>OK</v>
      </c>
    </row>
    <row r="90" customFormat="false" ht="16.5" hidden="false" customHeight="true" outlineLevel="0" collapsed="false">
      <c r="A90" s="72" t="n">
        <f aca="false">IF($B90="","",ROW()-7)</f>
        <v>83</v>
      </c>
      <c r="B90" s="73" t="n">
        <v>46250</v>
      </c>
      <c r="C90" s="74" t="n">
        <f aca="false">IF($B90="","",YEAR($B90)*100+MONTH($B90))</f>
        <v>202608</v>
      </c>
      <c r="D90" s="75" t="s">
        <v>142</v>
      </c>
      <c r="E90" s="76" t="s">
        <v>101</v>
      </c>
      <c r="F90" s="76" t="s">
        <v>152</v>
      </c>
      <c r="G90" s="77" t="s">
        <v>143</v>
      </c>
      <c r="H90" s="78" t="n">
        <v>65</v>
      </c>
      <c r="I90" s="79" t="s">
        <v>141</v>
      </c>
      <c r="J90" s="80" t="str">
        <f aca="false">IF($B90="","",IF(N($H90)&lt;=0,"Montant ?",IF($D90="RECETTE",IF(COUNTIF(PARAMETRES!$E$5:$E$9,$E90)=0,"Catégorie ?","OK"),IF($D90="DEPENSE",IF(COUNTIF(PARAMETRES!$G$5:$G$20,$E90)=0,"Catégorie ?","OK"),"Type ?"))))</f>
        <v>OK</v>
      </c>
    </row>
    <row r="91" customFormat="false" ht="16.5" hidden="false" customHeight="true" outlineLevel="0" collapsed="false">
      <c r="A91" s="81" t="n">
        <f aca="false">IF($B91="","",ROW()-7)</f>
        <v>84</v>
      </c>
      <c r="B91" s="82" t="n">
        <v>46250</v>
      </c>
      <c r="C91" s="83" t="n">
        <f aca="false">IF($B91="","",YEAR($B91)*100+MONTH($B91))</f>
        <v>202608</v>
      </c>
      <c r="D91" s="84" t="s">
        <v>142</v>
      </c>
      <c r="E91" s="85" t="s">
        <v>108</v>
      </c>
      <c r="F91" s="85" t="s">
        <v>104</v>
      </c>
      <c r="G91" s="86" t="s">
        <v>151</v>
      </c>
      <c r="H91" s="87" t="n">
        <v>3785</v>
      </c>
      <c r="I91" s="88" t="s">
        <v>141</v>
      </c>
      <c r="J91" s="89" t="str">
        <f aca="false">IF($B91="","",IF(N($H91)&lt;=0,"Montant ?",IF($D91="RECETTE",IF(COUNTIF(PARAMETRES!$E$5:$E$9,$E91)=0,"Catégorie ?","OK"),IF($D91="DEPENSE",IF(COUNTIF(PARAMETRES!$G$5:$G$20,$E91)=0,"Catégorie ?","OK"),"Type ?"))))</f>
        <v>OK</v>
      </c>
    </row>
    <row r="92" customFormat="false" ht="16.5" hidden="false" customHeight="true" outlineLevel="0" collapsed="false">
      <c r="A92" s="72" t="n">
        <f aca="false">IF($B92="","",ROW()-7)</f>
        <v>85</v>
      </c>
      <c r="B92" s="73" t="n">
        <v>46250</v>
      </c>
      <c r="C92" s="74" t="n">
        <f aca="false">IF($B92="","",YEAR($B92)*100+MONTH($B92))</f>
        <v>202608</v>
      </c>
      <c r="D92" s="75" t="s">
        <v>142</v>
      </c>
      <c r="E92" s="76" t="s">
        <v>41</v>
      </c>
      <c r="F92" s="76" t="s">
        <v>144</v>
      </c>
      <c r="G92" s="77" t="s">
        <v>145</v>
      </c>
      <c r="H92" s="78" t="n">
        <v>600</v>
      </c>
      <c r="I92" s="79" t="s">
        <v>141</v>
      </c>
      <c r="J92" s="80" t="str">
        <f aca="false">IF($B92="","",IF(N($H92)&lt;=0,"Montant ?",IF($D92="RECETTE",IF(COUNTIF(PARAMETRES!$E$5:$E$9,$E92)=0,"Catégorie ?","OK"),IF($D92="DEPENSE",IF(COUNTIF(PARAMETRES!$G$5:$G$20,$E92)=0,"Catégorie ?","OK"),"Type ?"))))</f>
        <v>OK</v>
      </c>
    </row>
    <row r="93" customFormat="false" ht="16.5" hidden="false" customHeight="true" outlineLevel="0" collapsed="false">
      <c r="A93" s="81" t="n">
        <f aca="false">IF($B93="","",ROW()-7)</f>
        <v>86</v>
      </c>
      <c r="B93" s="82" t="n">
        <v>46250</v>
      </c>
      <c r="C93" s="83" t="n">
        <f aca="false">IF($B93="","",YEAR($B93)*100+MONTH($B93))</f>
        <v>202608</v>
      </c>
      <c r="D93" s="84" t="s">
        <v>142</v>
      </c>
      <c r="E93" s="85" t="s">
        <v>41</v>
      </c>
      <c r="F93" s="85" t="s">
        <v>146</v>
      </c>
      <c r="G93" s="86" t="s">
        <v>145</v>
      </c>
      <c r="H93" s="87" t="n">
        <v>400</v>
      </c>
      <c r="I93" s="88" t="s">
        <v>141</v>
      </c>
      <c r="J93" s="89" t="str">
        <f aca="false">IF($B93="","",IF(N($H93)&lt;=0,"Montant ?",IF($D93="RECETTE",IF(COUNTIF(PARAMETRES!$E$5:$E$9,$E93)=0,"Catégorie ?","OK"),IF($D93="DEPENSE",IF(COUNTIF(PARAMETRES!$G$5:$G$20,$E93)=0,"Catégorie ?","OK"),"Type ?"))))</f>
        <v>OK</v>
      </c>
    </row>
    <row r="94" customFormat="false" ht="16.5" hidden="false" customHeight="true" outlineLevel="0" collapsed="false">
      <c r="A94" s="72" t="n">
        <f aca="false">IF($B94="","",ROW()-7)</f>
        <v>87</v>
      </c>
      <c r="B94" s="73" t="n">
        <v>46250</v>
      </c>
      <c r="C94" s="74" t="n">
        <f aca="false">IF($B94="","",YEAR($B94)*100+MONTH($B94))</f>
        <v>202608</v>
      </c>
      <c r="D94" s="75" t="s">
        <v>142</v>
      </c>
      <c r="E94" s="76" t="s">
        <v>41</v>
      </c>
      <c r="F94" s="76" t="s">
        <v>147</v>
      </c>
      <c r="G94" s="77" t="s">
        <v>145</v>
      </c>
      <c r="H94" s="78" t="n">
        <v>400</v>
      </c>
      <c r="I94" s="79" t="s">
        <v>141</v>
      </c>
      <c r="J94" s="80" t="str">
        <f aca="false">IF($B94="","",IF(N($H94)&lt;=0,"Montant ?",IF($D94="RECETTE",IF(COUNTIF(PARAMETRES!$E$5:$E$9,$E94)=0,"Catégorie ?","OK"),IF($D94="DEPENSE",IF(COUNTIF(PARAMETRES!$G$5:$G$20,$E94)=0,"Catégorie ?","OK"),"Type ?"))))</f>
        <v>OK</v>
      </c>
    </row>
    <row r="95" customFormat="false" ht="16.5" hidden="false" customHeight="true" outlineLevel="0" collapsed="false">
      <c r="A95" s="81" t="n">
        <f aca="false">IF($B95="","",ROW()-7)</f>
        <v>88</v>
      </c>
      <c r="B95" s="82" t="n">
        <v>46250</v>
      </c>
      <c r="C95" s="83" t="n">
        <f aca="false">IF($B95="","",YEAR($B95)*100+MONTH($B95))</f>
        <v>202608</v>
      </c>
      <c r="D95" s="84" t="s">
        <v>142</v>
      </c>
      <c r="E95" s="85" t="s">
        <v>41</v>
      </c>
      <c r="F95" s="85" t="s">
        <v>148</v>
      </c>
      <c r="G95" s="86" t="s">
        <v>145</v>
      </c>
      <c r="H95" s="87" t="n">
        <v>500</v>
      </c>
      <c r="I95" s="88" t="s">
        <v>141</v>
      </c>
      <c r="J95" s="89" t="str">
        <f aca="false">IF($B95="","",IF(N($H95)&lt;=0,"Montant ?",IF($D95="RECETTE",IF(COUNTIF(PARAMETRES!$E$5:$E$9,$E95)=0,"Catégorie ?","OK"),IF($D95="DEPENSE",IF(COUNTIF(PARAMETRES!$G$5:$G$20,$E95)=0,"Catégorie ?","OK"),"Type ?"))))</f>
        <v>OK</v>
      </c>
    </row>
    <row r="96" customFormat="false" ht="16.5" hidden="false" customHeight="true" outlineLevel="0" collapsed="false">
      <c r="A96" s="72" t="n">
        <f aca="false">IF($B96="","",ROW()-7)</f>
        <v>89</v>
      </c>
      <c r="B96" s="73" t="n">
        <v>46250</v>
      </c>
      <c r="C96" s="74" t="n">
        <f aca="false">IF($B96="","",YEAR($B96)*100+MONTH($B96))</f>
        <v>202608</v>
      </c>
      <c r="D96" s="75" t="s">
        <v>142</v>
      </c>
      <c r="E96" s="76" t="s">
        <v>41</v>
      </c>
      <c r="F96" s="76" t="s">
        <v>149</v>
      </c>
      <c r="G96" s="77" t="s">
        <v>145</v>
      </c>
      <c r="H96" s="78" t="n">
        <v>600</v>
      </c>
      <c r="I96" s="79" t="s">
        <v>141</v>
      </c>
      <c r="J96" s="80" t="str">
        <f aca="false">IF($B96="","",IF(N($H96)&lt;=0,"Montant ?",IF($D96="RECETTE",IF(COUNTIF(PARAMETRES!$E$5:$E$9,$E96)=0,"Catégorie ?","OK"),IF($D96="DEPENSE",IF(COUNTIF(PARAMETRES!$G$5:$G$20,$E96)=0,"Catégorie ?","OK"),"Type ?"))))</f>
        <v>OK</v>
      </c>
    </row>
    <row r="97" customFormat="false" ht="16.5" hidden="false" customHeight="true" outlineLevel="0" collapsed="false">
      <c r="A97" s="81" t="n">
        <f aca="false">IF($B97="","",ROW()-7)</f>
        <v>90</v>
      </c>
      <c r="B97" s="82" t="n">
        <v>46251</v>
      </c>
      <c r="C97" s="83" t="n">
        <f aca="false">IF($B97="","",YEAR($B97)*100+MONTH($B97))</f>
        <v>202608</v>
      </c>
      <c r="D97" s="84" t="s">
        <v>137</v>
      </c>
      <c r="E97" s="85" t="s">
        <v>138</v>
      </c>
      <c r="F97" s="85" t="s">
        <v>139</v>
      </c>
      <c r="G97" s="86" t="s">
        <v>140</v>
      </c>
      <c r="H97" s="87" t="n">
        <v>1930</v>
      </c>
      <c r="I97" s="88" t="s">
        <v>141</v>
      </c>
      <c r="J97" s="89" t="str">
        <f aca="false">IF($B97="","",IF(N($H97)&lt;=0,"Montant ?",IF($D97="RECETTE",IF(COUNTIF(PARAMETRES!$E$5:$E$9,$E97)=0,"Catégorie ?","OK"),IF($D97="DEPENSE",IF(COUNTIF(PARAMETRES!$G$5:$G$20,$E97)=0,"Catégorie ?","OK"),"Type ?"))))</f>
        <v>OK</v>
      </c>
    </row>
    <row r="98" customFormat="false" ht="16.5" hidden="false" customHeight="true" outlineLevel="0" collapsed="false">
      <c r="A98" s="72" t="n">
        <f aca="false">IF($B98="","",ROW()-7)</f>
        <v>91</v>
      </c>
      <c r="B98" s="73" t="n">
        <v>46251</v>
      </c>
      <c r="C98" s="74" t="n">
        <f aca="false">IF($B98="","",YEAR($B98)*100+MONTH($B98))</f>
        <v>202608</v>
      </c>
      <c r="D98" s="75" t="s">
        <v>142</v>
      </c>
      <c r="E98" s="76" t="s">
        <v>93</v>
      </c>
      <c r="F98" s="76" t="s">
        <v>98</v>
      </c>
      <c r="G98" s="77" t="s">
        <v>143</v>
      </c>
      <c r="H98" s="78" t="n">
        <v>306</v>
      </c>
      <c r="I98" s="79" t="s">
        <v>141</v>
      </c>
      <c r="J98" s="80" t="str">
        <f aca="false">IF($B98="","",IF(N($H98)&lt;=0,"Montant ?",IF($D98="RECETTE",IF(COUNTIF(PARAMETRES!$E$5:$E$9,$E98)=0,"Catégorie ?","OK"),IF($D98="DEPENSE",IF(COUNTIF(PARAMETRES!$G$5:$G$20,$E98)=0,"Catégorie ?","OK"),"Type ?"))))</f>
        <v>OK</v>
      </c>
    </row>
    <row r="99" customFormat="false" ht="16.5" hidden="false" customHeight="true" outlineLevel="0" collapsed="false">
      <c r="A99" s="81" t="n">
        <f aca="false">IF($B99="","",ROW()-7)</f>
        <v>92</v>
      </c>
      <c r="B99" s="82" t="n">
        <v>46251</v>
      </c>
      <c r="C99" s="83" t="n">
        <f aca="false">IF($B99="","",YEAR($B99)*100+MONTH($B99))</f>
        <v>202608</v>
      </c>
      <c r="D99" s="84" t="s">
        <v>142</v>
      </c>
      <c r="E99" s="85" t="s">
        <v>103</v>
      </c>
      <c r="F99" s="85" t="s">
        <v>100</v>
      </c>
      <c r="G99" s="86" t="s">
        <v>143</v>
      </c>
      <c r="H99" s="87" t="n">
        <v>150</v>
      </c>
      <c r="I99" s="88" t="s">
        <v>141</v>
      </c>
      <c r="J99" s="89" t="str">
        <f aca="false">IF($B99="","",IF(N($H99)&lt;=0,"Montant ?",IF($D99="RECETTE",IF(COUNTIF(PARAMETRES!$E$5:$E$9,$E99)=0,"Catégorie ?","OK"),IF($D99="DEPENSE",IF(COUNTIF(PARAMETRES!$G$5:$G$20,$E99)=0,"Catégorie ?","OK"),"Type ?"))))</f>
        <v>OK</v>
      </c>
    </row>
    <row r="100" customFormat="false" ht="16.5" hidden="false" customHeight="true" outlineLevel="0" collapsed="false">
      <c r="A100" s="72" t="n">
        <f aca="false">IF($B100="","",ROW()-7)</f>
        <v>93</v>
      </c>
      <c r="B100" s="73" t="n">
        <v>46251</v>
      </c>
      <c r="C100" s="74" t="n">
        <f aca="false">IF($B100="","",YEAR($B100)*100+MONTH($B100))</f>
        <v>202608</v>
      </c>
      <c r="D100" s="75" t="s">
        <v>142</v>
      </c>
      <c r="E100" s="76" t="s">
        <v>101</v>
      </c>
      <c r="F100" s="76" t="s">
        <v>94</v>
      </c>
      <c r="G100" s="77" t="s">
        <v>143</v>
      </c>
      <c r="H100" s="78" t="n">
        <v>300</v>
      </c>
      <c r="I100" s="79" t="s">
        <v>141</v>
      </c>
      <c r="J100" s="80" t="str">
        <f aca="false">IF($B100="","",IF(N($H100)&lt;=0,"Montant ?",IF($D100="RECETTE",IF(COUNTIF(PARAMETRES!$E$5:$E$9,$E100)=0,"Catégorie ?","OK"),IF($D100="DEPENSE",IF(COUNTIF(PARAMETRES!$G$5:$G$20,$E100)=0,"Catégorie ?","OK"),"Type ?"))))</f>
        <v>OK</v>
      </c>
    </row>
    <row r="101" customFormat="false" ht="16.5" hidden="false" customHeight="true" outlineLevel="0" collapsed="false">
      <c r="A101" s="81" t="n">
        <f aca="false">IF($B101="","",ROW()-7)</f>
        <v>94</v>
      </c>
      <c r="B101" s="82" t="n">
        <v>46252</v>
      </c>
      <c r="C101" s="83" t="n">
        <f aca="false">IF($B101="","",YEAR($B101)*100+MONTH($B101))</f>
        <v>202608</v>
      </c>
      <c r="D101" s="84" t="s">
        <v>137</v>
      </c>
      <c r="E101" s="85" t="s">
        <v>138</v>
      </c>
      <c r="F101" s="85" t="s">
        <v>139</v>
      </c>
      <c r="G101" s="86" t="s">
        <v>140</v>
      </c>
      <c r="H101" s="87" t="n">
        <v>2081</v>
      </c>
      <c r="I101" s="88" t="s">
        <v>141</v>
      </c>
      <c r="J101" s="89" t="str">
        <f aca="false">IF($B101="","",IF(N($H101)&lt;=0,"Montant ?",IF($D101="RECETTE",IF(COUNTIF(PARAMETRES!$E$5:$E$9,$E101)=0,"Catégorie ?","OK"),IF($D101="DEPENSE",IF(COUNTIF(PARAMETRES!$G$5:$G$20,$E101)=0,"Catégorie ?","OK"),"Type ?"))))</f>
        <v>OK</v>
      </c>
    </row>
    <row r="102" customFormat="false" ht="16.5" hidden="false" customHeight="true" outlineLevel="0" collapsed="false">
      <c r="A102" s="72" t="n">
        <f aca="false">IF($B102="","",ROW()-7)</f>
        <v>95</v>
      </c>
      <c r="B102" s="73" t="n">
        <v>46252</v>
      </c>
      <c r="C102" s="74" t="n">
        <f aca="false">IF($B102="","",YEAR($B102)*100+MONTH($B102))</f>
        <v>202608</v>
      </c>
      <c r="D102" s="75" t="s">
        <v>142</v>
      </c>
      <c r="E102" s="76" t="s">
        <v>99</v>
      </c>
      <c r="F102" s="76" t="s">
        <v>105</v>
      </c>
      <c r="G102" s="77" t="s">
        <v>143</v>
      </c>
      <c r="H102" s="78" t="n">
        <v>165</v>
      </c>
      <c r="I102" s="79" t="s">
        <v>141</v>
      </c>
      <c r="J102" s="80" t="str">
        <f aca="false">IF($B102="","",IF(N($H102)&lt;=0,"Montant ?",IF($D102="RECETTE",IF(COUNTIF(PARAMETRES!$E$5:$E$9,$E102)=0,"Catégorie ?","OK"),IF($D102="DEPENSE",IF(COUNTIF(PARAMETRES!$G$5:$G$20,$E102)=0,"Catégorie ?","OK"),"Type ?"))))</f>
        <v>OK</v>
      </c>
    </row>
    <row r="103" customFormat="false" ht="16.5" hidden="false" customHeight="true" outlineLevel="0" collapsed="false">
      <c r="A103" s="81" t="n">
        <f aca="false">IF($B103="","",ROW()-7)</f>
        <v>96</v>
      </c>
      <c r="B103" s="82" t="n">
        <v>46252</v>
      </c>
      <c r="C103" s="83" t="n">
        <f aca="false">IF($B103="","",YEAR($B103)*100+MONTH($B103))</f>
        <v>202608</v>
      </c>
      <c r="D103" s="84" t="s">
        <v>142</v>
      </c>
      <c r="E103" s="85" t="s">
        <v>103</v>
      </c>
      <c r="F103" s="85" t="s">
        <v>100</v>
      </c>
      <c r="G103" s="86" t="s">
        <v>143</v>
      </c>
      <c r="H103" s="87" t="n">
        <v>150</v>
      </c>
      <c r="I103" s="88" t="s">
        <v>141</v>
      </c>
      <c r="J103" s="89" t="str">
        <f aca="false">IF($B103="","",IF(N($H103)&lt;=0,"Montant ?",IF($D103="RECETTE",IF(COUNTIF(PARAMETRES!$E$5:$E$9,$E103)=0,"Catégorie ?","OK"),IF($D103="DEPENSE",IF(COUNTIF(PARAMETRES!$G$5:$G$20,$E103)=0,"Catégorie ?","OK"),"Type ?"))))</f>
        <v>OK</v>
      </c>
    </row>
    <row r="104" customFormat="false" ht="16.5" hidden="false" customHeight="true" outlineLevel="0" collapsed="false">
      <c r="A104" s="72" t="n">
        <f aca="false">IF($B104="","",ROW()-7)</f>
        <v>97</v>
      </c>
      <c r="B104" s="73" t="n">
        <v>46252</v>
      </c>
      <c r="C104" s="74" t="n">
        <f aca="false">IF($B104="","",YEAR($B104)*100+MONTH($B104))</f>
        <v>202608</v>
      </c>
      <c r="D104" s="75" t="s">
        <v>142</v>
      </c>
      <c r="E104" s="76" t="s">
        <v>101</v>
      </c>
      <c r="F104" s="76" t="s">
        <v>94</v>
      </c>
      <c r="G104" s="77" t="s">
        <v>143</v>
      </c>
      <c r="H104" s="78" t="n">
        <v>300</v>
      </c>
      <c r="I104" s="79" t="s">
        <v>141</v>
      </c>
      <c r="J104" s="80" t="str">
        <f aca="false">IF($B104="","",IF(N($H104)&lt;=0,"Montant ?",IF($D104="RECETTE",IF(COUNTIF(PARAMETRES!$E$5:$E$9,$E104)=0,"Catégorie ?","OK"),IF($D104="DEPENSE",IF(COUNTIF(PARAMETRES!$G$5:$G$20,$E104)=0,"Catégorie ?","OK"),"Type ?"))))</f>
        <v>OK</v>
      </c>
    </row>
    <row r="105" customFormat="false" ht="16.5" hidden="false" customHeight="true" outlineLevel="0" collapsed="false">
      <c r="A105" s="81" t="n">
        <f aca="false">IF($B105="","",ROW()-7)</f>
        <v>98</v>
      </c>
      <c r="B105" s="82" t="n">
        <v>46253</v>
      </c>
      <c r="C105" s="83" t="n">
        <f aca="false">IF($B105="","",YEAR($B105)*100+MONTH($B105))</f>
        <v>202608</v>
      </c>
      <c r="D105" s="84" t="s">
        <v>137</v>
      </c>
      <c r="E105" s="85" t="s">
        <v>138</v>
      </c>
      <c r="F105" s="85" t="s">
        <v>139</v>
      </c>
      <c r="G105" s="86" t="s">
        <v>140</v>
      </c>
      <c r="H105" s="87" t="n">
        <v>2002</v>
      </c>
      <c r="I105" s="88" t="s">
        <v>141</v>
      </c>
      <c r="J105" s="89" t="str">
        <f aca="false">IF($B105="","",IF(N($H105)&lt;=0,"Montant ?",IF($D105="RECETTE",IF(COUNTIF(PARAMETRES!$E$5:$E$9,$E105)=0,"Catégorie ?","OK"),IF($D105="DEPENSE",IF(COUNTIF(PARAMETRES!$G$5:$G$20,$E105)=0,"Catégorie ?","OK"),"Type ?"))))</f>
        <v>OK</v>
      </c>
    </row>
    <row r="106" customFormat="false" ht="16.5" hidden="false" customHeight="true" outlineLevel="0" collapsed="false">
      <c r="A106" s="72" t="n">
        <f aca="false">IF($B106="","",ROW()-7)</f>
        <v>99</v>
      </c>
      <c r="B106" s="73" t="n">
        <v>46253</v>
      </c>
      <c r="C106" s="74" t="n">
        <f aca="false">IF($B106="","",YEAR($B106)*100+MONTH($B106))</f>
        <v>202608</v>
      </c>
      <c r="D106" s="75" t="s">
        <v>142</v>
      </c>
      <c r="E106" s="76" t="s">
        <v>93</v>
      </c>
      <c r="F106" s="76" t="s">
        <v>98</v>
      </c>
      <c r="G106" s="77" t="s">
        <v>143</v>
      </c>
      <c r="H106" s="78" t="n">
        <v>306</v>
      </c>
      <c r="I106" s="79" t="s">
        <v>141</v>
      </c>
      <c r="J106" s="80" t="str">
        <f aca="false">IF($B106="","",IF(N($H106)&lt;=0,"Montant ?",IF($D106="RECETTE",IF(COUNTIF(PARAMETRES!$E$5:$E$9,$E106)=0,"Catégorie ?","OK"),IF($D106="DEPENSE",IF(COUNTIF(PARAMETRES!$G$5:$G$20,$E106)=0,"Catégorie ?","OK"),"Type ?"))))</f>
        <v>OK</v>
      </c>
    </row>
    <row r="107" customFormat="false" ht="16.5" hidden="false" customHeight="true" outlineLevel="0" collapsed="false">
      <c r="A107" s="81" t="n">
        <f aca="false">IF($B107="","",ROW()-7)</f>
        <v>100</v>
      </c>
      <c r="B107" s="82" t="n">
        <v>46253</v>
      </c>
      <c r="C107" s="83" t="n">
        <f aca="false">IF($B107="","",YEAR($B107)*100+MONTH($B107))</f>
        <v>202608</v>
      </c>
      <c r="D107" s="84" t="s">
        <v>142</v>
      </c>
      <c r="E107" s="85" t="s">
        <v>103</v>
      </c>
      <c r="F107" s="85" t="s">
        <v>100</v>
      </c>
      <c r="G107" s="86" t="s">
        <v>143</v>
      </c>
      <c r="H107" s="87" t="n">
        <v>150</v>
      </c>
      <c r="I107" s="88" t="s">
        <v>141</v>
      </c>
      <c r="J107" s="89" t="str">
        <f aca="false">IF($B107="","",IF(N($H107)&lt;=0,"Montant ?",IF($D107="RECETTE",IF(COUNTIF(PARAMETRES!$E$5:$E$9,$E107)=0,"Catégorie ?","OK"),IF($D107="DEPENSE",IF(COUNTIF(PARAMETRES!$G$5:$G$20,$E107)=0,"Catégorie ?","OK"),"Type ?"))))</f>
        <v>OK</v>
      </c>
    </row>
    <row r="108" customFormat="false" ht="16.5" hidden="false" customHeight="true" outlineLevel="0" collapsed="false">
      <c r="A108" s="72" t="n">
        <f aca="false">IF($B108="","",ROW()-7)</f>
        <v>101</v>
      </c>
      <c r="B108" s="73" t="n">
        <v>46253</v>
      </c>
      <c r="C108" s="74" t="n">
        <f aca="false">IF($B108="","",YEAR($B108)*100+MONTH($B108))</f>
        <v>202608</v>
      </c>
      <c r="D108" s="75" t="s">
        <v>142</v>
      </c>
      <c r="E108" s="76" t="s">
        <v>101</v>
      </c>
      <c r="F108" s="76" t="s">
        <v>94</v>
      </c>
      <c r="G108" s="77" t="s">
        <v>143</v>
      </c>
      <c r="H108" s="78" t="n">
        <v>200</v>
      </c>
      <c r="I108" s="79" t="s">
        <v>141</v>
      </c>
      <c r="J108" s="80" t="str">
        <f aca="false">IF($B108="","",IF(N($H108)&lt;=0,"Montant ?",IF($D108="RECETTE",IF(COUNTIF(PARAMETRES!$E$5:$E$9,$E108)=0,"Catégorie ?","OK"),IF($D108="DEPENSE",IF(COUNTIF(PARAMETRES!$G$5:$G$20,$E108)=0,"Catégorie ?","OK"),"Type ?"))))</f>
        <v>OK</v>
      </c>
    </row>
    <row r="109" customFormat="false" ht="16.5" hidden="false" customHeight="true" outlineLevel="0" collapsed="false">
      <c r="A109" s="81" t="n">
        <f aca="false">IF($B109="","",ROW()-7)</f>
        <v>102</v>
      </c>
      <c r="B109" s="82" t="n">
        <v>46253</v>
      </c>
      <c r="C109" s="83" t="n">
        <f aca="false">IF($B109="","",YEAR($B109)*100+MONTH($B109))</f>
        <v>202608</v>
      </c>
      <c r="D109" s="84" t="s">
        <v>142</v>
      </c>
      <c r="E109" s="85" t="s">
        <v>95</v>
      </c>
      <c r="F109" s="85" t="s">
        <v>102</v>
      </c>
      <c r="G109" s="86" t="s">
        <v>143</v>
      </c>
      <c r="H109" s="87" t="n">
        <v>1560</v>
      </c>
      <c r="I109" s="88" t="s">
        <v>141</v>
      </c>
      <c r="J109" s="89" t="str">
        <f aca="false">IF($B109="","",IF(N($H109)&lt;=0,"Montant ?",IF($D109="RECETTE",IF(COUNTIF(PARAMETRES!$E$5:$E$9,$E109)=0,"Catégorie ?","OK"),IF($D109="DEPENSE",IF(COUNTIF(PARAMETRES!$G$5:$G$20,$E109)=0,"Catégorie ?","OK"),"Type ?"))))</f>
        <v>OK</v>
      </c>
    </row>
    <row r="110" customFormat="false" ht="16.5" hidden="false" customHeight="true" outlineLevel="0" collapsed="false">
      <c r="A110" s="72" t="n">
        <f aca="false">IF($B110="","",ROW()-7)</f>
        <v>103</v>
      </c>
      <c r="B110" s="73" t="n">
        <v>46254</v>
      </c>
      <c r="C110" s="74" t="n">
        <f aca="false">IF($B110="","",YEAR($B110)*100+MONTH($B110))</f>
        <v>202608</v>
      </c>
      <c r="D110" s="75" t="s">
        <v>137</v>
      </c>
      <c r="E110" s="76" t="s">
        <v>138</v>
      </c>
      <c r="F110" s="76" t="s">
        <v>139</v>
      </c>
      <c r="G110" s="77" t="s">
        <v>140</v>
      </c>
      <c r="H110" s="78" t="n">
        <v>2253</v>
      </c>
      <c r="I110" s="79" t="s">
        <v>141</v>
      </c>
      <c r="J110" s="80" t="str">
        <f aca="false">IF($B110="","",IF(N($H110)&lt;=0,"Montant ?",IF($D110="RECETTE",IF(COUNTIF(PARAMETRES!$E$5:$E$9,$E110)=0,"Catégorie ?","OK"),IF($D110="DEPENSE",IF(COUNTIF(PARAMETRES!$G$5:$G$20,$E110)=0,"Catégorie ?","OK"),"Type ?"))))</f>
        <v>OK</v>
      </c>
    </row>
    <row r="111" customFormat="false" ht="16.5" hidden="false" customHeight="true" outlineLevel="0" collapsed="false">
      <c r="A111" s="81" t="n">
        <f aca="false">IF($B111="","",ROW()-7)</f>
        <v>104</v>
      </c>
      <c r="B111" s="82" t="n">
        <v>46254</v>
      </c>
      <c r="C111" s="83" t="n">
        <f aca="false">IF($B111="","",YEAR($B111)*100+MONTH($B111))</f>
        <v>202608</v>
      </c>
      <c r="D111" s="84" t="s">
        <v>142</v>
      </c>
      <c r="E111" s="85" t="s">
        <v>99</v>
      </c>
      <c r="F111" s="85" t="s">
        <v>105</v>
      </c>
      <c r="G111" s="86" t="s">
        <v>143</v>
      </c>
      <c r="H111" s="87" t="n">
        <v>165</v>
      </c>
      <c r="I111" s="88" t="s">
        <v>141</v>
      </c>
      <c r="J111" s="89" t="str">
        <f aca="false">IF($B111="","",IF(N($H111)&lt;=0,"Montant ?",IF($D111="RECETTE",IF(COUNTIF(PARAMETRES!$E$5:$E$9,$E111)=0,"Catégorie ?","OK"),IF($D111="DEPENSE",IF(COUNTIF(PARAMETRES!$G$5:$G$20,$E111)=0,"Catégorie ?","OK"),"Type ?"))))</f>
        <v>OK</v>
      </c>
    </row>
    <row r="112" customFormat="false" ht="16.5" hidden="false" customHeight="true" outlineLevel="0" collapsed="false">
      <c r="A112" s="72" t="n">
        <f aca="false">IF($B112="","",ROW()-7)</f>
        <v>105</v>
      </c>
      <c r="B112" s="73" t="n">
        <v>46254</v>
      </c>
      <c r="C112" s="74" t="n">
        <f aca="false">IF($B112="","",YEAR($B112)*100+MONTH($B112))</f>
        <v>202608</v>
      </c>
      <c r="D112" s="75" t="s">
        <v>142</v>
      </c>
      <c r="E112" s="76" t="s">
        <v>103</v>
      </c>
      <c r="F112" s="76" t="s">
        <v>100</v>
      </c>
      <c r="G112" s="77" t="s">
        <v>143</v>
      </c>
      <c r="H112" s="78" t="n">
        <v>150</v>
      </c>
      <c r="I112" s="79" t="s">
        <v>141</v>
      </c>
      <c r="J112" s="80" t="str">
        <f aca="false">IF($B112="","",IF(N($H112)&lt;=0,"Montant ?",IF($D112="RECETTE",IF(COUNTIF(PARAMETRES!$E$5:$E$9,$E112)=0,"Catégorie ?","OK"),IF($D112="DEPENSE",IF(COUNTIF(PARAMETRES!$G$5:$G$20,$E112)=0,"Catégorie ?","OK"),"Type ?"))))</f>
        <v>OK</v>
      </c>
    </row>
    <row r="113" customFormat="false" ht="16.5" hidden="false" customHeight="true" outlineLevel="0" collapsed="false">
      <c r="A113" s="81" t="n">
        <f aca="false">IF($B113="","",ROW()-7)</f>
        <v>106</v>
      </c>
      <c r="B113" s="82" t="n">
        <v>46254</v>
      </c>
      <c r="C113" s="83" t="n">
        <f aca="false">IF($B113="","",YEAR($B113)*100+MONTH($B113))</f>
        <v>202608</v>
      </c>
      <c r="D113" s="84" t="s">
        <v>142</v>
      </c>
      <c r="E113" s="85" t="s">
        <v>101</v>
      </c>
      <c r="F113" s="85" t="s">
        <v>94</v>
      </c>
      <c r="G113" s="86" t="s">
        <v>143</v>
      </c>
      <c r="H113" s="87" t="n">
        <v>300</v>
      </c>
      <c r="I113" s="88" t="s">
        <v>141</v>
      </c>
      <c r="J113" s="89" t="str">
        <f aca="false">IF($B113="","",IF(N($H113)&lt;=0,"Montant ?",IF($D113="RECETTE",IF(COUNTIF(PARAMETRES!$E$5:$E$9,$E113)=0,"Catégorie ?","OK"),IF($D113="DEPENSE",IF(COUNTIF(PARAMETRES!$G$5:$G$20,$E113)=0,"Catégorie ?","OK"),"Type ?"))))</f>
        <v>OK</v>
      </c>
    </row>
    <row r="114" customFormat="false" ht="16.5" hidden="false" customHeight="true" outlineLevel="0" collapsed="false">
      <c r="A114" s="72" t="n">
        <f aca="false">IF($B114="","",ROW()-7)</f>
        <v>107</v>
      </c>
      <c r="B114" s="73" t="n">
        <v>46254</v>
      </c>
      <c r="C114" s="74" t="n">
        <f aca="false">IF($B114="","",YEAR($B114)*100+MONTH($B114))</f>
        <v>202608</v>
      </c>
      <c r="D114" s="75" t="s">
        <v>142</v>
      </c>
      <c r="E114" s="76" t="s">
        <v>99</v>
      </c>
      <c r="F114" s="76" t="s">
        <v>115</v>
      </c>
      <c r="G114" s="77" t="s">
        <v>143</v>
      </c>
      <c r="H114" s="78" t="n">
        <v>55</v>
      </c>
      <c r="I114" s="79" t="s">
        <v>141</v>
      </c>
      <c r="J114" s="80" t="str">
        <f aca="false">IF($B114="","",IF(N($H114)&lt;=0,"Montant ?",IF($D114="RECETTE",IF(COUNTIF(PARAMETRES!$E$5:$E$9,$E114)=0,"Catégorie ?","OK"),IF($D114="DEPENSE",IF(COUNTIF(PARAMETRES!$G$5:$G$20,$E114)=0,"Catégorie ?","OK"),"Type ?"))))</f>
        <v>OK</v>
      </c>
    </row>
    <row r="115" customFormat="false" ht="16.5" hidden="false" customHeight="true" outlineLevel="0" collapsed="false">
      <c r="A115" s="81" t="n">
        <f aca="false">IF($B115="","",ROW()-7)</f>
        <v>108</v>
      </c>
      <c r="B115" s="82" t="n">
        <v>46255</v>
      </c>
      <c r="C115" s="83" t="n">
        <f aca="false">IF($B115="","",YEAR($B115)*100+MONTH($B115))</f>
        <v>202608</v>
      </c>
      <c r="D115" s="84" t="s">
        <v>137</v>
      </c>
      <c r="E115" s="85" t="s">
        <v>138</v>
      </c>
      <c r="F115" s="85" t="s">
        <v>139</v>
      </c>
      <c r="G115" s="86" t="s">
        <v>140</v>
      </c>
      <c r="H115" s="87" t="n">
        <v>1607</v>
      </c>
      <c r="I115" s="88" t="s">
        <v>141</v>
      </c>
      <c r="J115" s="89" t="str">
        <f aca="false">IF($B115="","",IF(N($H115)&lt;=0,"Montant ?",IF($D115="RECETTE",IF(COUNTIF(PARAMETRES!$E$5:$E$9,$E115)=0,"Catégorie ?","OK"),IF($D115="DEPENSE",IF(COUNTIF(PARAMETRES!$G$5:$G$20,$E115)=0,"Catégorie ?","OK"),"Type ?"))))</f>
        <v>OK</v>
      </c>
    </row>
    <row r="116" customFormat="false" ht="16.5" hidden="false" customHeight="true" outlineLevel="0" collapsed="false">
      <c r="A116" s="72" t="n">
        <f aca="false">IF($B116="","",ROW()-7)</f>
        <v>109</v>
      </c>
      <c r="B116" s="73" t="n">
        <v>46255</v>
      </c>
      <c r="C116" s="74" t="n">
        <f aca="false">IF($B116="","",YEAR($B116)*100+MONTH($B116))</f>
        <v>202608</v>
      </c>
      <c r="D116" s="75" t="s">
        <v>142</v>
      </c>
      <c r="E116" s="76" t="s">
        <v>93</v>
      </c>
      <c r="F116" s="76" t="s">
        <v>98</v>
      </c>
      <c r="G116" s="77" t="s">
        <v>143</v>
      </c>
      <c r="H116" s="78" t="n">
        <v>306</v>
      </c>
      <c r="I116" s="79" t="s">
        <v>141</v>
      </c>
      <c r="J116" s="80" t="str">
        <f aca="false">IF($B116="","",IF(N($H116)&lt;=0,"Montant ?",IF($D116="RECETTE",IF(COUNTIF(PARAMETRES!$E$5:$E$9,$E116)=0,"Catégorie ?","OK"),IF($D116="DEPENSE",IF(COUNTIF(PARAMETRES!$G$5:$G$20,$E116)=0,"Catégorie ?","OK"),"Type ?"))))</f>
        <v>OK</v>
      </c>
    </row>
    <row r="117" customFormat="false" ht="16.5" hidden="false" customHeight="true" outlineLevel="0" collapsed="false">
      <c r="A117" s="81" t="n">
        <f aca="false">IF($B117="","",ROW()-7)</f>
        <v>110</v>
      </c>
      <c r="B117" s="82" t="n">
        <v>46255</v>
      </c>
      <c r="C117" s="83" t="n">
        <f aca="false">IF($B117="","",YEAR($B117)*100+MONTH($B117))</f>
        <v>202608</v>
      </c>
      <c r="D117" s="84" t="s">
        <v>142</v>
      </c>
      <c r="E117" s="85" t="s">
        <v>103</v>
      </c>
      <c r="F117" s="85" t="s">
        <v>100</v>
      </c>
      <c r="G117" s="86" t="s">
        <v>143</v>
      </c>
      <c r="H117" s="87" t="n">
        <v>150</v>
      </c>
      <c r="I117" s="88" t="s">
        <v>141</v>
      </c>
      <c r="J117" s="89" t="str">
        <f aca="false">IF($B117="","",IF(N($H117)&lt;=0,"Montant ?",IF($D117="RECETTE",IF(COUNTIF(PARAMETRES!$E$5:$E$9,$E117)=0,"Catégorie ?","OK"),IF($D117="DEPENSE",IF(COUNTIF(PARAMETRES!$G$5:$G$20,$E117)=0,"Catégorie ?","OK"),"Type ?"))))</f>
        <v>OK</v>
      </c>
    </row>
    <row r="118" customFormat="false" ht="16.5" hidden="false" customHeight="true" outlineLevel="0" collapsed="false">
      <c r="A118" s="72" t="n">
        <f aca="false">IF($B118="","",ROW()-7)</f>
        <v>111</v>
      </c>
      <c r="B118" s="73" t="n">
        <v>46255</v>
      </c>
      <c r="C118" s="74" t="n">
        <f aca="false">IF($B118="","",YEAR($B118)*100+MONTH($B118))</f>
        <v>202608</v>
      </c>
      <c r="D118" s="75" t="s">
        <v>142</v>
      </c>
      <c r="E118" s="76" t="s">
        <v>101</v>
      </c>
      <c r="F118" s="76" t="s">
        <v>94</v>
      </c>
      <c r="G118" s="77" t="s">
        <v>143</v>
      </c>
      <c r="H118" s="78" t="n">
        <v>100</v>
      </c>
      <c r="I118" s="79" t="s">
        <v>141</v>
      </c>
      <c r="J118" s="80" t="str">
        <f aca="false">IF($B118="","",IF(N($H118)&lt;=0,"Montant ?",IF($D118="RECETTE",IF(COUNTIF(PARAMETRES!$E$5:$E$9,$E118)=0,"Catégorie ?","OK"),IF($D118="DEPENSE",IF(COUNTIF(PARAMETRES!$G$5:$G$20,$E118)=0,"Catégorie ?","OK"),"Type ?"))))</f>
        <v>OK</v>
      </c>
    </row>
    <row r="119" customFormat="false" ht="16.5" hidden="false" customHeight="true" outlineLevel="0" collapsed="false">
      <c r="A119" s="81" t="n">
        <f aca="false">IF($B119="","",ROW()-7)</f>
        <v>112</v>
      </c>
      <c r="B119" s="82" t="n">
        <v>46256</v>
      </c>
      <c r="C119" s="83" t="n">
        <f aca="false">IF($B119="","",YEAR($B119)*100+MONTH($B119))</f>
        <v>202608</v>
      </c>
      <c r="D119" s="84" t="s">
        <v>137</v>
      </c>
      <c r="E119" s="85" t="s">
        <v>138</v>
      </c>
      <c r="F119" s="85" t="s">
        <v>139</v>
      </c>
      <c r="G119" s="86" t="s">
        <v>140</v>
      </c>
      <c r="H119" s="87" t="n">
        <v>1853</v>
      </c>
      <c r="I119" s="88" t="s">
        <v>141</v>
      </c>
      <c r="J119" s="89" t="str">
        <f aca="false">IF($B119="","",IF(N($H119)&lt;=0,"Montant ?",IF($D119="RECETTE",IF(COUNTIF(PARAMETRES!$E$5:$E$9,$E119)=0,"Catégorie ?","OK"),IF($D119="DEPENSE",IF(COUNTIF(PARAMETRES!$G$5:$G$20,$E119)=0,"Catégorie ?","OK"),"Type ?"))))</f>
        <v>OK</v>
      </c>
    </row>
    <row r="120" customFormat="false" ht="16.5" hidden="false" customHeight="true" outlineLevel="0" collapsed="false">
      <c r="A120" s="72" t="n">
        <f aca="false">IF($B120="","",ROW()-7)</f>
        <v>113</v>
      </c>
      <c r="B120" s="73" t="n">
        <v>46256</v>
      </c>
      <c r="C120" s="74" t="n">
        <f aca="false">IF($B120="","",YEAR($B120)*100+MONTH($B120))</f>
        <v>202608</v>
      </c>
      <c r="D120" s="75" t="s">
        <v>142</v>
      </c>
      <c r="E120" s="76" t="s">
        <v>97</v>
      </c>
      <c r="F120" s="76" t="s">
        <v>107</v>
      </c>
      <c r="G120" s="77" t="s">
        <v>143</v>
      </c>
      <c r="H120" s="78" t="n">
        <v>340</v>
      </c>
      <c r="I120" s="79" t="s">
        <v>141</v>
      </c>
      <c r="J120" s="80" t="str">
        <f aca="false">IF($B120="","",IF(N($H120)&lt;=0,"Montant ?",IF($D120="RECETTE",IF(COUNTIF(PARAMETRES!$E$5:$E$9,$E120)=0,"Catégorie ?","OK"),IF($D120="DEPENSE",IF(COUNTIF(PARAMETRES!$G$5:$G$20,$E120)=0,"Catégorie ?","OK"),"Type ?"))))</f>
        <v>OK</v>
      </c>
    </row>
    <row r="121" customFormat="false" ht="16.5" hidden="false" customHeight="true" outlineLevel="0" collapsed="false">
      <c r="A121" s="81" t="n">
        <f aca="false">IF($B121="","",ROW()-7)</f>
        <v>114</v>
      </c>
      <c r="B121" s="82" t="n">
        <v>46256</v>
      </c>
      <c r="C121" s="83" t="n">
        <f aca="false">IF($B121="","",YEAR($B121)*100+MONTH($B121))</f>
        <v>202608</v>
      </c>
      <c r="D121" s="84" t="s">
        <v>142</v>
      </c>
      <c r="E121" s="85" t="s">
        <v>103</v>
      </c>
      <c r="F121" s="85" t="s">
        <v>100</v>
      </c>
      <c r="G121" s="86" t="s">
        <v>143</v>
      </c>
      <c r="H121" s="87" t="n">
        <v>150</v>
      </c>
      <c r="I121" s="88" t="s">
        <v>141</v>
      </c>
      <c r="J121" s="89" t="str">
        <f aca="false">IF($B121="","",IF(N($H121)&lt;=0,"Montant ?",IF($D121="RECETTE",IF(COUNTIF(PARAMETRES!$E$5:$E$9,$E121)=0,"Catégorie ?","OK"),IF($D121="DEPENSE",IF(COUNTIF(PARAMETRES!$G$5:$G$20,$E121)=0,"Catégorie ?","OK"),"Type ?"))))</f>
        <v>OK</v>
      </c>
    </row>
    <row r="122" customFormat="false" ht="16.5" hidden="false" customHeight="true" outlineLevel="0" collapsed="false">
      <c r="A122" s="72" t="n">
        <f aca="false">IF($B122="","",ROW()-7)</f>
        <v>115</v>
      </c>
      <c r="B122" s="73" t="n">
        <v>46256</v>
      </c>
      <c r="C122" s="74" t="n">
        <f aca="false">IF($B122="","",YEAR($B122)*100+MONTH($B122))</f>
        <v>202608</v>
      </c>
      <c r="D122" s="75" t="s">
        <v>142</v>
      </c>
      <c r="E122" s="76" t="s">
        <v>101</v>
      </c>
      <c r="F122" s="76" t="s">
        <v>94</v>
      </c>
      <c r="G122" s="77" t="s">
        <v>143</v>
      </c>
      <c r="H122" s="78" t="n">
        <v>150</v>
      </c>
      <c r="I122" s="79" t="s">
        <v>141</v>
      </c>
      <c r="J122" s="80" t="str">
        <f aca="false">IF($B122="","",IF(N($H122)&lt;=0,"Montant ?",IF($D122="RECETTE",IF(COUNTIF(PARAMETRES!$E$5:$E$9,$E122)=0,"Catégorie ?","OK"),IF($D122="DEPENSE",IF(COUNTIF(PARAMETRES!$G$5:$G$20,$E122)=0,"Catégorie ?","OK"),"Type ?"))))</f>
        <v>OK</v>
      </c>
    </row>
    <row r="123" customFormat="false" ht="16.5" hidden="false" customHeight="true" outlineLevel="0" collapsed="false">
      <c r="A123" s="81" t="n">
        <f aca="false">IF($B123="","",ROW()-7)</f>
        <v>116</v>
      </c>
      <c r="B123" s="82" t="n">
        <v>46256</v>
      </c>
      <c r="C123" s="83" t="n">
        <f aca="false">IF($B123="","",YEAR($B123)*100+MONTH($B123))</f>
        <v>202608</v>
      </c>
      <c r="D123" s="84" t="s">
        <v>142</v>
      </c>
      <c r="E123" s="85" t="s">
        <v>93</v>
      </c>
      <c r="F123" s="85" t="s">
        <v>109</v>
      </c>
      <c r="G123" s="86" t="s">
        <v>143</v>
      </c>
      <c r="H123" s="87" t="n">
        <v>558</v>
      </c>
      <c r="I123" s="88" t="s">
        <v>141</v>
      </c>
      <c r="J123" s="89" t="str">
        <f aca="false">IF($B123="","",IF(N($H123)&lt;=0,"Montant ?",IF($D123="RECETTE",IF(COUNTIF(PARAMETRES!$E$5:$E$9,$E123)=0,"Catégorie ?","OK"),IF($D123="DEPENSE",IF(COUNTIF(PARAMETRES!$G$5:$G$20,$E123)=0,"Catégorie ?","OK"),"Type ?"))))</f>
        <v>OK</v>
      </c>
    </row>
    <row r="124" customFormat="false" ht="16.5" hidden="false" customHeight="true" outlineLevel="0" collapsed="false">
      <c r="A124" s="72" t="n">
        <f aca="false">IF($B124="","",ROW()-7)</f>
        <v>117</v>
      </c>
      <c r="B124" s="73" t="n">
        <v>46257</v>
      </c>
      <c r="C124" s="74" t="n">
        <f aca="false">IF($B124="","",YEAR($B124)*100+MONTH($B124))</f>
        <v>202608</v>
      </c>
      <c r="D124" s="75" t="s">
        <v>137</v>
      </c>
      <c r="E124" s="76" t="s">
        <v>138</v>
      </c>
      <c r="F124" s="76" t="s">
        <v>139</v>
      </c>
      <c r="G124" s="77" t="s">
        <v>140</v>
      </c>
      <c r="H124" s="78" t="n">
        <v>2141</v>
      </c>
      <c r="I124" s="79" t="s">
        <v>141</v>
      </c>
      <c r="J124" s="80" t="str">
        <f aca="false">IF($B124="","",IF(N($H124)&lt;=0,"Montant ?",IF($D124="RECETTE",IF(COUNTIF(PARAMETRES!$E$5:$E$9,$E124)=0,"Catégorie ?","OK"),IF($D124="DEPENSE",IF(COUNTIF(PARAMETRES!$G$5:$G$20,$E124)=0,"Catégorie ?","OK"),"Type ?"))))</f>
        <v>OK</v>
      </c>
    </row>
    <row r="125" customFormat="false" ht="16.5" hidden="false" customHeight="true" outlineLevel="0" collapsed="false">
      <c r="A125" s="81" t="n">
        <f aca="false">IF($B125="","",ROW()-7)</f>
        <v>118</v>
      </c>
      <c r="B125" s="82" t="n">
        <v>46257</v>
      </c>
      <c r="C125" s="83" t="n">
        <f aca="false">IF($B125="","",YEAR($B125)*100+MONTH($B125))</f>
        <v>202608</v>
      </c>
      <c r="D125" s="84" t="s">
        <v>142</v>
      </c>
      <c r="E125" s="85" t="s">
        <v>93</v>
      </c>
      <c r="F125" s="85" t="s">
        <v>98</v>
      </c>
      <c r="G125" s="86" t="s">
        <v>143</v>
      </c>
      <c r="H125" s="87" t="n">
        <v>306</v>
      </c>
      <c r="I125" s="88" t="s">
        <v>141</v>
      </c>
      <c r="J125" s="89" t="str">
        <f aca="false">IF($B125="","",IF(N($H125)&lt;=0,"Montant ?",IF($D125="RECETTE",IF(COUNTIF(PARAMETRES!$E$5:$E$9,$E125)=0,"Catégorie ?","OK"),IF($D125="DEPENSE",IF(COUNTIF(PARAMETRES!$G$5:$G$20,$E125)=0,"Catégorie ?","OK"),"Type ?"))))</f>
        <v>OK</v>
      </c>
    </row>
    <row r="126" customFormat="false" ht="16.5" hidden="false" customHeight="true" outlineLevel="0" collapsed="false">
      <c r="A126" s="72" t="n">
        <f aca="false">IF($B126="","",ROW()-7)</f>
        <v>119</v>
      </c>
      <c r="B126" s="73" t="n">
        <v>46257</v>
      </c>
      <c r="C126" s="74" t="n">
        <f aca="false">IF($B126="","",YEAR($B126)*100+MONTH($B126))</f>
        <v>202608</v>
      </c>
      <c r="D126" s="75" t="s">
        <v>142</v>
      </c>
      <c r="E126" s="76" t="s">
        <v>103</v>
      </c>
      <c r="F126" s="76" t="s">
        <v>100</v>
      </c>
      <c r="G126" s="77" t="s">
        <v>143</v>
      </c>
      <c r="H126" s="78" t="n">
        <v>150</v>
      </c>
      <c r="I126" s="79" t="s">
        <v>141</v>
      </c>
      <c r="J126" s="80" t="str">
        <f aca="false">IF($B126="","",IF(N($H126)&lt;=0,"Montant ?",IF($D126="RECETTE",IF(COUNTIF(PARAMETRES!$E$5:$E$9,$E126)=0,"Catégorie ?","OK"),IF($D126="DEPENSE",IF(COUNTIF(PARAMETRES!$G$5:$G$20,$E126)=0,"Catégorie ?","OK"),"Type ?"))))</f>
        <v>OK</v>
      </c>
    </row>
    <row r="127" customFormat="false" ht="16.5" hidden="false" customHeight="true" outlineLevel="0" collapsed="false">
      <c r="A127" s="81" t="n">
        <f aca="false">IF($B127="","",ROW()-7)</f>
        <v>120</v>
      </c>
      <c r="B127" s="82" t="n">
        <v>46257</v>
      </c>
      <c r="C127" s="83" t="n">
        <f aca="false">IF($B127="","",YEAR($B127)*100+MONTH($B127))</f>
        <v>202608</v>
      </c>
      <c r="D127" s="84" t="s">
        <v>142</v>
      </c>
      <c r="E127" s="85" t="s">
        <v>101</v>
      </c>
      <c r="F127" s="85" t="s">
        <v>94</v>
      </c>
      <c r="G127" s="86" t="s">
        <v>143</v>
      </c>
      <c r="H127" s="87" t="n">
        <v>150</v>
      </c>
      <c r="I127" s="88" t="s">
        <v>141</v>
      </c>
      <c r="J127" s="89" t="str">
        <f aca="false">IF($B127="","",IF(N($H127)&lt;=0,"Montant ?",IF($D127="RECETTE",IF(COUNTIF(PARAMETRES!$E$5:$E$9,$E127)=0,"Catégorie ?","OK"),IF($D127="DEPENSE",IF(COUNTIF(PARAMETRES!$G$5:$G$20,$E127)=0,"Catégorie ?","OK"),"Type ?"))))</f>
        <v>OK</v>
      </c>
    </row>
    <row r="128" customFormat="false" ht="16.5" hidden="false" customHeight="true" outlineLevel="0" collapsed="false">
      <c r="A128" s="72" t="n">
        <f aca="false">IF($B128="","",ROW()-7)</f>
        <v>121</v>
      </c>
      <c r="B128" s="73" t="n">
        <v>46257</v>
      </c>
      <c r="C128" s="74" t="n">
        <f aca="false">IF($B128="","",YEAR($B128)*100+MONTH($B128))</f>
        <v>202608</v>
      </c>
      <c r="D128" s="75" t="s">
        <v>142</v>
      </c>
      <c r="E128" s="76" t="s">
        <v>99</v>
      </c>
      <c r="F128" s="76" t="s">
        <v>105</v>
      </c>
      <c r="G128" s="77" t="s">
        <v>143</v>
      </c>
      <c r="H128" s="78" t="n">
        <v>165</v>
      </c>
      <c r="I128" s="79" t="s">
        <v>141</v>
      </c>
      <c r="J128" s="80" t="str">
        <f aca="false">IF($B128="","",IF(N($H128)&lt;=0,"Montant ?",IF($D128="RECETTE",IF(COUNTIF(PARAMETRES!$E$5:$E$9,$E128)=0,"Catégorie ?","OK"),IF($D128="DEPENSE",IF(COUNTIF(PARAMETRES!$G$5:$G$20,$E128)=0,"Catégorie ?","OK"),"Type ?"))))</f>
        <v>OK</v>
      </c>
    </row>
    <row r="129" customFormat="false" ht="16.5" hidden="false" customHeight="true" outlineLevel="0" collapsed="false">
      <c r="A129" s="81" t="n">
        <f aca="false">IF($B129="","",ROW()-7)</f>
        <v>122</v>
      </c>
      <c r="B129" s="82" t="n">
        <v>46257</v>
      </c>
      <c r="C129" s="83" t="n">
        <f aca="false">IF($B129="","",YEAR($B129)*100+MONTH($B129))</f>
        <v>202608</v>
      </c>
      <c r="D129" s="84" t="s">
        <v>142</v>
      </c>
      <c r="E129" s="85" t="s">
        <v>41</v>
      </c>
      <c r="F129" s="85" t="s">
        <v>144</v>
      </c>
      <c r="G129" s="86" t="s">
        <v>145</v>
      </c>
      <c r="H129" s="87" t="n">
        <v>600</v>
      </c>
      <c r="I129" s="88" t="s">
        <v>141</v>
      </c>
      <c r="J129" s="89" t="str">
        <f aca="false">IF($B129="","",IF(N($H129)&lt;=0,"Montant ?",IF($D129="RECETTE",IF(COUNTIF(PARAMETRES!$E$5:$E$9,$E129)=0,"Catégorie ?","OK"),IF($D129="DEPENSE",IF(COUNTIF(PARAMETRES!$G$5:$G$20,$E129)=0,"Catégorie ?","OK"),"Type ?"))))</f>
        <v>OK</v>
      </c>
    </row>
    <row r="130" customFormat="false" ht="16.5" hidden="false" customHeight="true" outlineLevel="0" collapsed="false">
      <c r="A130" s="72" t="n">
        <f aca="false">IF($B130="","",ROW()-7)</f>
        <v>123</v>
      </c>
      <c r="B130" s="73" t="n">
        <v>46257</v>
      </c>
      <c r="C130" s="74" t="n">
        <f aca="false">IF($B130="","",YEAR($B130)*100+MONTH($B130))</f>
        <v>202608</v>
      </c>
      <c r="D130" s="75" t="s">
        <v>142</v>
      </c>
      <c r="E130" s="76" t="s">
        <v>41</v>
      </c>
      <c r="F130" s="76" t="s">
        <v>146</v>
      </c>
      <c r="G130" s="77" t="s">
        <v>145</v>
      </c>
      <c r="H130" s="78" t="n">
        <v>400</v>
      </c>
      <c r="I130" s="79" t="s">
        <v>141</v>
      </c>
      <c r="J130" s="80" t="str">
        <f aca="false">IF($B130="","",IF(N($H130)&lt;=0,"Montant ?",IF($D130="RECETTE",IF(COUNTIF(PARAMETRES!$E$5:$E$9,$E130)=0,"Catégorie ?","OK"),IF($D130="DEPENSE",IF(COUNTIF(PARAMETRES!$G$5:$G$20,$E130)=0,"Catégorie ?","OK"),"Type ?"))))</f>
        <v>OK</v>
      </c>
    </row>
    <row r="131" customFormat="false" ht="16.5" hidden="false" customHeight="true" outlineLevel="0" collapsed="false">
      <c r="A131" s="81" t="n">
        <f aca="false">IF($B131="","",ROW()-7)</f>
        <v>124</v>
      </c>
      <c r="B131" s="82" t="n">
        <v>46257</v>
      </c>
      <c r="C131" s="83" t="n">
        <f aca="false">IF($B131="","",YEAR($B131)*100+MONTH($B131))</f>
        <v>202608</v>
      </c>
      <c r="D131" s="84" t="s">
        <v>142</v>
      </c>
      <c r="E131" s="85" t="s">
        <v>41</v>
      </c>
      <c r="F131" s="85" t="s">
        <v>147</v>
      </c>
      <c r="G131" s="86" t="s">
        <v>145</v>
      </c>
      <c r="H131" s="87" t="n">
        <v>400</v>
      </c>
      <c r="I131" s="88" t="s">
        <v>141</v>
      </c>
      <c r="J131" s="89" t="str">
        <f aca="false">IF($B131="","",IF(N($H131)&lt;=0,"Montant ?",IF($D131="RECETTE",IF(COUNTIF(PARAMETRES!$E$5:$E$9,$E131)=0,"Catégorie ?","OK"),IF($D131="DEPENSE",IF(COUNTIF(PARAMETRES!$G$5:$G$20,$E131)=0,"Catégorie ?","OK"),"Type ?"))))</f>
        <v>OK</v>
      </c>
    </row>
    <row r="132" customFormat="false" ht="16.5" hidden="false" customHeight="true" outlineLevel="0" collapsed="false">
      <c r="A132" s="72" t="n">
        <f aca="false">IF($B132="","",ROW()-7)</f>
        <v>125</v>
      </c>
      <c r="B132" s="73" t="n">
        <v>46257</v>
      </c>
      <c r="C132" s="74" t="n">
        <f aca="false">IF($B132="","",YEAR($B132)*100+MONTH($B132))</f>
        <v>202608</v>
      </c>
      <c r="D132" s="75" t="s">
        <v>142</v>
      </c>
      <c r="E132" s="76" t="s">
        <v>41</v>
      </c>
      <c r="F132" s="76" t="s">
        <v>148</v>
      </c>
      <c r="G132" s="77" t="s">
        <v>145</v>
      </c>
      <c r="H132" s="78" t="n">
        <v>500</v>
      </c>
      <c r="I132" s="79" t="s">
        <v>141</v>
      </c>
      <c r="J132" s="80" t="str">
        <f aca="false">IF($B132="","",IF(N($H132)&lt;=0,"Montant ?",IF($D132="RECETTE",IF(COUNTIF(PARAMETRES!$E$5:$E$9,$E132)=0,"Catégorie ?","OK"),IF($D132="DEPENSE",IF(COUNTIF(PARAMETRES!$G$5:$G$20,$E132)=0,"Catégorie ?","OK"),"Type ?"))))</f>
        <v>OK</v>
      </c>
    </row>
    <row r="133" customFormat="false" ht="16.5" hidden="false" customHeight="true" outlineLevel="0" collapsed="false">
      <c r="A133" s="81" t="n">
        <f aca="false">IF($B133="","",ROW()-7)</f>
        <v>126</v>
      </c>
      <c r="B133" s="82" t="n">
        <v>46257</v>
      </c>
      <c r="C133" s="83" t="n">
        <f aca="false">IF($B133="","",YEAR($B133)*100+MONTH($B133))</f>
        <v>202608</v>
      </c>
      <c r="D133" s="84" t="s">
        <v>142</v>
      </c>
      <c r="E133" s="85" t="s">
        <v>41</v>
      </c>
      <c r="F133" s="85" t="s">
        <v>149</v>
      </c>
      <c r="G133" s="86" t="s">
        <v>145</v>
      </c>
      <c r="H133" s="87" t="n">
        <v>600</v>
      </c>
      <c r="I133" s="88" t="s">
        <v>141</v>
      </c>
      <c r="J133" s="89" t="str">
        <f aca="false">IF($B133="","",IF(N($H133)&lt;=0,"Montant ?",IF($D133="RECETTE",IF(COUNTIF(PARAMETRES!$E$5:$E$9,$E133)=0,"Catégorie ?","OK"),IF($D133="DEPENSE",IF(COUNTIF(PARAMETRES!$G$5:$G$20,$E133)=0,"Catégorie ?","OK"),"Type ?"))))</f>
        <v>OK</v>
      </c>
    </row>
    <row r="134" customFormat="false" ht="16.5" hidden="false" customHeight="true" outlineLevel="0" collapsed="false">
      <c r="A134" s="72" t="n">
        <f aca="false">IF($B134="","",ROW()-7)</f>
        <v>127</v>
      </c>
      <c r="B134" s="73" t="n">
        <v>46258</v>
      </c>
      <c r="C134" s="74" t="n">
        <f aca="false">IF($B134="","",YEAR($B134)*100+MONTH($B134))</f>
        <v>202608</v>
      </c>
      <c r="D134" s="75" t="s">
        <v>137</v>
      </c>
      <c r="E134" s="76" t="s">
        <v>138</v>
      </c>
      <c r="F134" s="76" t="s">
        <v>139</v>
      </c>
      <c r="G134" s="77" t="s">
        <v>140</v>
      </c>
      <c r="H134" s="78" t="n">
        <v>2154</v>
      </c>
      <c r="I134" s="79" t="s">
        <v>141</v>
      </c>
      <c r="J134" s="80" t="str">
        <f aca="false">IF($B134="","",IF(N($H134)&lt;=0,"Montant ?",IF($D134="RECETTE",IF(COUNTIF(PARAMETRES!$E$5:$E$9,$E134)=0,"Catégorie ?","OK"),IF($D134="DEPENSE",IF(COUNTIF(PARAMETRES!$G$5:$G$20,$E134)=0,"Catégorie ?","OK"),"Type ?"))))</f>
        <v>OK</v>
      </c>
    </row>
    <row r="135" customFormat="false" ht="16.5" hidden="false" customHeight="true" outlineLevel="0" collapsed="false">
      <c r="A135" s="81" t="n">
        <f aca="false">IF($B135="","",ROW()-7)</f>
        <v>128</v>
      </c>
      <c r="B135" s="82" t="n">
        <v>46258</v>
      </c>
      <c r="C135" s="83" t="n">
        <f aca="false">IF($B135="","",YEAR($B135)*100+MONTH($B135))</f>
        <v>202608</v>
      </c>
      <c r="D135" s="84" t="s">
        <v>142</v>
      </c>
      <c r="E135" s="85" t="s">
        <v>93</v>
      </c>
      <c r="F135" s="85" t="s">
        <v>113</v>
      </c>
      <c r="G135" s="86" t="s">
        <v>143</v>
      </c>
      <c r="H135" s="87" t="n">
        <v>156</v>
      </c>
      <c r="I135" s="88" t="s">
        <v>141</v>
      </c>
      <c r="J135" s="89" t="str">
        <f aca="false">IF($B135="","",IF(N($H135)&lt;=0,"Montant ?",IF($D135="RECETTE",IF(COUNTIF(PARAMETRES!$E$5:$E$9,$E135)=0,"Catégorie ?","OK"),IF($D135="DEPENSE",IF(COUNTIF(PARAMETRES!$G$5:$G$20,$E135)=0,"Catégorie ?","OK"),"Type ?"))))</f>
        <v>OK</v>
      </c>
    </row>
    <row r="136" customFormat="false" ht="16.5" hidden="false" customHeight="true" outlineLevel="0" collapsed="false">
      <c r="A136" s="72" t="n">
        <f aca="false">IF($B136="","",ROW()-7)</f>
        <v>129</v>
      </c>
      <c r="B136" s="73" t="n">
        <v>46258</v>
      </c>
      <c r="C136" s="74" t="n">
        <f aca="false">IF($B136="","",YEAR($B136)*100+MONTH($B136))</f>
        <v>202608</v>
      </c>
      <c r="D136" s="75" t="s">
        <v>142</v>
      </c>
      <c r="E136" s="76" t="s">
        <v>103</v>
      </c>
      <c r="F136" s="76" t="s">
        <v>100</v>
      </c>
      <c r="G136" s="77" t="s">
        <v>143</v>
      </c>
      <c r="H136" s="78" t="n">
        <v>150</v>
      </c>
      <c r="I136" s="79" t="s">
        <v>141</v>
      </c>
      <c r="J136" s="80" t="str">
        <f aca="false">IF($B136="","",IF(N($H136)&lt;=0,"Montant ?",IF($D136="RECETTE",IF(COUNTIF(PARAMETRES!$E$5:$E$9,$E136)=0,"Catégorie ?","OK"),IF($D136="DEPENSE",IF(COUNTIF(PARAMETRES!$G$5:$G$20,$E136)=0,"Catégorie ?","OK"),"Type ?"))))</f>
        <v>OK</v>
      </c>
    </row>
    <row r="137" customFormat="false" ht="16.5" hidden="false" customHeight="true" outlineLevel="0" collapsed="false">
      <c r="A137" s="81" t="n">
        <f aca="false">IF($B137="","",ROW()-7)</f>
        <v>130</v>
      </c>
      <c r="B137" s="82" t="n">
        <v>46258</v>
      </c>
      <c r="C137" s="83" t="n">
        <f aca="false">IF($B137="","",YEAR($B137)*100+MONTH($B137))</f>
        <v>202608</v>
      </c>
      <c r="D137" s="84" t="s">
        <v>142</v>
      </c>
      <c r="E137" s="85" t="s">
        <v>101</v>
      </c>
      <c r="F137" s="85" t="s">
        <v>94</v>
      </c>
      <c r="G137" s="86" t="s">
        <v>143</v>
      </c>
      <c r="H137" s="87" t="n">
        <v>300</v>
      </c>
      <c r="I137" s="88" t="s">
        <v>141</v>
      </c>
      <c r="J137" s="89" t="str">
        <f aca="false">IF($B137="","",IF(N($H137)&lt;=0,"Montant ?",IF($D137="RECETTE",IF(COUNTIF(PARAMETRES!$E$5:$E$9,$E137)=0,"Catégorie ?","OK"),IF($D137="DEPENSE",IF(COUNTIF(PARAMETRES!$G$5:$G$20,$E137)=0,"Catégorie ?","OK"),"Type ?"))))</f>
        <v>OK</v>
      </c>
    </row>
    <row r="138" customFormat="false" ht="16.5" hidden="false" customHeight="true" outlineLevel="0" collapsed="false">
      <c r="A138" s="72" t="n">
        <f aca="false">IF($B138="","",ROW()-7)</f>
        <v>131</v>
      </c>
      <c r="B138" s="73" t="n">
        <v>46258</v>
      </c>
      <c r="C138" s="74" t="n">
        <f aca="false">IF($B138="","",YEAR($B138)*100+MONTH($B138))</f>
        <v>202608</v>
      </c>
      <c r="D138" s="75" t="s">
        <v>142</v>
      </c>
      <c r="E138" s="76" t="s">
        <v>106</v>
      </c>
      <c r="F138" s="76" t="s">
        <v>153</v>
      </c>
      <c r="G138" s="77" t="s">
        <v>154</v>
      </c>
      <c r="H138" s="78" t="n">
        <v>5000</v>
      </c>
      <c r="I138" s="79" t="s">
        <v>141</v>
      </c>
      <c r="J138" s="80" t="str">
        <f aca="false">IF($B138="","",IF(N($H138)&lt;=0,"Montant ?",IF($D138="RECETTE",IF(COUNTIF(PARAMETRES!$E$5:$E$9,$E138)=0,"Catégorie ?","OK"),IF($D138="DEPENSE",IF(COUNTIF(PARAMETRES!$G$5:$G$20,$E138)=0,"Catégorie ?","OK"),"Type ?"))))</f>
        <v>OK</v>
      </c>
    </row>
    <row r="139" customFormat="false" ht="16.5" hidden="false" customHeight="true" outlineLevel="0" collapsed="false">
      <c r="A139" s="81" t="n">
        <f aca="false">IF($B139="","",ROW()-7)</f>
        <v>132</v>
      </c>
      <c r="B139" s="82" t="n">
        <v>46259</v>
      </c>
      <c r="C139" s="83" t="n">
        <f aca="false">IF($B139="","",YEAR($B139)*100+MONTH($B139))</f>
        <v>202608</v>
      </c>
      <c r="D139" s="84" t="s">
        <v>137</v>
      </c>
      <c r="E139" s="85" t="s">
        <v>138</v>
      </c>
      <c r="F139" s="85" t="s">
        <v>139</v>
      </c>
      <c r="G139" s="86" t="s">
        <v>140</v>
      </c>
      <c r="H139" s="87" t="n">
        <v>1900</v>
      </c>
      <c r="I139" s="88" t="s">
        <v>141</v>
      </c>
      <c r="J139" s="89" t="str">
        <f aca="false">IF($B139="","",IF(N($H139)&lt;=0,"Montant ?",IF($D139="RECETTE",IF(COUNTIF(PARAMETRES!$E$5:$E$9,$E139)=0,"Catégorie ?","OK"),IF($D139="DEPENSE",IF(COUNTIF(PARAMETRES!$G$5:$G$20,$E139)=0,"Catégorie ?","OK"),"Type ?"))))</f>
        <v>OK</v>
      </c>
    </row>
    <row r="140" customFormat="false" ht="16.5" hidden="false" customHeight="true" outlineLevel="0" collapsed="false">
      <c r="A140" s="72" t="n">
        <f aca="false">IF($B140="","",ROW()-7)</f>
        <v>133</v>
      </c>
      <c r="B140" s="73" t="n">
        <v>46259</v>
      </c>
      <c r="C140" s="74" t="n">
        <f aca="false">IF($B140="","",YEAR($B140)*100+MONTH($B140))</f>
        <v>202608</v>
      </c>
      <c r="D140" s="75" t="s">
        <v>142</v>
      </c>
      <c r="E140" s="76" t="s">
        <v>93</v>
      </c>
      <c r="F140" s="76" t="s">
        <v>98</v>
      </c>
      <c r="G140" s="77" t="s">
        <v>143</v>
      </c>
      <c r="H140" s="78" t="n">
        <v>306</v>
      </c>
      <c r="I140" s="79" t="s">
        <v>141</v>
      </c>
      <c r="J140" s="80" t="str">
        <f aca="false">IF($B140="","",IF(N($H140)&lt;=0,"Montant ?",IF($D140="RECETTE",IF(COUNTIF(PARAMETRES!$E$5:$E$9,$E140)=0,"Catégorie ?","OK"),IF($D140="DEPENSE",IF(COUNTIF(PARAMETRES!$G$5:$G$20,$E140)=0,"Catégorie ?","OK"),"Type ?"))))</f>
        <v>OK</v>
      </c>
    </row>
    <row r="141" customFormat="false" ht="16.5" hidden="false" customHeight="true" outlineLevel="0" collapsed="false">
      <c r="A141" s="81" t="n">
        <f aca="false">IF($B141="","",ROW()-7)</f>
        <v>134</v>
      </c>
      <c r="B141" s="82" t="n">
        <v>46259</v>
      </c>
      <c r="C141" s="83" t="n">
        <f aca="false">IF($B141="","",YEAR($B141)*100+MONTH($B141))</f>
        <v>202608</v>
      </c>
      <c r="D141" s="84" t="s">
        <v>142</v>
      </c>
      <c r="E141" s="85" t="s">
        <v>103</v>
      </c>
      <c r="F141" s="85" t="s">
        <v>100</v>
      </c>
      <c r="G141" s="86" t="s">
        <v>143</v>
      </c>
      <c r="H141" s="87" t="n">
        <v>150</v>
      </c>
      <c r="I141" s="88" t="s">
        <v>141</v>
      </c>
      <c r="J141" s="89" t="str">
        <f aca="false">IF($B141="","",IF(N($H141)&lt;=0,"Montant ?",IF($D141="RECETTE",IF(COUNTIF(PARAMETRES!$E$5:$E$9,$E141)=0,"Catégorie ?","OK"),IF($D141="DEPENSE",IF(COUNTIF(PARAMETRES!$G$5:$G$20,$E141)=0,"Catégorie ?","OK"),"Type ?"))))</f>
        <v>OK</v>
      </c>
    </row>
    <row r="142" customFormat="false" ht="16.5" hidden="false" customHeight="true" outlineLevel="0" collapsed="false">
      <c r="A142" s="72" t="n">
        <f aca="false">IF($B142="","",ROW()-7)</f>
        <v>135</v>
      </c>
      <c r="B142" s="73" t="n">
        <v>46259</v>
      </c>
      <c r="C142" s="74" t="n">
        <f aca="false">IF($B142="","",YEAR($B142)*100+MONTH($B142))</f>
        <v>202608</v>
      </c>
      <c r="D142" s="75" t="s">
        <v>142</v>
      </c>
      <c r="E142" s="76" t="s">
        <v>99</v>
      </c>
      <c r="F142" s="76" t="s">
        <v>105</v>
      </c>
      <c r="G142" s="77" t="s">
        <v>143</v>
      </c>
      <c r="H142" s="78" t="n">
        <v>165</v>
      </c>
      <c r="I142" s="79" t="s">
        <v>141</v>
      </c>
      <c r="J142" s="80" t="str">
        <f aca="false">IF($B142="","",IF(N($H142)&lt;=0,"Montant ?",IF($D142="RECETTE",IF(COUNTIF(PARAMETRES!$E$5:$E$9,$E142)=0,"Catégorie ?","OK"),IF($D142="DEPENSE",IF(COUNTIF(PARAMETRES!$G$5:$G$20,$E142)=0,"Catégorie ?","OK"),"Type ?"))))</f>
        <v>OK</v>
      </c>
    </row>
    <row r="143" customFormat="false" ht="16.5" hidden="false" customHeight="true" outlineLevel="0" collapsed="false">
      <c r="A143" s="81" t="n">
        <f aca="false">IF($B143="","",ROW()-7)</f>
        <v>136</v>
      </c>
      <c r="B143" s="82" t="n">
        <v>46259</v>
      </c>
      <c r="C143" s="83" t="n">
        <f aca="false">IF($B143="","",YEAR($B143)*100+MONTH($B143))</f>
        <v>202608</v>
      </c>
      <c r="D143" s="84" t="s">
        <v>142</v>
      </c>
      <c r="E143" s="85" t="s">
        <v>99</v>
      </c>
      <c r="F143" s="85" t="s">
        <v>115</v>
      </c>
      <c r="G143" s="86" t="s">
        <v>143</v>
      </c>
      <c r="H143" s="87" t="n">
        <v>100</v>
      </c>
      <c r="I143" s="88" t="s">
        <v>141</v>
      </c>
      <c r="J143" s="89" t="str">
        <f aca="false">IF($B143="","",IF(N($H143)&lt;=0,"Montant ?",IF($D143="RECETTE",IF(COUNTIF(PARAMETRES!$E$5:$E$9,$E143)=0,"Catégorie ?","OK"),IF($D143="DEPENSE",IF(COUNTIF(PARAMETRES!$G$5:$G$20,$E143)=0,"Catégorie ?","OK"),"Type ?"))))</f>
        <v>OK</v>
      </c>
    </row>
    <row r="144" customFormat="false" ht="16.5" hidden="false" customHeight="true" outlineLevel="0" collapsed="false">
      <c r="A144" s="72" t="n">
        <f aca="false">IF($B144="","",ROW()-7)</f>
        <v>137</v>
      </c>
      <c r="B144" s="73" t="n">
        <v>46260</v>
      </c>
      <c r="C144" s="74" t="n">
        <f aca="false">IF($B144="","",YEAR($B144)*100+MONTH($B144))</f>
        <v>202608</v>
      </c>
      <c r="D144" s="75" t="s">
        <v>137</v>
      </c>
      <c r="E144" s="76" t="s">
        <v>138</v>
      </c>
      <c r="F144" s="76" t="s">
        <v>139</v>
      </c>
      <c r="G144" s="77" t="s">
        <v>140</v>
      </c>
      <c r="H144" s="78" t="n">
        <v>1713</v>
      </c>
      <c r="I144" s="79" t="s">
        <v>141</v>
      </c>
      <c r="J144" s="80" t="str">
        <f aca="false">IF($B144="","",IF(N($H144)&lt;=0,"Montant ?",IF($D144="RECETTE",IF(COUNTIF(PARAMETRES!$E$5:$E$9,$E144)=0,"Catégorie ?","OK"),IF($D144="DEPENSE",IF(COUNTIF(PARAMETRES!$G$5:$G$20,$E144)=0,"Catégorie ?","OK"),"Type ?"))))</f>
        <v>OK</v>
      </c>
    </row>
    <row r="145" customFormat="false" ht="16.5" hidden="false" customHeight="true" outlineLevel="0" collapsed="false">
      <c r="A145" s="81" t="n">
        <f aca="false">IF($B145="","",ROW()-7)</f>
        <v>138</v>
      </c>
      <c r="B145" s="82" t="n">
        <v>46260</v>
      </c>
      <c r="C145" s="83" t="n">
        <f aca="false">IF($B145="","",YEAR($B145)*100+MONTH($B145))</f>
        <v>202608</v>
      </c>
      <c r="D145" s="84" t="s">
        <v>142</v>
      </c>
      <c r="E145" s="85" t="s">
        <v>93</v>
      </c>
      <c r="F145" s="85" t="s">
        <v>98</v>
      </c>
      <c r="G145" s="86" t="s">
        <v>143</v>
      </c>
      <c r="H145" s="87" t="n">
        <v>306</v>
      </c>
      <c r="I145" s="88" t="s">
        <v>141</v>
      </c>
      <c r="J145" s="89" t="str">
        <f aca="false">IF($B145="","",IF(N($H145)&lt;=0,"Montant ?",IF($D145="RECETTE",IF(COUNTIF(PARAMETRES!$E$5:$E$9,$E145)=0,"Catégorie ?","OK"),IF($D145="DEPENSE",IF(COUNTIF(PARAMETRES!$G$5:$G$20,$E145)=0,"Catégorie ?","OK"),"Type ?"))))</f>
        <v>OK</v>
      </c>
    </row>
    <row r="146" customFormat="false" ht="16.5" hidden="false" customHeight="true" outlineLevel="0" collapsed="false">
      <c r="A146" s="72" t="n">
        <f aca="false">IF($B146="","",ROW()-7)</f>
        <v>139</v>
      </c>
      <c r="B146" s="73" t="n">
        <v>46260</v>
      </c>
      <c r="C146" s="74" t="n">
        <f aca="false">IF($B146="","",YEAR($B146)*100+MONTH($B146))</f>
        <v>202608</v>
      </c>
      <c r="D146" s="75" t="s">
        <v>142</v>
      </c>
      <c r="E146" s="76" t="s">
        <v>103</v>
      </c>
      <c r="F146" s="76" t="s">
        <v>100</v>
      </c>
      <c r="G146" s="77" t="s">
        <v>143</v>
      </c>
      <c r="H146" s="78" t="n">
        <v>150</v>
      </c>
      <c r="I146" s="79" t="s">
        <v>141</v>
      </c>
      <c r="J146" s="80" t="str">
        <f aca="false">IF($B146="","",IF(N($H146)&lt;=0,"Montant ?",IF($D146="RECETTE",IF(COUNTIF(PARAMETRES!$E$5:$E$9,$E146)=0,"Catégorie ?","OK"),IF($D146="DEPENSE",IF(COUNTIF(PARAMETRES!$G$5:$G$20,$E146)=0,"Catégorie ?","OK"),"Type ?"))))</f>
        <v>OK</v>
      </c>
    </row>
    <row r="147" customFormat="false" ht="16.5" hidden="false" customHeight="true" outlineLevel="0" collapsed="false">
      <c r="A147" s="81" t="n">
        <f aca="false">IF($B147="","",ROW()-7)</f>
        <v>140</v>
      </c>
      <c r="B147" s="82" t="n">
        <v>46260</v>
      </c>
      <c r="C147" s="83" t="n">
        <f aca="false">IF($B147="","",YEAR($B147)*100+MONTH($B147))</f>
        <v>202608</v>
      </c>
      <c r="D147" s="84" t="s">
        <v>142</v>
      </c>
      <c r="E147" s="85" t="s">
        <v>101</v>
      </c>
      <c r="F147" s="85" t="s">
        <v>94</v>
      </c>
      <c r="G147" s="86" t="s">
        <v>143</v>
      </c>
      <c r="H147" s="87" t="n">
        <v>200</v>
      </c>
      <c r="I147" s="88" t="s">
        <v>141</v>
      </c>
      <c r="J147" s="89" t="str">
        <f aca="false">IF($B147="","",IF(N($H147)&lt;=0,"Montant ?",IF($D147="RECETTE",IF(COUNTIF(PARAMETRES!$E$5:$E$9,$E147)=0,"Catégorie ?","OK"),IF($D147="DEPENSE",IF(COUNTIF(PARAMETRES!$G$5:$G$20,$E147)=0,"Catégorie ?","OK"),"Type ?"))))</f>
        <v>OK</v>
      </c>
    </row>
    <row r="148" customFormat="false" ht="16.5" hidden="false" customHeight="true" outlineLevel="0" collapsed="false">
      <c r="A148" s="72" t="n">
        <f aca="false">IF($B148="","",ROW()-7)</f>
        <v>141</v>
      </c>
      <c r="B148" s="73" t="n">
        <v>46260</v>
      </c>
      <c r="C148" s="74" t="n">
        <f aca="false">IF($B148="","",YEAR($B148)*100+MONTH($B148))</f>
        <v>202608</v>
      </c>
      <c r="D148" s="75" t="s">
        <v>142</v>
      </c>
      <c r="E148" s="76" t="s">
        <v>95</v>
      </c>
      <c r="F148" s="76" t="s">
        <v>102</v>
      </c>
      <c r="G148" s="77" t="s">
        <v>143</v>
      </c>
      <c r="H148" s="78" t="n">
        <v>780</v>
      </c>
      <c r="I148" s="79" t="s">
        <v>141</v>
      </c>
      <c r="J148" s="80" t="str">
        <f aca="false">IF($B148="","",IF(N($H148)&lt;=0,"Montant ?",IF($D148="RECETTE",IF(COUNTIF(PARAMETRES!$E$5:$E$9,$E148)=0,"Catégorie ?","OK"),IF($D148="DEPENSE",IF(COUNTIF(PARAMETRES!$G$5:$G$20,$E148)=0,"Catégorie ?","OK"),"Type ?"))))</f>
        <v>OK</v>
      </c>
    </row>
    <row r="149" customFormat="false" ht="16.5" hidden="false" customHeight="true" outlineLevel="0" collapsed="false">
      <c r="A149" s="81" t="n">
        <f aca="false">IF($B149="","",ROW()-7)</f>
        <v>142</v>
      </c>
      <c r="B149" s="82" t="n">
        <v>46261</v>
      </c>
      <c r="C149" s="83" t="n">
        <f aca="false">IF($B149="","",YEAR($B149)*100+MONTH($B149))</f>
        <v>202608</v>
      </c>
      <c r="D149" s="84" t="s">
        <v>137</v>
      </c>
      <c r="E149" s="85" t="s">
        <v>138</v>
      </c>
      <c r="F149" s="85" t="s">
        <v>139</v>
      </c>
      <c r="G149" s="86" t="s">
        <v>140</v>
      </c>
      <c r="H149" s="87" t="n">
        <v>1687</v>
      </c>
      <c r="I149" s="88" t="s">
        <v>141</v>
      </c>
      <c r="J149" s="89" t="str">
        <f aca="false">IF($B149="","",IF(N($H149)&lt;=0,"Montant ?",IF($D149="RECETTE",IF(COUNTIF(PARAMETRES!$E$5:$E$9,$E149)=0,"Catégorie ?","OK"),IF($D149="DEPENSE",IF(COUNTIF(PARAMETRES!$G$5:$G$20,$E149)=0,"Catégorie ?","OK"),"Type ?"))))</f>
        <v>OK</v>
      </c>
    </row>
    <row r="150" customFormat="false" ht="16.5" hidden="false" customHeight="true" outlineLevel="0" collapsed="false">
      <c r="A150" s="72" t="n">
        <f aca="false">IF($B150="","",ROW()-7)</f>
        <v>143</v>
      </c>
      <c r="B150" s="73" t="n">
        <v>46261</v>
      </c>
      <c r="C150" s="74" t="n">
        <f aca="false">IF($B150="","",YEAR($B150)*100+MONTH($B150))</f>
        <v>202608</v>
      </c>
      <c r="D150" s="75" t="s">
        <v>142</v>
      </c>
      <c r="E150" s="76" t="s">
        <v>97</v>
      </c>
      <c r="F150" s="76" t="s">
        <v>107</v>
      </c>
      <c r="G150" s="77" t="s">
        <v>143</v>
      </c>
      <c r="H150" s="78" t="n">
        <v>241</v>
      </c>
      <c r="I150" s="79" t="s">
        <v>141</v>
      </c>
      <c r="J150" s="80" t="str">
        <f aca="false">IF($B150="","",IF(N($H150)&lt;=0,"Montant ?",IF($D150="RECETTE",IF(COUNTIF(PARAMETRES!$E$5:$E$9,$E150)=0,"Catégorie ?","OK"),IF($D150="DEPENSE",IF(COUNTIF(PARAMETRES!$G$5:$G$20,$E150)=0,"Catégorie ?","OK"),"Type ?"))))</f>
        <v>OK</v>
      </c>
    </row>
    <row r="151" customFormat="false" ht="16.5" hidden="false" customHeight="true" outlineLevel="0" collapsed="false">
      <c r="A151" s="81" t="n">
        <f aca="false">IF($B151="","",ROW()-7)</f>
        <v>144</v>
      </c>
      <c r="B151" s="82" t="n">
        <v>46261</v>
      </c>
      <c r="C151" s="83" t="n">
        <f aca="false">IF($B151="","",YEAR($B151)*100+MONTH($B151))</f>
        <v>202608</v>
      </c>
      <c r="D151" s="84" t="s">
        <v>142</v>
      </c>
      <c r="E151" s="85" t="s">
        <v>103</v>
      </c>
      <c r="F151" s="85" t="s">
        <v>100</v>
      </c>
      <c r="G151" s="86" t="s">
        <v>143</v>
      </c>
      <c r="H151" s="87" t="n">
        <v>150</v>
      </c>
      <c r="I151" s="88" t="s">
        <v>141</v>
      </c>
      <c r="J151" s="89" t="str">
        <f aca="false">IF($B151="","",IF(N($H151)&lt;=0,"Montant ?",IF($D151="RECETTE",IF(COUNTIF(PARAMETRES!$E$5:$E$9,$E151)=0,"Catégorie ?","OK"),IF($D151="DEPENSE",IF(COUNTIF(PARAMETRES!$G$5:$G$20,$E151)=0,"Catégorie ?","OK"),"Type ?"))))</f>
        <v>OK</v>
      </c>
    </row>
    <row r="152" customFormat="false" ht="16.5" hidden="false" customHeight="true" outlineLevel="0" collapsed="false">
      <c r="A152" s="72" t="n">
        <f aca="false">IF($B152="","",ROW()-7)</f>
        <v>145</v>
      </c>
      <c r="B152" s="73" t="n">
        <v>46261</v>
      </c>
      <c r="C152" s="74" t="n">
        <f aca="false">IF($B152="","",YEAR($B152)*100+MONTH($B152))</f>
        <v>202608</v>
      </c>
      <c r="D152" s="75" t="s">
        <v>142</v>
      </c>
      <c r="E152" s="76" t="s">
        <v>101</v>
      </c>
      <c r="F152" s="76" t="s">
        <v>94</v>
      </c>
      <c r="G152" s="77" t="s">
        <v>143</v>
      </c>
      <c r="H152" s="78" t="n">
        <v>200</v>
      </c>
      <c r="I152" s="79" t="s">
        <v>141</v>
      </c>
      <c r="J152" s="80" t="str">
        <f aca="false">IF($B152="","",IF(N($H152)&lt;=0,"Montant ?",IF($D152="RECETTE",IF(COUNTIF(PARAMETRES!$E$5:$E$9,$E152)=0,"Catégorie ?","OK"),IF($D152="DEPENSE",IF(COUNTIF(PARAMETRES!$G$5:$G$20,$E152)=0,"Catégorie ?","OK"),"Type ?"))))</f>
        <v>OK</v>
      </c>
    </row>
    <row r="153" customFormat="false" ht="16.5" hidden="false" customHeight="true" outlineLevel="0" collapsed="false">
      <c r="A153" s="81" t="str">
        <f aca="false">IF($B153="","",ROW()-7)</f>
        <v/>
      </c>
      <c r="B153" s="82"/>
      <c r="C153" s="83" t="str">
        <f aca="false">IF($B153="","",YEAR($B153)*100+MONTH($B153))</f>
        <v/>
      </c>
      <c r="D153" s="84"/>
      <c r="E153" s="85"/>
      <c r="F153" s="85"/>
      <c r="G153" s="86"/>
      <c r="H153" s="87"/>
      <c r="I153" s="88"/>
      <c r="J153" s="89" t="str">
        <f aca="false">IF($B153="","",IF(N($H153)&lt;=0,"Montant ?",IF($D153="RECETTE",IF(COUNTIF(PARAMETRES!$E$5:$E$9,$E153)=0,"Catégorie ?","OK"),IF($D153="DEPENSE",IF(COUNTIF(PARAMETRES!$G$5:$G$20,$E153)=0,"Catégorie ?","OK"),"Type ?"))))</f>
        <v/>
      </c>
    </row>
    <row r="154" customFormat="false" ht="16.5" hidden="false" customHeight="true" outlineLevel="0" collapsed="false">
      <c r="A154" s="72" t="str">
        <f aca="false">IF($B154="","",ROW()-7)</f>
        <v/>
      </c>
      <c r="B154" s="73"/>
      <c r="C154" s="74" t="str">
        <f aca="false">IF($B154="","",YEAR($B154)*100+MONTH($B154))</f>
        <v/>
      </c>
      <c r="D154" s="75"/>
      <c r="E154" s="76"/>
      <c r="F154" s="76"/>
      <c r="G154" s="77"/>
      <c r="H154" s="78"/>
      <c r="I154" s="79"/>
      <c r="J154" s="80" t="str">
        <f aca="false">IF($B154="","",IF(N($H154)&lt;=0,"Montant ?",IF($D154="RECETTE",IF(COUNTIF(PARAMETRES!$E$5:$E$9,$E154)=0,"Catégorie ?","OK"),IF($D154="DEPENSE",IF(COUNTIF(PARAMETRES!$G$5:$G$20,$E154)=0,"Catégorie ?","OK"),"Type ?"))))</f>
        <v/>
      </c>
    </row>
    <row r="155" customFormat="false" ht="16.5" hidden="false" customHeight="true" outlineLevel="0" collapsed="false">
      <c r="A155" s="81" t="str">
        <f aca="false">IF($B155="","",ROW()-7)</f>
        <v/>
      </c>
      <c r="B155" s="82"/>
      <c r="C155" s="83" t="str">
        <f aca="false">IF($B155="","",YEAR($B155)*100+MONTH($B155))</f>
        <v/>
      </c>
      <c r="D155" s="84"/>
      <c r="E155" s="85"/>
      <c r="F155" s="85"/>
      <c r="G155" s="86"/>
      <c r="H155" s="87"/>
      <c r="I155" s="88"/>
      <c r="J155" s="89" t="str">
        <f aca="false">IF($B155="","",IF(N($H155)&lt;=0,"Montant ?",IF($D155="RECETTE",IF(COUNTIF(PARAMETRES!$E$5:$E$9,$E155)=0,"Catégorie ?","OK"),IF($D155="DEPENSE",IF(COUNTIF(PARAMETRES!$G$5:$G$20,$E155)=0,"Catégorie ?","OK"),"Type ?"))))</f>
        <v/>
      </c>
    </row>
    <row r="156" customFormat="false" ht="16.5" hidden="false" customHeight="true" outlineLevel="0" collapsed="false">
      <c r="A156" s="72" t="str">
        <f aca="false">IF($B156="","",ROW()-7)</f>
        <v/>
      </c>
      <c r="B156" s="73"/>
      <c r="C156" s="74" t="str">
        <f aca="false">IF($B156="","",YEAR($B156)*100+MONTH($B156))</f>
        <v/>
      </c>
      <c r="D156" s="75"/>
      <c r="E156" s="76"/>
      <c r="F156" s="76"/>
      <c r="G156" s="77"/>
      <c r="H156" s="78"/>
      <c r="I156" s="79"/>
      <c r="J156" s="80" t="str">
        <f aca="false">IF($B156="","",IF(N($H156)&lt;=0,"Montant ?",IF($D156="RECETTE",IF(COUNTIF(PARAMETRES!$E$5:$E$9,$E156)=0,"Catégorie ?","OK"),IF($D156="DEPENSE",IF(COUNTIF(PARAMETRES!$G$5:$G$20,$E156)=0,"Catégorie ?","OK"),"Type ?"))))</f>
        <v/>
      </c>
    </row>
    <row r="157" customFormat="false" ht="16.5" hidden="false" customHeight="true" outlineLevel="0" collapsed="false">
      <c r="A157" s="81" t="str">
        <f aca="false">IF($B157="","",ROW()-7)</f>
        <v/>
      </c>
      <c r="B157" s="82"/>
      <c r="C157" s="83" t="str">
        <f aca="false">IF($B157="","",YEAR($B157)*100+MONTH($B157))</f>
        <v/>
      </c>
      <c r="D157" s="84"/>
      <c r="E157" s="85"/>
      <c r="F157" s="85"/>
      <c r="G157" s="86"/>
      <c r="H157" s="87"/>
      <c r="I157" s="88"/>
      <c r="J157" s="89" t="str">
        <f aca="false">IF($B157="","",IF(N($H157)&lt;=0,"Montant ?",IF($D157="RECETTE",IF(COUNTIF(PARAMETRES!$E$5:$E$9,$E157)=0,"Catégorie ?","OK"),IF($D157="DEPENSE",IF(COUNTIF(PARAMETRES!$G$5:$G$20,$E157)=0,"Catégorie ?","OK"),"Type ?"))))</f>
        <v/>
      </c>
    </row>
    <row r="158" customFormat="false" ht="16.5" hidden="false" customHeight="true" outlineLevel="0" collapsed="false">
      <c r="A158" s="72" t="str">
        <f aca="false">IF($B158="","",ROW()-7)</f>
        <v/>
      </c>
      <c r="B158" s="73"/>
      <c r="C158" s="74" t="str">
        <f aca="false">IF($B158="","",YEAR($B158)*100+MONTH($B158))</f>
        <v/>
      </c>
      <c r="D158" s="75"/>
      <c r="E158" s="76"/>
      <c r="F158" s="76"/>
      <c r="G158" s="77"/>
      <c r="H158" s="78"/>
      <c r="I158" s="79"/>
      <c r="J158" s="80" t="str">
        <f aca="false">IF($B158="","",IF(N($H158)&lt;=0,"Montant ?",IF($D158="RECETTE",IF(COUNTIF(PARAMETRES!$E$5:$E$9,$E158)=0,"Catégorie ?","OK"),IF($D158="DEPENSE",IF(COUNTIF(PARAMETRES!$G$5:$G$20,$E158)=0,"Catégorie ?","OK"),"Type ?"))))</f>
        <v/>
      </c>
    </row>
    <row r="159" customFormat="false" ht="16.5" hidden="false" customHeight="true" outlineLevel="0" collapsed="false">
      <c r="A159" s="81" t="str">
        <f aca="false">IF($B159="","",ROW()-7)</f>
        <v/>
      </c>
      <c r="B159" s="82"/>
      <c r="C159" s="83" t="str">
        <f aca="false">IF($B159="","",YEAR($B159)*100+MONTH($B159))</f>
        <v/>
      </c>
      <c r="D159" s="84"/>
      <c r="E159" s="85"/>
      <c r="F159" s="85"/>
      <c r="G159" s="86"/>
      <c r="H159" s="87"/>
      <c r="I159" s="88"/>
      <c r="J159" s="89" t="str">
        <f aca="false">IF($B159="","",IF(N($H159)&lt;=0,"Montant ?",IF($D159="RECETTE",IF(COUNTIF(PARAMETRES!$E$5:$E$9,$E159)=0,"Catégorie ?","OK"),IF($D159="DEPENSE",IF(COUNTIF(PARAMETRES!$G$5:$G$20,$E159)=0,"Catégorie ?","OK"),"Type ?"))))</f>
        <v/>
      </c>
    </row>
    <row r="160" customFormat="false" ht="16.5" hidden="false" customHeight="true" outlineLevel="0" collapsed="false">
      <c r="A160" s="72" t="str">
        <f aca="false">IF($B160="","",ROW()-7)</f>
        <v/>
      </c>
      <c r="B160" s="73"/>
      <c r="C160" s="74" t="str">
        <f aca="false">IF($B160="","",YEAR($B160)*100+MONTH($B160))</f>
        <v/>
      </c>
      <c r="D160" s="75"/>
      <c r="E160" s="76"/>
      <c r="F160" s="76"/>
      <c r="G160" s="77"/>
      <c r="H160" s="78"/>
      <c r="I160" s="79"/>
      <c r="J160" s="80" t="str">
        <f aca="false">IF($B160="","",IF(N($H160)&lt;=0,"Montant ?",IF($D160="RECETTE",IF(COUNTIF(PARAMETRES!$E$5:$E$9,$E160)=0,"Catégorie ?","OK"),IF($D160="DEPENSE",IF(COUNTIF(PARAMETRES!$G$5:$G$20,$E160)=0,"Catégorie ?","OK"),"Type ?"))))</f>
        <v/>
      </c>
    </row>
    <row r="161" customFormat="false" ht="16.5" hidden="false" customHeight="true" outlineLevel="0" collapsed="false">
      <c r="A161" s="81" t="str">
        <f aca="false">IF($B161="","",ROW()-7)</f>
        <v/>
      </c>
      <c r="B161" s="82"/>
      <c r="C161" s="83" t="str">
        <f aca="false">IF($B161="","",YEAR($B161)*100+MONTH($B161))</f>
        <v/>
      </c>
      <c r="D161" s="84"/>
      <c r="E161" s="85"/>
      <c r="F161" s="85"/>
      <c r="G161" s="86"/>
      <c r="H161" s="87"/>
      <c r="I161" s="88"/>
      <c r="J161" s="89" t="str">
        <f aca="false">IF($B161="","",IF(N($H161)&lt;=0,"Montant ?",IF($D161="RECETTE",IF(COUNTIF(PARAMETRES!$E$5:$E$9,$E161)=0,"Catégorie ?","OK"),IF($D161="DEPENSE",IF(COUNTIF(PARAMETRES!$G$5:$G$20,$E161)=0,"Catégorie ?","OK"),"Type ?"))))</f>
        <v/>
      </c>
    </row>
    <row r="162" customFormat="false" ht="16.5" hidden="false" customHeight="true" outlineLevel="0" collapsed="false">
      <c r="A162" s="72" t="str">
        <f aca="false">IF($B162="","",ROW()-7)</f>
        <v/>
      </c>
      <c r="B162" s="73"/>
      <c r="C162" s="74" t="str">
        <f aca="false">IF($B162="","",YEAR($B162)*100+MONTH($B162))</f>
        <v/>
      </c>
      <c r="D162" s="75"/>
      <c r="E162" s="76"/>
      <c r="F162" s="76"/>
      <c r="G162" s="77"/>
      <c r="H162" s="78"/>
      <c r="I162" s="79"/>
      <c r="J162" s="80" t="str">
        <f aca="false">IF($B162="","",IF(N($H162)&lt;=0,"Montant ?",IF($D162="RECETTE",IF(COUNTIF(PARAMETRES!$E$5:$E$9,$E162)=0,"Catégorie ?","OK"),IF($D162="DEPENSE",IF(COUNTIF(PARAMETRES!$G$5:$G$20,$E162)=0,"Catégorie ?","OK"),"Type ?"))))</f>
        <v/>
      </c>
    </row>
    <row r="163" customFormat="false" ht="16.5" hidden="false" customHeight="true" outlineLevel="0" collapsed="false">
      <c r="A163" s="81" t="str">
        <f aca="false">IF($B163="","",ROW()-7)</f>
        <v/>
      </c>
      <c r="B163" s="82"/>
      <c r="C163" s="83" t="str">
        <f aca="false">IF($B163="","",YEAR($B163)*100+MONTH($B163))</f>
        <v/>
      </c>
      <c r="D163" s="84"/>
      <c r="E163" s="85"/>
      <c r="F163" s="85"/>
      <c r="G163" s="86"/>
      <c r="H163" s="87"/>
      <c r="I163" s="88"/>
      <c r="J163" s="89" t="str">
        <f aca="false">IF($B163="","",IF(N($H163)&lt;=0,"Montant ?",IF($D163="RECETTE",IF(COUNTIF(PARAMETRES!$E$5:$E$9,$E163)=0,"Catégorie ?","OK"),IF($D163="DEPENSE",IF(COUNTIF(PARAMETRES!$G$5:$G$20,$E163)=0,"Catégorie ?","OK"),"Type ?"))))</f>
        <v/>
      </c>
    </row>
    <row r="164" customFormat="false" ht="16.5" hidden="false" customHeight="true" outlineLevel="0" collapsed="false">
      <c r="A164" s="72" t="str">
        <f aca="false">IF($B164="","",ROW()-7)</f>
        <v/>
      </c>
      <c r="B164" s="73"/>
      <c r="C164" s="74" t="str">
        <f aca="false">IF($B164="","",YEAR($B164)*100+MONTH($B164))</f>
        <v/>
      </c>
      <c r="D164" s="75"/>
      <c r="E164" s="76"/>
      <c r="F164" s="76"/>
      <c r="G164" s="77"/>
      <c r="H164" s="78"/>
      <c r="I164" s="79"/>
      <c r="J164" s="80" t="str">
        <f aca="false">IF($B164="","",IF(N($H164)&lt;=0,"Montant ?",IF($D164="RECETTE",IF(COUNTIF(PARAMETRES!$E$5:$E$9,$E164)=0,"Catégorie ?","OK"),IF($D164="DEPENSE",IF(COUNTIF(PARAMETRES!$G$5:$G$20,$E164)=0,"Catégorie ?","OK"),"Type ?"))))</f>
        <v/>
      </c>
    </row>
    <row r="165" customFormat="false" ht="16.5" hidden="false" customHeight="true" outlineLevel="0" collapsed="false">
      <c r="A165" s="81" t="str">
        <f aca="false">IF($B165="","",ROW()-7)</f>
        <v/>
      </c>
      <c r="B165" s="82"/>
      <c r="C165" s="83" t="str">
        <f aca="false">IF($B165="","",YEAR($B165)*100+MONTH($B165))</f>
        <v/>
      </c>
      <c r="D165" s="84"/>
      <c r="E165" s="85"/>
      <c r="F165" s="85"/>
      <c r="G165" s="86"/>
      <c r="H165" s="87"/>
      <c r="I165" s="88"/>
      <c r="J165" s="89" t="str">
        <f aca="false">IF($B165="","",IF(N($H165)&lt;=0,"Montant ?",IF($D165="RECETTE",IF(COUNTIF(PARAMETRES!$E$5:$E$9,$E165)=0,"Catégorie ?","OK"),IF($D165="DEPENSE",IF(COUNTIF(PARAMETRES!$G$5:$G$20,$E165)=0,"Catégorie ?","OK"),"Type ?"))))</f>
        <v/>
      </c>
    </row>
    <row r="166" customFormat="false" ht="16.5" hidden="false" customHeight="true" outlineLevel="0" collapsed="false">
      <c r="A166" s="72" t="str">
        <f aca="false">IF($B166="","",ROW()-7)</f>
        <v/>
      </c>
      <c r="B166" s="73"/>
      <c r="C166" s="74" t="str">
        <f aca="false">IF($B166="","",YEAR($B166)*100+MONTH($B166))</f>
        <v/>
      </c>
      <c r="D166" s="75"/>
      <c r="E166" s="76"/>
      <c r="F166" s="76"/>
      <c r="G166" s="77"/>
      <c r="H166" s="78"/>
      <c r="I166" s="79"/>
      <c r="J166" s="80" t="str">
        <f aca="false">IF($B166="","",IF(N($H166)&lt;=0,"Montant ?",IF($D166="RECETTE",IF(COUNTIF(PARAMETRES!$E$5:$E$9,$E166)=0,"Catégorie ?","OK"),IF($D166="DEPENSE",IF(COUNTIF(PARAMETRES!$G$5:$G$20,$E166)=0,"Catégorie ?","OK"),"Type ?"))))</f>
        <v/>
      </c>
    </row>
    <row r="167" customFormat="false" ht="16.5" hidden="false" customHeight="true" outlineLevel="0" collapsed="false">
      <c r="A167" s="81" t="str">
        <f aca="false">IF($B167="","",ROW()-7)</f>
        <v/>
      </c>
      <c r="B167" s="82"/>
      <c r="C167" s="83" t="str">
        <f aca="false">IF($B167="","",YEAR($B167)*100+MONTH($B167))</f>
        <v/>
      </c>
      <c r="D167" s="84"/>
      <c r="E167" s="85"/>
      <c r="F167" s="85"/>
      <c r="G167" s="86"/>
      <c r="H167" s="87"/>
      <c r="I167" s="88"/>
      <c r="J167" s="89" t="str">
        <f aca="false">IF($B167="","",IF(N($H167)&lt;=0,"Montant ?",IF($D167="RECETTE",IF(COUNTIF(PARAMETRES!$E$5:$E$9,$E167)=0,"Catégorie ?","OK"),IF($D167="DEPENSE",IF(COUNTIF(PARAMETRES!$G$5:$G$20,$E167)=0,"Catégorie ?","OK"),"Type ?"))))</f>
        <v/>
      </c>
    </row>
    <row r="168" customFormat="false" ht="16.5" hidden="false" customHeight="true" outlineLevel="0" collapsed="false">
      <c r="A168" s="72" t="str">
        <f aca="false">IF($B168="","",ROW()-7)</f>
        <v/>
      </c>
      <c r="B168" s="73"/>
      <c r="C168" s="74" t="str">
        <f aca="false">IF($B168="","",YEAR($B168)*100+MONTH($B168))</f>
        <v/>
      </c>
      <c r="D168" s="75"/>
      <c r="E168" s="76"/>
      <c r="F168" s="76"/>
      <c r="G168" s="77"/>
      <c r="H168" s="78"/>
      <c r="I168" s="79"/>
      <c r="J168" s="80" t="str">
        <f aca="false">IF($B168="","",IF(N($H168)&lt;=0,"Montant ?",IF($D168="RECETTE",IF(COUNTIF(PARAMETRES!$E$5:$E$9,$E168)=0,"Catégorie ?","OK"),IF($D168="DEPENSE",IF(COUNTIF(PARAMETRES!$G$5:$G$20,$E168)=0,"Catégorie ?","OK"),"Type ?"))))</f>
        <v/>
      </c>
    </row>
    <row r="169" customFormat="false" ht="16.5" hidden="false" customHeight="true" outlineLevel="0" collapsed="false">
      <c r="A169" s="81" t="str">
        <f aca="false">IF($B169="","",ROW()-7)</f>
        <v/>
      </c>
      <c r="B169" s="82"/>
      <c r="C169" s="83" t="str">
        <f aca="false">IF($B169="","",YEAR($B169)*100+MONTH($B169))</f>
        <v/>
      </c>
      <c r="D169" s="84"/>
      <c r="E169" s="85"/>
      <c r="F169" s="85"/>
      <c r="G169" s="86"/>
      <c r="H169" s="87"/>
      <c r="I169" s="88"/>
      <c r="J169" s="89" t="str">
        <f aca="false">IF($B169="","",IF(N($H169)&lt;=0,"Montant ?",IF($D169="RECETTE",IF(COUNTIF(PARAMETRES!$E$5:$E$9,$E169)=0,"Catégorie ?","OK"),IF($D169="DEPENSE",IF(COUNTIF(PARAMETRES!$G$5:$G$20,$E169)=0,"Catégorie ?","OK"),"Type ?"))))</f>
        <v/>
      </c>
    </row>
    <row r="170" customFormat="false" ht="16.5" hidden="false" customHeight="true" outlineLevel="0" collapsed="false">
      <c r="A170" s="72" t="str">
        <f aca="false">IF($B170="","",ROW()-7)</f>
        <v/>
      </c>
      <c r="B170" s="73"/>
      <c r="C170" s="74" t="str">
        <f aca="false">IF($B170="","",YEAR($B170)*100+MONTH($B170))</f>
        <v/>
      </c>
      <c r="D170" s="75"/>
      <c r="E170" s="76"/>
      <c r="F170" s="76"/>
      <c r="G170" s="77"/>
      <c r="H170" s="78"/>
      <c r="I170" s="79"/>
      <c r="J170" s="80" t="str">
        <f aca="false">IF($B170="","",IF(N($H170)&lt;=0,"Montant ?",IF($D170="RECETTE",IF(COUNTIF(PARAMETRES!$E$5:$E$9,$E170)=0,"Catégorie ?","OK"),IF($D170="DEPENSE",IF(COUNTIF(PARAMETRES!$G$5:$G$20,$E170)=0,"Catégorie ?","OK"),"Type ?"))))</f>
        <v/>
      </c>
    </row>
    <row r="171" customFormat="false" ht="16.5" hidden="false" customHeight="true" outlineLevel="0" collapsed="false">
      <c r="A171" s="81" t="str">
        <f aca="false">IF($B171="","",ROW()-7)</f>
        <v/>
      </c>
      <c r="B171" s="82"/>
      <c r="C171" s="83" t="str">
        <f aca="false">IF($B171="","",YEAR($B171)*100+MONTH($B171))</f>
        <v/>
      </c>
      <c r="D171" s="84"/>
      <c r="E171" s="85"/>
      <c r="F171" s="85"/>
      <c r="G171" s="86"/>
      <c r="H171" s="87"/>
      <c r="I171" s="88"/>
      <c r="J171" s="89" t="str">
        <f aca="false">IF($B171="","",IF(N($H171)&lt;=0,"Montant ?",IF($D171="RECETTE",IF(COUNTIF(PARAMETRES!$E$5:$E$9,$E171)=0,"Catégorie ?","OK"),IF($D171="DEPENSE",IF(COUNTIF(PARAMETRES!$G$5:$G$20,$E171)=0,"Catégorie ?","OK"),"Type ?"))))</f>
        <v/>
      </c>
    </row>
    <row r="172" customFormat="false" ht="16.5" hidden="false" customHeight="true" outlineLevel="0" collapsed="false">
      <c r="A172" s="72" t="str">
        <f aca="false">IF($B172="","",ROW()-7)</f>
        <v/>
      </c>
      <c r="B172" s="73"/>
      <c r="C172" s="74" t="str">
        <f aca="false">IF($B172="","",YEAR($B172)*100+MONTH($B172))</f>
        <v/>
      </c>
      <c r="D172" s="75"/>
      <c r="E172" s="76"/>
      <c r="F172" s="76"/>
      <c r="G172" s="77"/>
      <c r="H172" s="78"/>
      <c r="I172" s="79"/>
      <c r="J172" s="80" t="str">
        <f aca="false">IF($B172="","",IF(N($H172)&lt;=0,"Montant ?",IF($D172="RECETTE",IF(COUNTIF(PARAMETRES!$E$5:$E$9,$E172)=0,"Catégorie ?","OK"),IF($D172="DEPENSE",IF(COUNTIF(PARAMETRES!$G$5:$G$20,$E172)=0,"Catégorie ?","OK"),"Type ?"))))</f>
        <v/>
      </c>
    </row>
    <row r="173" customFormat="false" ht="16.5" hidden="false" customHeight="true" outlineLevel="0" collapsed="false">
      <c r="A173" s="81" t="str">
        <f aca="false">IF($B173="","",ROW()-7)</f>
        <v/>
      </c>
      <c r="B173" s="82"/>
      <c r="C173" s="83" t="str">
        <f aca="false">IF($B173="","",YEAR($B173)*100+MONTH($B173))</f>
        <v/>
      </c>
      <c r="D173" s="84"/>
      <c r="E173" s="85"/>
      <c r="F173" s="85"/>
      <c r="G173" s="86"/>
      <c r="H173" s="87"/>
      <c r="I173" s="88"/>
      <c r="J173" s="89" t="str">
        <f aca="false">IF($B173="","",IF(N($H173)&lt;=0,"Montant ?",IF($D173="RECETTE",IF(COUNTIF(PARAMETRES!$E$5:$E$9,$E173)=0,"Catégorie ?","OK"),IF($D173="DEPENSE",IF(COUNTIF(PARAMETRES!$G$5:$G$20,$E173)=0,"Catégorie ?","OK"),"Type ?"))))</f>
        <v/>
      </c>
    </row>
    <row r="174" customFormat="false" ht="16.5" hidden="false" customHeight="true" outlineLevel="0" collapsed="false">
      <c r="A174" s="72" t="str">
        <f aca="false">IF($B174="","",ROW()-7)</f>
        <v/>
      </c>
      <c r="B174" s="73"/>
      <c r="C174" s="74" t="str">
        <f aca="false">IF($B174="","",YEAR($B174)*100+MONTH($B174))</f>
        <v/>
      </c>
      <c r="D174" s="75"/>
      <c r="E174" s="76"/>
      <c r="F174" s="76"/>
      <c r="G174" s="77"/>
      <c r="H174" s="78"/>
      <c r="I174" s="79"/>
      <c r="J174" s="80" t="str">
        <f aca="false">IF($B174="","",IF(N($H174)&lt;=0,"Montant ?",IF($D174="RECETTE",IF(COUNTIF(PARAMETRES!$E$5:$E$9,$E174)=0,"Catégorie ?","OK"),IF($D174="DEPENSE",IF(COUNTIF(PARAMETRES!$G$5:$G$20,$E174)=0,"Catégorie ?","OK"),"Type ?"))))</f>
        <v/>
      </c>
    </row>
    <row r="175" customFormat="false" ht="16.5" hidden="false" customHeight="true" outlineLevel="0" collapsed="false">
      <c r="A175" s="81" t="str">
        <f aca="false">IF($B175="","",ROW()-7)</f>
        <v/>
      </c>
      <c r="B175" s="82"/>
      <c r="C175" s="83" t="str">
        <f aca="false">IF($B175="","",YEAR($B175)*100+MONTH($B175))</f>
        <v/>
      </c>
      <c r="D175" s="84"/>
      <c r="E175" s="85"/>
      <c r="F175" s="85"/>
      <c r="G175" s="86"/>
      <c r="H175" s="87"/>
      <c r="I175" s="88"/>
      <c r="J175" s="89" t="str">
        <f aca="false">IF($B175="","",IF(N($H175)&lt;=0,"Montant ?",IF($D175="RECETTE",IF(COUNTIF(PARAMETRES!$E$5:$E$9,$E175)=0,"Catégorie ?","OK"),IF($D175="DEPENSE",IF(COUNTIF(PARAMETRES!$G$5:$G$20,$E175)=0,"Catégorie ?","OK"),"Type ?"))))</f>
        <v/>
      </c>
    </row>
    <row r="176" customFormat="false" ht="16.5" hidden="false" customHeight="true" outlineLevel="0" collapsed="false">
      <c r="A176" s="72" t="str">
        <f aca="false">IF($B176="","",ROW()-7)</f>
        <v/>
      </c>
      <c r="B176" s="73"/>
      <c r="C176" s="74" t="str">
        <f aca="false">IF($B176="","",YEAR($B176)*100+MONTH($B176))</f>
        <v/>
      </c>
      <c r="D176" s="75"/>
      <c r="E176" s="76"/>
      <c r="F176" s="76"/>
      <c r="G176" s="77"/>
      <c r="H176" s="78"/>
      <c r="I176" s="79"/>
      <c r="J176" s="80" t="str">
        <f aca="false">IF($B176="","",IF(N($H176)&lt;=0,"Montant ?",IF($D176="RECETTE",IF(COUNTIF(PARAMETRES!$E$5:$E$9,$E176)=0,"Catégorie ?","OK"),IF($D176="DEPENSE",IF(COUNTIF(PARAMETRES!$G$5:$G$20,$E176)=0,"Catégorie ?","OK"),"Type ?"))))</f>
        <v/>
      </c>
    </row>
    <row r="177" customFormat="false" ht="16.5" hidden="false" customHeight="true" outlineLevel="0" collapsed="false">
      <c r="A177" s="81" t="str">
        <f aca="false">IF($B177="","",ROW()-7)</f>
        <v/>
      </c>
      <c r="B177" s="82"/>
      <c r="C177" s="83" t="str">
        <f aca="false">IF($B177="","",YEAR($B177)*100+MONTH($B177))</f>
        <v/>
      </c>
      <c r="D177" s="84"/>
      <c r="E177" s="85"/>
      <c r="F177" s="85"/>
      <c r="G177" s="86"/>
      <c r="H177" s="87"/>
      <c r="I177" s="88"/>
      <c r="J177" s="89" t="str">
        <f aca="false">IF($B177="","",IF(N($H177)&lt;=0,"Montant ?",IF($D177="RECETTE",IF(COUNTIF(PARAMETRES!$E$5:$E$9,$E177)=0,"Catégorie ?","OK"),IF($D177="DEPENSE",IF(COUNTIF(PARAMETRES!$G$5:$G$20,$E177)=0,"Catégorie ?","OK"),"Type ?"))))</f>
        <v/>
      </c>
    </row>
    <row r="178" customFormat="false" ht="16.5" hidden="false" customHeight="true" outlineLevel="0" collapsed="false">
      <c r="A178" s="72" t="str">
        <f aca="false">IF($B178="","",ROW()-7)</f>
        <v/>
      </c>
      <c r="B178" s="73"/>
      <c r="C178" s="74" t="str">
        <f aca="false">IF($B178="","",YEAR($B178)*100+MONTH($B178))</f>
        <v/>
      </c>
      <c r="D178" s="75"/>
      <c r="E178" s="76"/>
      <c r="F178" s="76"/>
      <c r="G178" s="77"/>
      <c r="H178" s="78"/>
      <c r="I178" s="79"/>
      <c r="J178" s="80" t="str">
        <f aca="false">IF($B178="","",IF(N($H178)&lt;=0,"Montant ?",IF($D178="RECETTE",IF(COUNTIF(PARAMETRES!$E$5:$E$9,$E178)=0,"Catégorie ?","OK"),IF($D178="DEPENSE",IF(COUNTIF(PARAMETRES!$G$5:$G$20,$E178)=0,"Catégorie ?","OK"),"Type ?"))))</f>
        <v/>
      </c>
    </row>
    <row r="179" customFormat="false" ht="16.5" hidden="false" customHeight="true" outlineLevel="0" collapsed="false">
      <c r="A179" s="81" t="str">
        <f aca="false">IF($B179="","",ROW()-7)</f>
        <v/>
      </c>
      <c r="B179" s="82"/>
      <c r="C179" s="83" t="str">
        <f aca="false">IF($B179="","",YEAR($B179)*100+MONTH($B179))</f>
        <v/>
      </c>
      <c r="D179" s="84"/>
      <c r="E179" s="85"/>
      <c r="F179" s="85"/>
      <c r="G179" s="86"/>
      <c r="H179" s="87"/>
      <c r="I179" s="88"/>
      <c r="J179" s="89" t="str">
        <f aca="false">IF($B179="","",IF(N($H179)&lt;=0,"Montant ?",IF($D179="RECETTE",IF(COUNTIF(PARAMETRES!$E$5:$E$9,$E179)=0,"Catégorie ?","OK"),IF($D179="DEPENSE",IF(COUNTIF(PARAMETRES!$G$5:$G$20,$E179)=0,"Catégorie ?","OK"),"Type ?"))))</f>
        <v/>
      </c>
    </row>
    <row r="180" customFormat="false" ht="16.5" hidden="false" customHeight="true" outlineLevel="0" collapsed="false">
      <c r="A180" s="72" t="str">
        <f aca="false">IF($B180="","",ROW()-7)</f>
        <v/>
      </c>
      <c r="B180" s="73"/>
      <c r="C180" s="74" t="str">
        <f aca="false">IF($B180="","",YEAR($B180)*100+MONTH($B180))</f>
        <v/>
      </c>
      <c r="D180" s="75"/>
      <c r="E180" s="76"/>
      <c r="F180" s="76"/>
      <c r="G180" s="77"/>
      <c r="H180" s="78"/>
      <c r="I180" s="79"/>
      <c r="J180" s="80" t="str">
        <f aca="false">IF($B180="","",IF(N($H180)&lt;=0,"Montant ?",IF($D180="RECETTE",IF(COUNTIF(PARAMETRES!$E$5:$E$9,$E180)=0,"Catégorie ?","OK"),IF($D180="DEPENSE",IF(COUNTIF(PARAMETRES!$G$5:$G$20,$E180)=0,"Catégorie ?","OK"),"Type ?"))))</f>
        <v/>
      </c>
    </row>
    <row r="181" customFormat="false" ht="16.5" hidden="false" customHeight="true" outlineLevel="0" collapsed="false">
      <c r="A181" s="81" t="str">
        <f aca="false">IF($B181="","",ROW()-7)</f>
        <v/>
      </c>
      <c r="B181" s="82"/>
      <c r="C181" s="83" t="str">
        <f aca="false">IF($B181="","",YEAR($B181)*100+MONTH($B181))</f>
        <v/>
      </c>
      <c r="D181" s="84"/>
      <c r="E181" s="85"/>
      <c r="F181" s="85"/>
      <c r="G181" s="86"/>
      <c r="H181" s="87"/>
      <c r="I181" s="88"/>
      <c r="J181" s="89" t="str">
        <f aca="false">IF($B181="","",IF(N($H181)&lt;=0,"Montant ?",IF($D181="RECETTE",IF(COUNTIF(PARAMETRES!$E$5:$E$9,$E181)=0,"Catégorie ?","OK"),IF($D181="DEPENSE",IF(COUNTIF(PARAMETRES!$G$5:$G$20,$E181)=0,"Catégorie ?","OK"),"Type ?"))))</f>
        <v/>
      </c>
    </row>
    <row r="182" customFormat="false" ht="16.5" hidden="false" customHeight="true" outlineLevel="0" collapsed="false">
      <c r="A182" s="72" t="str">
        <f aca="false">IF($B182="","",ROW()-7)</f>
        <v/>
      </c>
      <c r="B182" s="73"/>
      <c r="C182" s="74" t="str">
        <f aca="false">IF($B182="","",YEAR($B182)*100+MONTH($B182))</f>
        <v/>
      </c>
      <c r="D182" s="75"/>
      <c r="E182" s="76"/>
      <c r="F182" s="76"/>
      <c r="G182" s="77"/>
      <c r="H182" s="78"/>
      <c r="I182" s="79"/>
      <c r="J182" s="80" t="str">
        <f aca="false">IF($B182="","",IF(N($H182)&lt;=0,"Montant ?",IF($D182="RECETTE",IF(COUNTIF(PARAMETRES!$E$5:$E$9,$E182)=0,"Catégorie ?","OK"),IF($D182="DEPENSE",IF(COUNTIF(PARAMETRES!$G$5:$G$20,$E182)=0,"Catégorie ?","OK"),"Type ?"))))</f>
        <v/>
      </c>
    </row>
    <row r="183" customFormat="false" ht="16.5" hidden="false" customHeight="true" outlineLevel="0" collapsed="false">
      <c r="A183" s="81" t="str">
        <f aca="false">IF($B183="","",ROW()-7)</f>
        <v/>
      </c>
      <c r="B183" s="82"/>
      <c r="C183" s="83" t="str">
        <f aca="false">IF($B183="","",YEAR($B183)*100+MONTH($B183))</f>
        <v/>
      </c>
      <c r="D183" s="84"/>
      <c r="E183" s="85"/>
      <c r="F183" s="85"/>
      <c r="G183" s="86"/>
      <c r="H183" s="87"/>
      <c r="I183" s="88"/>
      <c r="J183" s="89" t="str">
        <f aca="false">IF($B183="","",IF(N($H183)&lt;=0,"Montant ?",IF($D183="RECETTE",IF(COUNTIF(PARAMETRES!$E$5:$E$9,$E183)=0,"Catégorie ?","OK"),IF($D183="DEPENSE",IF(COUNTIF(PARAMETRES!$G$5:$G$20,$E183)=0,"Catégorie ?","OK"),"Type ?"))))</f>
        <v/>
      </c>
    </row>
    <row r="184" customFormat="false" ht="16.5" hidden="false" customHeight="true" outlineLevel="0" collapsed="false">
      <c r="A184" s="72" t="str">
        <f aca="false">IF($B184="","",ROW()-7)</f>
        <v/>
      </c>
      <c r="B184" s="73"/>
      <c r="C184" s="74" t="str">
        <f aca="false">IF($B184="","",YEAR($B184)*100+MONTH($B184))</f>
        <v/>
      </c>
      <c r="D184" s="75"/>
      <c r="E184" s="76"/>
      <c r="F184" s="76"/>
      <c r="G184" s="77"/>
      <c r="H184" s="78"/>
      <c r="I184" s="79"/>
      <c r="J184" s="80" t="str">
        <f aca="false">IF($B184="","",IF(N($H184)&lt;=0,"Montant ?",IF($D184="RECETTE",IF(COUNTIF(PARAMETRES!$E$5:$E$9,$E184)=0,"Catégorie ?","OK"),IF($D184="DEPENSE",IF(COUNTIF(PARAMETRES!$G$5:$G$20,$E184)=0,"Catégorie ?","OK"),"Type ?"))))</f>
        <v/>
      </c>
    </row>
    <row r="185" customFormat="false" ht="16.5" hidden="false" customHeight="true" outlineLevel="0" collapsed="false">
      <c r="A185" s="81" t="str">
        <f aca="false">IF($B185="","",ROW()-7)</f>
        <v/>
      </c>
      <c r="B185" s="82"/>
      <c r="C185" s="83" t="str">
        <f aca="false">IF($B185="","",YEAR($B185)*100+MONTH($B185))</f>
        <v/>
      </c>
      <c r="D185" s="84"/>
      <c r="E185" s="85"/>
      <c r="F185" s="85"/>
      <c r="G185" s="86"/>
      <c r="H185" s="87"/>
      <c r="I185" s="88"/>
      <c r="J185" s="89" t="str">
        <f aca="false">IF($B185="","",IF(N($H185)&lt;=0,"Montant ?",IF($D185="RECETTE",IF(COUNTIF(PARAMETRES!$E$5:$E$9,$E185)=0,"Catégorie ?","OK"),IF($D185="DEPENSE",IF(COUNTIF(PARAMETRES!$G$5:$G$20,$E185)=0,"Catégorie ?","OK"),"Type ?"))))</f>
        <v/>
      </c>
    </row>
    <row r="186" customFormat="false" ht="16.5" hidden="false" customHeight="true" outlineLevel="0" collapsed="false">
      <c r="A186" s="72" t="str">
        <f aca="false">IF($B186="","",ROW()-7)</f>
        <v/>
      </c>
      <c r="B186" s="73"/>
      <c r="C186" s="74" t="str">
        <f aca="false">IF($B186="","",YEAR($B186)*100+MONTH($B186))</f>
        <v/>
      </c>
      <c r="D186" s="75"/>
      <c r="E186" s="76"/>
      <c r="F186" s="76"/>
      <c r="G186" s="77"/>
      <c r="H186" s="78"/>
      <c r="I186" s="79"/>
      <c r="J186" s="80" t="str">
        <f aca="false">IF($B186="","",IF(N($H186)&lt;=0,"Montant ?",IF($D186="RECETTE",IF(COUNTIF(PARAMETRES!$E$5:$E$9,$E186)=0,"Catégorie ?","OK"),IF($D186="DEPENSE",IF(COUNTIF(PARAMETRES!$G$5:$G$20,$E186)=0,"Catégorie ?","OK"),"Type ?"))))</f>
        <v/>
      </c>
    </row>
    <row r="187" customFormat="false" ht="16.5" hidden="false" customHeight="true" outlineLevel="0" collapsed="false">
      <c r="A187" s="81" t="str">
        <f aca="false">IF($B187="","",ROW()-7)</f>
        <v/>
      </c>
      <c r="B187" s="82"/>
      <c r="C187" s="83" t="str">
        <f aca="false">IF($B187="","",YEAR($B187)*100+MONTH($B187))</f>
        <v/>
      </c>
      <c r="D187" s="84"/>
      <c r="E187" s="85"/>
      <c r="F187" s="85"/>
      <c r="G187" s="86"/>
      <c r="H187" s="87"/>
      <c r="I187" s="88"/>
      <c r="J187" s="89" t="str">
        <f aca="false">IF($B187="","",IF(N($H187)&lt;=0,"Montant ?",IF($D187="RECETTE",IF(COUNTIF(PARAMETRES!$E$5:$E$9,$E187)=0,"Catégorie ?","OK"),IF($D187="DEPENSE",IF(COUNTIF(PARAMETRES!$G$5:$G$20,$E187)=0,"Catégorie ?","OK"),"Type ?"))))</f>
        <v/>
      </c>
    </row>
    <row r="188" customFormat="false" ht="16.5" hidden="false" customHeight="true" outlineLevel="0" collapsed="false">
      <c r="A188" s="72" t="str">
        <f aca="false">IF($B188="","",ROW()-7)</f>
        <v/>
      </c>
      <c r="B188" s="73"/>
      <c r="C188" s="74" t="str">
        <f aca="false">IF($B188="","",YEAR($B188)*100+MONTH($B188))</f>
        <v/>
      </c>
      <c r="D188" s="75"/>
      <c r="E188" s="76"/>
      <c r="F188" s="76"/>
      <c r="G188" s="77"/>
      <c r="H188" s="78"/>
      <c r="I188" s="79"/>
      <c r="J188" s="80" t="str">
        <f aca="false">IF($B188="","",IF(N($H188)&lt;=0,"Montant ?",IF($D188="RECETTE",IF(COUNTIF(PARAMETRES!$E$5:$E$9,$E188)=0,"Catégorie ?","OK"),IF($D188="DEPENSE",IF(COUNTIF(PARAMETRES!$G$5:$G$20,$E188)=0,"Catégorie ?","OK"),"Type ?"))))</f>
        <v/>
      </c>
    </row>
    <row r="189" customFormat="false" ht="16.5" hidden="false" customHeight="true" outlineLevel="0" collapsed="false">
      <c r="A189" s="81" t="str">
        <f aca="false">IF($B189="","",ROW()-7)</f>
        <v/>
      </c>
      <c r="B189" s="82"/>
      <c r="C189" s="83" t="str">
        <f aca="false">IF($B189="","",YEAR($B189)*100+MONTH($B189))</f>
        <v/>
      </c>
      <c r="D189" s="84"/>
      <c r="E189" s="85"/>
      <c r="F189" s="85"/>
      <c r="G189" s="86"/>
      <c r="H189" s="87"/>
      <c r="I189" s="88"/>
      <c r="J189" s="89" t="str">
        <f aca="false">IF($B189="","",IF(N($H189)&lt;=0,"Montant ?",IF($D189="RECETTE",IF(COUNTIF(PARAMETRES!$E$5:$E$9,$E189)=0,"Catégorie ?","OK"),IF($D189="DEPENSE",IF(COUNTIF(PARAMETRES!$G$5:$G$20,$E189)=0,"Catégorie ?","OK"),"Type ?"))))</f>
        <v/>
      </c>
    </row>
    <row r="190" customFormat="false" ht="16.5" hidden="false" customHeight="true" outlineLevel="0" collapsed="false">
      <c r="A190" s="72" t="str">
        <f aca="false">IF($B190="","",ROW()-7)</f>
        <v/>
      </c>
      <c r="B190" s="73"/>
      <c r="C190" s="74" t="str">
        <f aca="false">IF($B190="","",YEAR($B190)*100+MONTH($B190))</f>
        <v/>
      </c>
      <c r="D190" s="75"/>
      <c r="E190" s="76"/>
      <c r="F190" s="76"/>
      <c r="G190" s="77"/>
      <c r="H190" s="78"/>
      <c r="I190" s="79"/>
      <c r="J190" s="80" t="str">
        <f aca="false">IF($B190="","",IF(N($H190)&lt;=0,"Montant ?",IF($D190="RECETTE",IF(COUNTIF(PARAMETRES!$E$5:$E$9,$E190)=0,"Catégorie ?","OK"),IF($D190="DEPENSE",IF(COUNTIF(PARAMETRES!$G$5:$G$20,$E190)=0,"Catégorie ?","OK"),"Type ?"))))</f>
        <v/>
      </c>
    </row>
    <row r="191" customFormat="false" ht="16.5" hidden="false" customHeight="true" outlineLevel="0" collapsed="false">
      <c r="A191" s="81" t="str">
        <f aca="false">IF($B191="","",ROW()-7)</f>
        <v/>
      </c>
      <c r="B191" s="82"/>
      <c r="C191" s="83" t="str">
        <f aca="false">IF($B191="","",YEAR($B191)*100+MONTH($B191))</f>
        <v/>
      </c>
      <c r="D191" s="84"/>
      <c r="E191" s="85"/>
      <c r="F191" s="85"/>
      <c r="G191" s="86"/>
      <c r="H191" s="87"/>
      <c r="I191" s="88"/>
      <c r="J191" s="89" t="str">
        <f aca="false">IF($B191="","",IF(N($H191)&lt;=0,"Montant ?",IF($D191="RECETTE",IF(COUNTIF(PARAMETRES!$E$5:$E$9,$E191)=0,"Catégorie ?","OK"),IF($D191="DEPENSE",IF(COUNTIF(PARAMETRES!$G$5:$G$20,$E191)=0,"Catégorie ?","OK"),"Type ?"))))</f>
        <v/>
      </c>
    </row>
    <row r="192" customFormat="false" ht="16.5" hidden="false" customHeight="true" outlineLevel="0" collapsed="false">
      <c r="A192" s="72" t="str">
        <f aca="false">IF($B192="","",ROW()-7)</f>
        <v/>
      </c>
      <c r="B192" s="73"/>
      <c r="C192" s="74" t="str">
        <f aca="false">IF($B192="","",YEAR($B192)*100+MONTH($B192))</f>
        <v/>
      </c>
      <c r="D192" s="75"/>
      <c r="E192" s="76"/>
      <c r="F192" s="76"/>
      <c r="G192" s="77"/>
      <c r="H192" s="78"/>
      <c r="I192" s="79"/>
      <c r="J192" s="80" t="str">
        <f aca="false">IF($B192="","",IF(N($H192)&lt;=0,"Montant ?",IF($D192="RECETTE",IF(COUNTIF(PARAMETRES!$E$5:$E$9,$E192)=0,"Catégorie ?","OK"),IF($D192="DEPENSE",IF(COUNTIF(PARAMETRES!$G$5:$G$20,$E192)=0,"Catégorie ?","OK"),"Type ?"))))</f>
        <v/>
      </c>
    </row>
    <row r="193" customFormat="false" ht="16.5" hidden="false" customHeight="true" outlineLevel="0" collapsed="false">
      <c r="A193" s="81" t="str">
        <f aca="false">IF($B193="","",ROW()-7)</f>
        <v/>
      </c>
      <c r="B193" s="82"/>
      <c r="C193" s="83" t="str">
        <f aca="false">IF($B193="","",YEAR($B193)*100+MONTH($B193))</f>
        <v/>
      </c>
      <c r="D193" s="84"/>
      <c r="E193" s="85"/>
      <c r="F193" s="85"/>
      <c r="G193" s="86"/>
      <c r="H193" s="87"/>
      <c r="I193" s="88"/>
      <c r="J193" s="89" t="str">
        <f aca="false">IF($B193="","",IF(N($H193)&lt;=0,"Montant ?",IF($D193="RECETTE",IF(COUNTIF(PARAMETRES!$E$5:$E$9,$E193)=0,"Catégorie ?","OK"),IF($D193="DEPENSE",IF(COUNTIF(PARAMETRES!$G$5:$G$20,$E193)=0,"Catégorie ?","OK"),"Type ?"))))</f>
        <v/>
      </c>
    </row>
    <row r="194" customFormat="false" ht="16.5" hidden="false" customHeight="true" outlineLevel="0" collapsed="false">
      <c r="A194" s="72" t="str">
        <f aca="false">IF($B194="","",ROW()-7)</f>
        <v/>
      </c>
      <c r="B194" s="73"/>
      <c r="C194" s="74" t="str">
        <f aca="false">IF($B194="","",YEAR($B194)*100+MONTH($B194))</f>
        <v/>
      </c>
      <c r="D194" s="75"/>
      <c r="E194" s="76"/>
      <c r="F194" s="76"/>
      <c r="G194" s="77"/>
      <c r="H194" s="78"/>
      <c r="I194" s="79"/>
      <c r="J194" s="80" t="str">
        <f aca="false">IF($B194="","",IF(N($H194)&lt;=0,"Montant ?",IF($D194="RECETTE",IF(COUNTIF(PARAMETRES!$E$5:$E$9,$E194)=0,"Catégorie ?","OK"),IF($D194="DEPENSE",IF(COUNTIF(PARAMETRES!$G$5:$G$20,$E194)=0,"Catégorie ?","OK"),"Type ?"))))</f>
        <v/>
      </c>
    </row>
    <row r="195" customFormat="false" ht="16.5" hidden="false" customHeight="true" outlineLevel="0" collapsed="false">
      <c r="A195" s="81" t="str">
        <f aca="false">IF($B195="","",ROW()-7)</f>
        <v/>
      </c>
      <c r="B195" s="82"/>
      <c r="C195" s="83" t="str">
        <f aca="false">IF($B195="","",YEAR($B195)*100+MONTH($B195))</f>
        <v/>
      </c>
      <c r="D195" s="84"/>
      <c r="E195" s="85"/>
      <c r="F195" s="85"/>
      <c r="G195" s="86"/>
      <c r="H195" s="87"/>
      <c r="I195" s="88"/>
      <c r="J195" s="89" t="str">
        <f aca="false">IF($B195="","",IF(N($H195)&lt;=0,"Montant ?",IF($D195="RECETTE",IF(COUNTIF(PARAMETRES!$E$5:$E$9,$E195)=0,"Catégorie ?","OK"),IF($D195="DEPENSE",IF(COUNTIF(PARAMETRES!$G$5:$G$20,$E195)=0,"Catégorie ?","OK"),"Type ?"))))</f>
        <v/>
      </c>
    </row>
    <row r="196" customFormat="false" ht="16.5" hidden="false" customHeight="true" outlineLevel="0" collapsed="false">
      <c r="A196" s="72" t="str">
        <f aca="false">IF($B196="","",ROW()-7)</f>
        <v/>
      </c>
      <c r="B196" s="73"/>
      <c r="C196" s="74" t="str">
        <f aca="false">IF($B196="","",YEAR($B196)*100+MONTH($B196))</f>
        <v/>
      </c>
      <c r="D196" s="75"/>
      <c r="E196" s="76"/>
      <c r="F196" s="76"/>
      <c r="G196" s="77"/>
      <c r="H196" s="78"/>
      <c r="I196" s="79"/>
      <c r="J196" s="80" t="str">
        <f aca="false">IF($B196="","",IF(N($H196)&lt;=0,"Montant ?",IF($D196="RECETTE",IF(COUNTIF(PARAMETRES!$E$5:$E$9,$E196)=0,"Catégorie ?","OK"),IF($D196="DEPENSE",IF(COUNTIF(PARAMETRES!$G$5:$G$20,$E196)=0,"Catégorie ?","OK"),"Type ?"))))</f>
        <v/>
      </c>
    </row>
    <row r="197" customFormat="false" ht="16.5" hidden="false" customHeight="true" outlineLevel="0" collapsed="false">
      <c r="A197" s="81" t="str">
        <f aca="false">IF($B197="","",ROW()-7)</f>
        <v/>
      </c>
      <c r="B197" s="82"/>
      <c r="C197" s="83" t="str">
        <f aca="false">IF($B197="","",YEAR($B197)*100+MONTH($B197))</f>
        <v/>
      </c>
      <c r="D197" s="84"/>
      <c r="E197" s="85"/>
      <c r="F197" s="85"/>
      <c r="G197" s="86"/>
      <c r="H197" s="87"/>
      <c r="I197" s="88"/>
      <c r="J197" s="89" t="str">
        <f aca="false">IF($B197="","",IF(N($H197)&lt;=0,"Montant ?",IF($D197="RECETTE",IF(COUNTIF(PARAMETRES!$E$5:$E$9,$E197)=0,"Catégorie ?","OK"),IF($D197="DEPENSE",IF(COUNTIF(PARAMETRES!$G$5:$G$20,$E197)=0,"Catégorie ?","OK"),"Type ?"))))</f>
        <v/>
      </c>
    </row>
    <row r="198" customFormat="false" ht="16.5" hidden="false" customHeight="true" outlineLevel="0" collapsed="false">
      <c r="A198" s="72" t="str">
        <f aca="false">IF($B198="","",ROW()-7)</f>
        <v/>
      </c>
      <c r="B198" s="73"/>
      <c r="C198" s="74" t="str">
        <f aca="false">IF($B198="","",YEAR($B198)*100+MONTH($B198))</f>
        <v/>
      </c>
      <c r="D198" s="75"/>
      <c r="E198" s="76"/>
      <c r="F198" s="76"/>
      <c r="G198" s="77"/>
      <c r="H198" s="78"/>
      <c r="I198" s="79"/>
      <c r="J198" s="80" t="str">
        <f aca="false">IF($B198="","",IF(N($H198)&lt;=0,"Montant ?",IF($D198="RECETTE",IF(COUNTIF(PARAMETRES!$E$5:$E$9,$E198)=0,"Catégorie ?","OK"),IF($D198="DEPENSE",IF(COUNTIF(PARAMETRES!$G$5:$G$20,$E198)=0,"Catégorie ?","OK"),"Type ?"))))</f>
        <v/>
      </c>
    </row>
    <row r="199" customFormat="false" ht="16.5" hidden="false" customHeight="true" outlineLevel="0" collapsed="false">
      <c r="A199" s="81" t="str">
        <f aca="false">IF($B199="","",ROW()-7)</f>
        <v/>
      </c>
      <c r="B199" s="82"/>
      <c r="C199" s="83" t="str">
        <f aca="false">IF($B199="","",YEAR($B199)*100+MONTH($B199))</f>
        <v/>
      </c>
      <c r="D199" s="84"/>
      <c r="E199" s="85"/>
      <c r="F199" s="85"/>
      <c r="G199" s="86"/>
      <c r="H199" s="87"/>
      <c r="I199" s="88"/>
      <c r="J199" s="89" t="str">
        <f aca="false">IF($B199="","",IF(N($H199)&lt;=0,"Montant ?",IF($D199="RECETTE",IF(COUNTIF(PARAMETRES!$E$5:$E$9,$E199)=0,"Catégorie ?","OK"),IF($D199="DEPENSE",IF(COUNTIF(PARAMETRES!$G$5:$G$20,$E199)=0,"Catégorie ?","OK"),"Type ?"))))</f>
        <v/>
      </c>
    </row>
    <row r="200" customFormat="false" ht="16.5" hidden="false" customHeight="true" outlineLevel="0" collapsed="false">
      <c r="A200" s="72" t="str">
        <f aca="false">IF($B200="","",ROW()-7)</f>
        <v/>
      </c>
      <c r="B200" s="73"/>
      <c r="C200" s="74" t="str">
        <f aca="false">IF($B200="","",YEAR($B200)*100+MONTH($B200))</f>
        <v/>
      </c>
      <c r="D200" s="75"/>
      <c r="E200" s="76"/>
      <c r="F200" s="76"/>
      <c r="G200" s="77"/>
      <c r="H200" s="78"/>
      <c r="I200" s="79"/>
      <c r="J200" s="80" t="str">
        <f aca="false">IF($B200="","",IF(N($H200)&lt;=0,"Montant ?",IF($D200="RECETTE",IF(COUNTIF(PARAMETRES!$E$5:$E$9,$E200)=0,"Catégorie ?","OK"),IF($D200="DEPENSE",IF(COUNTIF(PARAMETRES!$G$5:$G$20,$E200)=0,"Catégorie ?","OK"),"Type ?"))))</f>
        <v/>
      </c>
    </row>
    <row r="201" customFormat="false" ht="16.5" hidden="false" customHeight="true" outlineLevel="0" collapsed="false">
      <c r="A201" s="81" t="str">
        <f aca="false">IF($B201="","",ROW()-7)</f>
        <v/>
      </c>
      <c r="B201" s="82"/>
      <c r="C201" s="83" t="str">
        <f aca="false">IF($B201="","",YEAR($B201)*100+MONTH($B201))</f>
        <v/>
      </c>
      <c r="D201" s="84"/>
      <c r="E201" s="85"/>
      <c r="F201" s="85"/>
      <c r="G201" s="86"/>
      <c r="H201" s="87"/>
      <c r="I201" s="88"/>
      <c r="J201" s="89" t="str">
        <f aca="false">IF($B201="","",IF(N($H201)&lt;=0,"Montant ?",IF($D201="RECETTE",IF(COUNTIF(PARAMETRES!$E$5:$E$9,$E201)=0,"Catégorie ?","OK"),IF($D201="DEPENSE",IF(COUNTIF(PARAMETRES!$G$5:$G$20,$E201)=0,"Catégorie ?","OK"),"Type ?"))))</f>
        <v/>
      </c>
    </row>
    <row r="202" customFormat="false" ht="16.5" hidden="false" customHeight="true" outlineLevel="0" collapsed="false">
      <c r="A202" s="72" t="str">
        <f aca="false">IF($B202="","",ROW()-7)</f>
        <v/>
      </c>
      <c r="B202" s="73"/>
      <c r="C202" s="74" t="str">
        <f aca="false">IF($B202="","",YEAR($B202)*100+MONTH($B202))</f>
        <v/>
      </c>
      <c r="D202" s="75"/>
      <c r="E202" s="76"/>
      <c r="F202" s="76"/>
      <c r="G202" s="77"/>
      <c r="H202" s="78"/>
      <c r="I202" s="79"/>
      <c r="J202" s="80" t="str">
        <f aca="false">IF($B202="","",IF(N($H202)&lt;=0,"Montant ?",IF($D202="RECETTE",IF(COUNTIF(PARAMETRES!$E$5:$E$9,$E202)=0,"Catégorie ?","OK"),IF($D202="DEPENSE",IF(COUNTIF(PARAMETRES!$G$5:$G$20,$E202)=0,"Catégorie ?","OK"),"Type ?"))))</f>
        <v/>
      </c>
    </row>
    <row r="203" customFormat="false" ht="16.5" hidden="false" customHeight="true" outlineLevel="0" collapsed="false">
      <c r="A203" s="81" t="str">
        <f aca="false">IF($B203="","",ROW()-7)</f>
        <v/>
      </c>
      <c r="B203" s="82"/>
      <c r="C203" s="83" t="str">
        <f aca="false">IF($B203="","",YEAR($B203)*100+MONTH($B203))</f>
        <v/>
      </c>
      <c r="D203" s="84"/>
      <c r="E203" s="85"/>
      <c r="F203" s="85"/>
      <c r="G203" s="86"/>
      <c r="H203" s="87"/>
      <c r="I203" s="88"/>
      <c r="J203" s="89" t="str">
        <f aca="false">IF($B203="","",IF(N($H203)&lt;=0,"Montant ?",IF($D203="RECETTE",IF(COUNTIF(PARAMETRES!$E$5:$E$9,$E203)=0,"Catégorie ?","OK"),IF($D203="DEPENSE",IF(COUNTIF(PARAMETRES!$G$5:$G$20,$E203)=0,"Catégorie ?","OK"),"Type ?"))))</f>
        <v/>
      </c>
    </row>
    <row r="204" customFormat="false" ht="16.5" hidden="false" customHeight="true" outlineLevel="0" collapsed="false">
      <c r="A204" s="72" t="str">
        <f aca="false">IF($B204="","",ROW()-7)</f>
        <v/>
      </c>
      <c r="B204" s="73"/>
      <c r="C204" s="74" t="str">
        <f aca="false">IF($B204="","",YEAR($B204)*100+MONTH($B204))</f>
        <v/>
      </c>
      <c r="D204" s="75"/>
      <c r="E204" s="76"/>
      <c r="F204" s="76"/>
      <c r="G204" s="77"/>
      <c r="H204" s="78"/>
      <c r="I204" s="79"/>
      <c r="J204" s="80" t="str">
        <f aca="false">IF($B204="","",IF(N($H204)&lt;=0,"Montant ?",IF($D204="RECETTE",IF(COUNTIF(PARAMETRES!$E$5:$E$9,$E204)=0,"Catégorie ?","OK"),IF($D204="DEPENSE",IF(COUNTIF(PARAMETRES!$G$5:$G$20,$E204)=0,"Catégorie ?","OK"),"Type ?"))))</f>
        <v/>
      </c>
    </row>
    <row r="205" customFormat="false" ht="16.5" hidden="false" customHeight="true" outlineLevel="0" collapsed="false">
      <c r="A205" s="81" t="str">
        <f aca="false">IF($B205="","",ROW()-7)</f>
        <v/>
      </c>
      <c r="B205" s="82"/>
      <c r="C205" s="83" t="str">
        <f aca="false">IF($B205="","",YEAR($B205)*100+MONTH($B205))</f>
        <v/>
      </c>
      <c r="D205" s="84"/>
      <c r="E205" s="85"/>
      <c r="F205" s="85"/>
      <c r="G205" s="86"/>
      <c r="H205" s="87"/>
      <c r="I205" s="88"/>
      <c r="J205" s="89" t="str">
        <f aca="false">IF($B205="","",IF(N($H205)&lt;=0,"Montant ?",IF($D205="RECETTE",IF(COUNTIF(PARAMETRES!$E$5:$E$9,$E205)=0,"Catégorie ?","OK"),IF($D205="DEPENSE",IF(COUNTIF(PARAMETRES!$G$5:$G$20,$E205)=0,"Catégorie ?","OK"),"Type ?"))))</f>
        <v/>
      </c>
    </row>
    <row r="206" customFormat="false" ht="16.5" hidden="false" customHeight="true" outlineLevel="0" collapsed="false">
      <c r="A206" s="72" t="str">
        <f aca="false">IF($B206="","",ROW()-7)</f>
        <v/>
      </c>
      <c r="B206" s="73"/>
      <c r="C206" s="74" t="str">
        <f aca="false">IF($B206="","",YEAR($B206)*100+MONTH($B206))</f>
        <v/>
      </c>
      <c r="D206" s="75"/>
      <c r="E206" s="76"/>
      <c r="F206" s="76"/>
      <c r="G206" s="77"/>
      <c r="H206" s="78"/>
      <c r="I206" s="79"/>
      <c r="J206" s="80" t="str">
        <f aca="false">IF($B206="","",IF(N($H206)&lt;=0,"Montant ?",IF($D206="RECETTE",IF(COUNTIF(PARAMETRES!$E$5:$E$9,$E206)=0,"Catégorie ?","OK"),IF($D206="DEPENSE",IF(COUNTIF(PARAMETRES!$G$5:$G$20,$E206)=0,"Catégorie ?","OK"),"Type ?"))))</f>
        <v/>
      </c>
    </row>
    <row r="207" customFormat="false" ht="16.5" hidden="false" customHeight="true" outlineLevel="0" collapsed="false">
      <c r="A207" s="81" t="str">
        <f aca="false">IF($B207="","",ROW()-7)</f>
        <v/>
      </c>
      <c r="B207" s="82"/>
      <c r="C207" s="83" t="str">
        <f aca="false">IF($B207="","",YEAR($B207)*100+MONTH($B207))</f>
        <v/>
      </c>
      <c r="D207" s="84"/>
      <c r="E207" s="85"/>
      <c r="F207" s="85"/>
      <c r="G207" s="86"/>
      <c r="H207" s="87"/>
      <c r="I207" s="88"/>
      <c r="J207" s="89" t="str">
        <f aca="false">IF($B207="","",IF(N($H207)&lt;=0,"Montant ?",IF($D207="RECETTE",IF(COUNTIF(PARAMETRES!$E$5:$E$9,$E207)=0,"Catégorie ?","OK"),IF($D207="DEPENSE",IF(COUNTIF(PARAMETRES!$G$5:$G$20,$E207)=0,"Catégorie ?","OK"),"Type ?"))))</f>
        <v/>
      </c>
    </row>
    <row r="208" customFormat="false" ht="16.5" hidden="false" customHeight="true" outlineLevel="0" collapsed="false">
      <c r="A208" s="72" t="str">
        <f aca="false">IF($B208="","",ROW()-7)</f>
        <v/>
      </c>
      <c r="B208" s="73"/>
      <c r="C208" s="74" t="str">
        <f aca="false">IF($B208="","",YEAR($B208)*100+MONTH($B208))</f>
        <v/>
      </c>
      <c r="D208" s="75"/>
      <c r="E208" s="76"/>
      <c r="F208" s="76"/>
      <c r="G208" s="77"/>
      <c r="H208" s="78"/>
      <c r="I208" s="79"/>
      <c r="J208" s="80" t="str">
        <f aca="false">IF($B208="","",IF(N($H208)&lt;=0,"Montant ?",IF($D208="RECETTE",IF(COUNTIF(PARAMETRES!$E$5:$E$9,$E208)=0,"Catégorie ?","OK"),IF($D208="DEPENSE",IF(COUNTIF(PARAMETRES!$G$5:$G$20,$E208)=0,"Catégorie ?","OK"),"Type ?"))))</f>
        <v/>
      </c>
    </row>
    <row r="209" customFormat="false" ht="16.5" hidden="false" customHeight="true" outlineLevel="0" collapsed="false">
      <c r="A209" s="81" t="str">
        <f aca="false">IF($B209="","",ROW()-7)</f>
        <v/>
      </c>
      <c r="B209" s="82"/>
      <c r="C209" s="83" t="str">
        <f aca="false">IF($B209="","",YEAR($B209)*100+MONTH($B209))</f>
        <v/>
      </c>
      <c r="D209" s="84"/>
      <c r="E209" s="85"/>
      <c r="F209" s="85"/>
      <c r="G209" s="86"/>
      <c r="H209" s="87"/>
      <c r="I209" s="88"/>
      <c r="J209" s="89" t="str">
        <f aca="false">IF($B209="","",IF(N($H209)&lt;=0,"Montant ?",IF($D209="RECETTE",IF(COUNTIF(PARAMETRES!$E$5:$E$9,$E209)=0,"Catégorie ?","OK"),IF($D209="DEPENSE",IF(COUNTIF(PARAMETRES!$G$5:$G$20,$E209)=0,"Catégorie ?","OK"),"Type ?"))))</f>
        <v/>
      </c>
    </row>
    <row r="210" customFormat="false" ht="16.5" hidden="false" customHeight="true" outlineLevel="0" collapsed="false">
      <c r="A210" s="72" t="str">
        <f aca="false">IF($B210="","",ROW()-7)</f>
        <v/>
      </c>
      <c r="B210" s="73"/>
      <c r="C210" s="74" t="str">
        <f aca="false">IF($B210="","",YEAR($B210)*100+MONTH($B210))</f>
        <v/>
      </c>
      <c r="D210" s="75"/>
      <c r="E210" s="76"/>
      <c r="F210" s="76"/>
      <c r="G210" s="77"/>
      <c r="H210" s="78"/>
      <c r="I210" s="79"/>
      <c r="J210" s="80" t="str">
        <f aca="false">IF($B210="","",IF(N($H210)&lt;=0,"Montant ?",IF($D210="RECETTE",IF(COUNTIF(PARAMETRES!$E$5:$E$9,$E210)=0,"Catégorie ?","OK"),IF($D210="DEPENSE",IF(COUNTIF(PARAMETRES!$G$5:$G$20,$E210)=0,"Catégorie ?","OK"),"Type ?"))))</f>
        <v/>
      </c>
    </row>
    <row r="211" customFormat="false" ht="16.5" hidden="false" customHeight="true" outlineLevel="0" collapsed="false">
      <c r="A211" s="81" t="str">
        <f aca="false">IF($B211="","",ROW()-7)</f>
        <v/>
      </c>
      <c r="B211" s="82"/>
      <c r="C211" s="83" t="str">
        <f aca="false">IF($B211="","",YEAR($B211)*100+MONTH($B211))</f>
        <v/>
      </c>
      <c r="D211" s="84"/>
      <c r="E211" s="85"/>
      <c r="F211" s="85"/>
      <c r="G211" s="86"/>
      <c r="H211" s="87"/>
      <c r="I211" s="88"/>
      <c r="J211" s="89" t="str">
        <f aca="false">IF($B211="","",IF(N($H211)&lt;=0,"Montant ?",IF($D211="RECETTE",IF(COUNTIF(PARAMETRES!$E$5:$E$9,$E211)=0,"Catégorie ?","OK"),IF($D211="DEPENSE",IF(COUNTIF(PARAMETRES!$G$5:$G$20,$E211)=0,"Catégorie ?","OK"),"Type ?"))))</f>
        <v/>
      </c>
    </row>
    <row r="212" customFormat="false" ht="16.5" hidden="false" customHeight="true" outlineLevel="0" collapsed="false">
      <c r="A212" s="72" t="str">
        <f aca="false">IF($B212="","",ROW()-7)</f>
        <v/>
      </c>
      <c r="B212" s="73"/>
      <c r="C212" s="74" t="str">
        <f aca="false">IF($B212="","",YEAR($B212)*100+MONTH($B212))</f>
        <v/>
      </c>
      <c r="D212" s="75"/>
      <c r="E212" s="76"/>
      <c r="F212" s="76"/>
      <c r="G212" s="77"/>
      <c r="H212" s="78"/>
      <c r="I212" s="79"/>
      <c r="J212" s="80" t="str">
        <f aca="false">IF($B212="","",IF(N($H212)&lt;=0,"Montant ?",IF($D212="RECETTE",IF(COUNTIF(PARAMETRES!$E$5:$E$9,$E212)=0,"Catégorie ?","OK"),IF($D212="DEPENSE",IF(COUNTIF(PARAMETRES!$G$5:$G$20,$E212)=0,"Catégorie ?","OK"),"Type ?"))))</f>
        <v/>
      </c>
    </row>
    <row r="213" customFormat="false" ht="16.5" hidden="false" customHeight="true" outlineLevel="0" collapsed="false">
      <c r="A213" s="81" t="str">
        <f aca="false">IF($B213="","",ROW()-7)</f>
        <v/>
      </c>
      <c r="B213" s="82"/>
      <c r="C213" s="83" t="str">
        <f aca="false">IF($B213="","",YEAR($B213)*100+MONTH($B213))</f>
        <v/>
      </c>
      <c r="D213" s="84"/>
      <c r="E213" s="85"/>
      <c r="F213" s="85"/>
      <c r="G213" s="86"/>
      <c r="H213" s="87"/>
      <c r="I213" s="88"/>
      <c r="J213" s="89" t="str">
        <f aca="false">IF($B213="","",IF(N($H213)&lt;=0,"Montant ?",IF($D213="RECETTE",IF(COUNTIF(PARAMETRES!$E$5:$E$9,$E213)=0,"Catégorie ?","OK"),IF($D213="DEPENSE",IF(COUNTIF(PARAMETRES!$G$5:$G$20,$E213)=0,"Catégorie ?","OK"),"Type ?"))))</f>
        <v/>
      </c>
    </row>
    <row r="214" customFormat="false" ht="16.5" hidden="false" customHeight="true" outlineLevel="0" collapsed="false">
      <c r="A214" s="72" t="str">
        <f aca="false">IF($B214="","",ROW()-7)</f>
        <v/>
      </c>
      <c r="B214" s="73"/>
      <c r="C214" s="74" t="str">
        <f aca="false">IF($B214="","",YEAR($B214)*100+MONTH($B214))</f>
        <v/>
      </c>
      <c r="D214" s="75"/>
      <c r="E214" s="76"/>
      <c r="F214" s="76"/>
      <c r="G214" s="77"/>
      <c r="H214" s="78"/>
      <c r="I214" s="79"/>
      <c r="J214" s="80" t="str">
        <f aca="false">IF($B214="","",IF(N($H214)&lt;=0,"Montant ?",IF($D214="RECETTE",IF(COUNTIF(PARAMETRES!$E$5:$E$9,$E214)=0,"Catégorie ?","OK"),IF($D214="DEPENSE",IF(COUNTIF(PARAMETRES!$G$5:$G$20,$E214)=0,"Catégorie ?","OK"),"Type ?"))))</f>
        <v/>
      </c>
    </row>
    <row r="215" customFormat="false" ht="16.5" hidden="false" customHeight="true" outlineLevel="0" collapsed="false">
      <c r="A215" s="81" t="str">
        <f aca="false">IF($B215="","",ROW()-7)</f>
        <v/>
      </c>
      <c r="B215" s="82"/>
      <c r="C215" s="83" t="str">
        <f aca="false">IF($B215="","",YEAR($B215)*100+MONTH($B215))</f>
        <v/>
      </c>
      <c r="D215" s="84"/>
      <c r="E215" s="85"/>
      <c r="F215" s="85"/>
      <c r="G215" s="86"/>
      <c r="H215" s="87"/>
      <c r="I215" s="88"/>
      <c r="J215" s="89" t="str">
        <f aca="false">IF($B215="","",IF(N($H215)&lt;=0,"Montant ?",IF($D215="RECETTE",IF(COUNTIF(PARAMETRES!$E$5:$E$9,$E215)=0,"Catégorie ?","OK"),IF($D215="DEPENSE",IF(COUNTIF(PARAMETRES!$G$5:$G$20,$E215)=0,"Catégorie ?","OK"),"Type ?"))))</f>
        <v/>
      </c>
    </row>
    <row r="216" customFormat="false" ht="16.5" hidden="false" customHeight="true" outlineLevel="0" collapsed="false">
      <c r="A216" s="72" t="str">
        <f aca="false">IF($B216="","",ROW()-7)</f>
        <v/>
      </c>
      <c r="B216" s="73"/>
      <c r="C216" s="74" t="str">
        <f aca="false">IF($B216="","",YEAR($B216)*100+MONTH($B216))</f>
        <v/>
      </c>
      <c r="D216" s="75"/>
      <c r="E216" s="76"/>
      <c r="F216" s="76"/>
      <c r="G216" s="77"/>
      <c r="H216" s="78"/>
      <c r="I216" s="79"/>
      <c r="J216" s="80" t="str">
        <f aca="false">IF($B216="","",IF(N($H216)&lt;=0,"Montant ?",IF($D216="RECETTE",IF(COUNTIF(PARAMETRES!$E$5:$E$9,$E216)=0,"Catégorie ?","OK"),IF($D216="DEPENSE",IF(COUNTIF(PARAMETRES!$G$5:$G$20,$E216)=0,"Catégorie ?","OK"),"Type ?"))))</f>
        <v/>
      </c>
    </row>
    <row r="217" customFormat="false" ht="16.5" hidden="false" customHeight="true" outlineLevel="0" collapsed="false">
      <c r="A217" s="81" t="str">
        <f aca="false">IF($B217="","",ROW()-7)</f>
        <v/>
      </c>
      <c r="B217" s="82"/>
      <c r="C217" s="83" t="str">
        <f aca="false">IF($B217="","",YEAR($B217)*100+MONTH($B217))</f>
        <v/>
      </c>
      <c r="D217" s="84"/>
      <c r="E217" s="85"/>
      <c r="F217" s="85"/>
      <c r="G217" s="86"/>
      <c r="H217" s="87"/>
      <c r="I217" s="88"/>
      <c r="J217" s="89" t="str">
        <f aca="false">IF($B217="","",IF(N($H217)&lt;=0,"Montant ?",IF($D217="RECETTE",IF(COUNTIF(PARAMETRES!$E$5:$E$9,$E217)=0,"Catégorie ?","OK"),IF($D217="DEPENSE",IF(COUNTIF(PARAMETRES!$G$5:$G$20,$E217)=0,"Catégorie ?","OK"),"Type ?"))))</f>
        <v/>
      </c>
    </row>
    <row r="218" customFormat="false" ht="16.5" hidden="false" customHeight="true" outlineLevel="0" collapsed="false">
      <c r="A218" s="72" t="str">
        <f aca="false">IF($B218="","",ROW()-7)</f>
        <v/>
      </c>
      <c r="B218" s="73"/>
      <c r="C218" s="74" t="str">
        <f aca="false">IF($B218="","",YEAR($B218)*100+MONTH($B218))</f>
        <v/>
      </c>
      <c r="D218" s="75"/>
      <c r="E218" s="76"/>
      <c r="F218" s="76"/>
      <c r="G218" s="77"/>
      <c r="H218" s="78"/>
      <c r="I218" s="79"/>
      <c r="J218" s="80" t="str">
        <f aca="false">IF($B218="","",IF(N($H218)&lt;=0,"Montant ?",IF($D218="RECETTE",IF(COUNTIF(PARAMETRES!$E$5:$E$9,$E218)=0,"Catégorie ?","OK"),IF($D218="DEPENSE",IF(COUNTIF(PARAMETRES!$G$5:$G$20,$E218)=0,"Catégorie ?","OK"),"Type ?"))))</f>
        <v/>
      </c>
    </row>
    <row r="219" customFormat="false" ht="16.5" hidden="false" customHeight="true" outlineLevel="0" collapsed="false">
      <c r="A219" s="81" t="str">
        <f aca="false">IF($B219="","",ROW()-7)</f>
        <v/>
      </c>
      <c r="B219" s="82"/>
      <c r="C219" s="83" t="str">
        <f aca="false">IF($B219="","",YEAR($B219)*100+MONTH($B219))</f>
        <v/>
      </c>
      <c r="D219" s="84"/>
      <c r="E219" s="85"/>
      <c r="F219" s="85"/>
      <c r="G219" s="86"/>
      <c r="H219" s="87"/>
      <c r="I219" s="88"/>
      <c r="J219" s="89" t="str">
        <f aca="false">IF($B219="","",IF(N($H219)&lt;=0,"Montant ?",IF($D219="RECETTE",IF(COUNTIF(PARAMETRES!$E$5:$E$9,$E219)=0,"Catégorie ?","OK"),IF($D219="DEPENSE",IF(COUNTIF(PARAMETRES!$G$5:$G$20,$E219)=0,"Catégorie ?","OK"),"Type ?"))))</f>
        <v/>
      </c>
    </row>
    <row r="220" customFormat="false" ht="16.5" hidden="false" customHeight="true" outlineLevel="0" collapsed="false">
      <c r="A220" s="72" t="str">
        <f aca="false">IF($B220="","",ROW()-7)</f>
        <v/>
      </c>
      <c r="B220" s="73"/>
      <c r="C220" s="74" t="str">
        <f aca="false">IF($B220="","",YEAR($B220)*100+MONTH($B220))</f>
        <v/>
      </c>
      <c r="D220" s="75"/>
      <c r="E220" s="76"/>
      <c r="F220" s="76"/>
      <c r="G220" s="77"/>
      <c r="H220" s="78"/>
      <c r="I220" s="79"/>
      <c r="J220" s="80" t="str">
        <f aca="false">IF($B220="","",IF(N($H220)&lt;=0,"Montant ?",IF($D220="RECETTE",IF(COUNTIF(PARAMETRES!$E$5:$E$9,$E220)=0,"Catégorie ?","OK"),IF($D220="DEPENSE",IF(COUNTIF(PARAMETRES!$G$5:$G$20,$E220)=0,"Catégorie ?","OK"),"Type ?"))))</f>
        <v/>
      </c>
    </row>
    <row r="221" customFormat="false" ht="16.5" hidden="false" customHeight="true" outlineLevel="0" collapsed="false">
      <c r="A221" s="81" t="str">
        <f aca="false">IF($B221="","",ROW()-7)</f>
        <v/>
      </c>
      <c r="B221" s="82"/>
      <c r="C221" s="83" t="str">
        <f aca="false">IF($B221="","",YEAR($B221)*100+MONTH($B221))</f>
        <v/>
      </c>
      <c r="D221" s="84"/>
      <c r="E221" s="85"/>
      <c r="F221" s="85"/>
      <c r="G221" s="86"/>
      <c r="H221" s="87"/>
      <c r="I221" s="88"/>
      <c r="J221" s="89" t="str">
        <f aca="false">IF($B221="","",IF(N($H221)&lt;=0,"Montant ?",IF($D221="RECETTE",IF(COUNTIF(PARAMETRES!$E$5:$E$9,$E221)=0,"Catégorie ?","OK"),IF($D221="DEPENSE",IF(COUNTIF(PARAMETRES!$G$5:$G$20,$E221)=0,"Catégorie ?","OK"),"Type ?"))))</f>
        <v/>
      </c>
    </row>
    <row r="222" customFormat="false" ht="16.5" hidden="false" customHeight="true" outlineLevel="0" collapsed="false">
      <c r="A222" s="72" t="str">
        <f aca="false">IF($B222="","",ROW()-7)</f>
        <v/>
      </c>
      <c r="B222" s="73"/>
      <c r="C222" s="74" t="str">
        <f aca="false">IF($B222="","",YEAR($B222)*100+MONTH($B222))</f>
        <v/>
      </c>
      <c r="D222" s="75"/>
      <c r="E222" s="76"/>
      <c r="F222" s="76"/>
      <c r="G222" s="77"/>
      <c r="H222" s="78"/>
      <c r="I222" s="79"/>
      <c r="J222" s="80" t="str">
        <f aca="false">IF($B222="","",IF(N($H222)&lt;=0,"Montant ?",IF($D222="RECETTE",IF(COUNTIF(PARAMETRES!$E$5:$E$9,$E222)=0,"Catégorie ?","OK"),IF($D222="DEPENSE",IF(COUNTIF(PARAMETRES!$G$5:$G$20,$E222)=0,"Catégorie ?","OK"),"Type ?"))))</f>
        <v/>
      </c>
    </row>
    <row r="223" customFormat="false" ht="16.5" hidden="false" customHeight="true" outlineLevel="0" collapsed="false">
      <c r="A223" s="81" t="str">
        <f aca="false">IF($B223="","",ROW()-7)</f>
        <v/>
      </c>
      <c r="B223" s="82"/>
      <c r="C223" s="83" t="str">
        <f aca="false">IF($B223="","",YEAR($B223)*100+MONTH($B223))</f>
        <v/>
      </c>
      <c r="D223" s="84"/>
      <c r="E223" s="85"/>
      <c r="F223" s="85"/>
      <c r="G223" s="86"/>
      <c r="H223" s="87"/>
      <c r="I223" s="88"/>
      <c r="J223" s="89" t="str">
        <f aca="false">IF($B223="","",IF(N($H223)&lt;=0,"Montant ?",IF($D223="RECETTE",IF(COUNTIF(PARAMETRES!$E$5:$E$9,$E223)=0,"Catégorie ?","OK"),IF($D223="DEPENSE",IF(COUNTIF(PARAMETRES!$G$5:$G$20,$E223)=0,"Catégorie ?","OK"),"Type ?"))))</f>
        <v/>
      </c>
    </row>
    <row r="224" customFormat="false" ht="16.5" hidden="false" customHeight="true" outlineLevel="0" collapsed="false">
      <c r="A224" s="72" t="str">
        <f aca="false">IF($B224="","",ROW()-7)</f>
        <v/>
      </c>
      <c r="B224" s="73"/>
      <c r="C224" s="74" t="str">
        <f aca="false">IF($B224="","",YEAR($B224)*100+MONTH($B224))</f>
        <v/>
      </c>
      <c r="D224" s="75"/>
      <c r="E224" s="76"/>
      <c r="F224" s="76"/>
      <c r="G224" s="77"/>
      <c r="H224" s="78"/>
      <c r="I224" s="79"/>
      <c r="J224" s="80" t="str">
        <f aca="false">IF($B224="","",IF(N($H224)&lt;=0,"Montant ?",IF($D224="RECETTE",IF(COUNTIF(PARAMETRES!$E$5:$E$9,$E224)=0,"Catégorie ?","OK"),IF($D224="DEPENSE",IF(COUNTIF(PARAMETRES!$G$5:$G$20,$E224)=0,"Catégorie ?","OK"),"Type ?"))))</f>
        <v/>
      </c>
    </row>
    <row r="225" customFormat="false" ht="16.5" hidden="false" customHeight="true" outlineLevel="0" collapsed="false">
      <c r="A225" s="81" t="str">
        <f aca="false">IF($B225="","",ROW()-7)</f>
        <v/>
      </c>
      <c r="B225" s="82"/>
      <c r="C225" s="83" t="str">
        <f aca="false">IF($B225="","",YEAR($B225)*100+MONTH($B225))</f>
        <v/>
      </c>
      <c r="D225" s="84"/>
      <c r="E225" s="85"/>
      <c r="F225" s="85"/>
      <c r="G225" s="86"/>
      <c r="H225" s="87"/>
      <c r="I225" s="88"/>
      <c r="J225" s="89" t="str">
        <f aca="false">IF($B225="","",IF(N($H225)&lt;=0,"Montant ?",IF($D225="RECETTE",IF(COUNTIF(PARAMETRES!$E$5:$E$9,$E225)=0,"Catégorie ?","OK"),IF($D225="DEPENSE",IF(COUNTIF(PARAMETRES!$G$5:$G$20,$E225)=0,"Catégorie ?","OK"),"Type ?"))))</f>
        <v/>
      </c>
    </row>
    <row r="226" customFormat="false" ht="16.5" hidden="false" customHeight="true" outlineLevel="0" collapsed="false">
      <c r="A226" s="72" t="str">
        <f aca="false">IF($B226="","",ROW()-7)</f>
        <v/>
      </c>
      <c r="B226" s="73"/>
      <c r="C226" s="74" t="str">
        <f aca="false">IF($B226="","",YEAR($B226)*100+MONTH($B226))</f>
        <v/>
      </c>
      <c r="D226" s="75"/>
      <c r="E226" s="76"/>
      <c r="F226" s="76"/>
      <c r="G226" s="77"/>
      <c r="H226" s="78"/>
      <c r="I226" s="79"/>
      <c r="J226" s="80" t="str">
        <f aca="false">IF($B226="","",IF(N($H226)&lt;=0,"Montant ?",IF($D226="RECETTE",IF(COUNTIF(PARAMETRES!$E$5:$E$9,$E226)=0,"Catégorie ?","OK"),IF($D226="DEPENSE",IF(COUNTIF(PARAMETRES!$G$5:$G$20,$E226)=0,"Catégorie ?","OK"),"Type ?"))))</f>
        <v/>
      </c>
    </row>
    <row r="227" customFormat="false" ht="16.5" hidden="false" customHeight="true" outlineLevel="0" collapsed="false">
      <c r="A227" s="81" t="str">
        <f aca="false">IF($B227="","",ROW()-7)</f>
        <v/>
      </c>
      <c r="B227" s="82"/>
      <c r="C227" s="83" t="str">
        <f aca="false">IF($B227="","",YEAR($B227)*100+MONTH($B227))</f>
        <v/>
      </c>
      <c r="D227" s="84"/>
      <c r="E227" s="85"/>
      <c r="F227" s="85"/>
      <c r="G227" s="86"/>
      <c r="H227" s="87"/>
      <c r="I227" s="88"/>
      <c r="J227" s="89" t="str">
        <f aca="false">IF($B227="","",IF(N($H227)&lt;=0,"Montant ?",IF($D227="RECETTE",IF(COUNTIF(PARAMETRES!$E$5:$E$9,$E227)=0,"Catégorie ?","OK"),IF($D227="DEPENSE",IF(COUNTIF(PARAMETRES!$G$5:$G$20,$E227)=0,"Catégorie ?","OK"),"Type ?"))))</f>
        <v/>
      </c>
    </row>
    <row r="228" customFormat="false" ht="16.5" hidden="false" customHeight="true" outlineLevel="0" collapsed="false">
      <c r="A228" s="72" t="str">
        <f aca="false">IF($B228="","",ROW()-7)</f>
        <v/>
      </c>
      <c r="B228" s="73"/>
      <c r="C228" s="74" t="str">
        <f aca="false">IF($B228="","",YEAR($B228)*100+MONTH($B228))</f>
        <v/>
      </c>
      <c r="D228" s="75"/>
      <c r="E228" s="76"/>
      <c r="F228" s="76"/>
      <c r="G228" s="77"/>
      <c r="H228" s="78"/>
      <c r="I228" s="79"/>
      <c r="J228" s="80" t="str">
        <f aca="false">IF($B228="","",IF(N($H228)&lt;=0,"Montant ?",IF($D228="RECETTE",IF(COUNTIF(PARAMETRES!$E$5:$E$9,$E228)=0,"Catégorie ?","OK"),IF($D228="DEPENSE",IF(COUNTIF(PARAMETRES!$G$5:$G$20,$E228)=0,"Catégorie ?","OK"),"Type ?"))))</f>
        <v/>
      </c>
    </row>
    <row r="229" customFormat="false" ht="16.5" hidden="false" customHeight="true" outlineLevel="0" collapsed="false">
      <c r="A229" s="81" t="str">
        <f aca="false">IF($B229="","",ROW()-7)</f>
        <v/>
      </c>
      <c r="B229" s="82"/>
      <c r="C229" s="83" t="str">
        <f aca="false">IF($B229="","",YEAR($B229)*100+MONTH($B229))</f>
        <v/>
      </c>
      <c r="D229" s="84"/>
      <c r="E229" s="85"/>
      <c r="F229" s="85"/>
      <c r="G229" s="86"/>
      <c r="H229" s="87"/>
      <c r="I229" s="88"/>
      <c r="J229" s="89" t="str">
        <f aca="false">IF($B229="","",IF(N($H229)&lt;=0,"Montant ?",IF($D229="RECETTE",IF(COUNTIF(PARAMETRES!$E$5:$E$9,$E229)=0,"Catégorie ?","OK"),IF($D229="DEPENSE",IF(COUNTIF(PARAMETRES!$G$5:$G$20,$E229)=0,"Catégorie ?","OK"),"Type ?"))))</f>
        <v/>
      </c>
    </row>
    <row r="230" customFormat="false" ht="16.5" hidden="false" customHeight="true" outlineLevel="0" collapsed="false">
      <c r="A230" s="72" t="str">
        <f aca="false">IF($B230="","",ROW()-7)</f>
        <v/>
      </c>
      <c r="B230" s="73"/>
      <c r="C230" s="74" t="str">
        <f aca="false">IF($B230="","",YEAR($B230)*100+MONTH($B230))</f>
        <v/>
      </c>
      <c r="D230" s="75"/>
      <c r="E230" s="76"/>
      <c r="F230" s="76"/>
      <c r="G230" s="77"/>
      <c r="H230" s="78"/>
      <c r="I230" s="79"/>
      <c r="J230" s="80" t="str">
        <f aca="false">IF($B230="","",IF(N($H230)&lt;=0,"Montant ?",IF($D230="RECETTE",IF(COUNTIF(PARAMETRES!$E$5:$E$9,$E230)=0,"Catégorie ?","OK"),IF($D230="DEPENSE",IF(COUNTIF(PARAMETRES!$G$5:$G$20,$E230)=0,"Catégorie ?","OK"),"Type ?"))))</f>
        <v/>
      </c>
    </row>
    <row r="231" customFormat="false" ht="16.5" hidden="false" customHeight="true" outlineLevel="0" collapsed="false">
      <c r="A231" s="81" t="str">
        <f aca="false">IF($B231="","",ROW()-7)</f>
        <v/>
      </c>
      <c r="B231" s="82"/>
      <c r="C231" s="83" t="str">
        <f aca="false">IF($B231="","",YEAR($B231)*100+MONTH($B231))</f>
        <v/>
      </c>
      <c r="D231" s="84"/>
      <c r="E231" s="85"/>
      <c r="F231" s="85"/>
      <c r="G231" s="86"/>
      <c r="H231" s="87"/>
      <c r="I231" s="88"/>
      <c r="J231" s="89" t="str">
        <f aca="false">IF($B231="","",IF(N($H231)&lt;=0,"Montant ?",IF($D231="RECETTE",IF(COUNTIF(PARAMETRES!$E$5:$E$9,$E231)=0,"Catégorie ?","OK"),IF($D231="DEPENSE",IF(COUNTIF(PARAMETRES!$G$5:$G$20,$E231)=0,"Catégorie ?","OK"),"Type ?"))))</f>
        <v/>
      </c>
    </row>
    <row r="232" customFormat="false" ht="16.5" hidden="false" customHeight="true" outlineLevel="0" collapsed="false">
      <c r="A232" s="72" t="str">
        <f aca="false">IF($B232="","",ROW()-7)</f>
        <v/>
      </c>
      <c r="B232" s="73"/>
      <c r="C232" s="74" t="str">
        <f aca="false">IF($B232="","",YEAR($B232)*100+MONTH($B232))</f>
        <v/>
      </c>
      <c r="D232" s="75"/>
      <c r="E232" s="76"/>
      <c r="F232" s="76"/>
      <c r="G232" s="77"/>
      <c r="H232" s="78"/>
      <c r="I232" s="79"/>
      <c r="J232" s="80" t="str">
        <f aca="false">IF($B232="","",IF(N($H232)&lt;=0,"Montant ?",IF($D232="RECETTE",IF(COUNTIF(PARAMETRES!$E$5:$E$9,$E232)=0,"Catégorie ?","OK"),IF($D232="DEPENSE",IF(COUNTIF(PARAMETRES!$G$5:$G$20,$E232)=0,"Catégorie ?","OK"),"Type ?"))))</f>
        <v/>
      </c>
    </row>
    <row r="233" customFormat="false" ht="16.5" hidden="false" customHeight="true" outlineLevel="0" collapsed="false">
      <c r="A233" s="81" t="str">
        <f aca="false">IF($B233="","",ROW()-7)</f>
        <v/>
      </c>
      <c r="B233" s="82"/>
      <c r="C233" s="83" t="str">
        <f aca="false">IF($B233="","",YEAR($B233)*100+MONTH($B233))</f>
        <v/>
      </c>
      <c r="D233" s="84"/>
      <c r="E233" s="85"/>
      <c r="F233" s="85"/>
      <c r="G233" s="86"/>
      <c r="H233" s="87"/>
      <c r="I233" s="88"/>
      <c r="J233" s="89" t="str">
        <f aca="false">IF($B233="","",IF(N($H233)&lt;=0,"Montant ?",IF($D233="RECETTE",IF(COUNTIF(PARAMETRES!$E$5:$E$9,$E233)=0,"Catégorie ?","OK"),IF($D233="DEPENSE",IF(COUNTIF(PARAMETRES!$G$5:$G$20,$E233)=0,"Catégorie ?","OK"),"Type ?"))))</f>
        <v/>
      </c>
    </row>
    <row r="234" customFormat="false" ht="16.5" hidden="false" customHeight="true" outlineLevel="0" collapsed="false">
      <c r="A234" s="72" t="str">
        <f aca="false">IF($B234="","",ROW()-7)</f>
        <v/>
      </c>
      <c r="B234" s="73"/>
      <c r="C234" s="74" t="str">
        <f aca="false">IF($B234="","",YEAR($B234)*100+MONTH($B234))</f>
        <v/>
      </c>
      <c r="D234" s="75"/>
      <c r="E234" s="76"/>
      <c r="F234" s="76"/>
      <c r="G234" s="77"/>
      <c r="H234" s="78"/>
      <c r="I234" s="79"/>
      <c r="J234" s="80" t="str">
        <f aca="false">IF($B234="","",IF(N($H234)&lt;=0,"Montant ?",IF($D234="RECETTE",IF(COUNTIF(PARAMETRES!$E$5:$E$9,$E234)=0,"Catégorie ?","OK"),IF($D234="DEPENSE",IF(COUNTIF(PARAMETRES!$G$5:$G$20,$E234)=0,"Catégorie ?","OK"),"Type ?"))))</f>
        <v/>
      </c>
    </row>
    <row r="235" customFormat="false" ht="16.5" hidden="false" customHeight="true" outlineLevel="0" collapsed="false">
      <c r="A235" s="81" t="str">
        <f aca="false">IF($B235="","",ROW()-7)</f>
        <v/>
      </c>
      <c r="B235" s="82"/>
      <c r="C235" s="83" t="str">
        <f aca="false">IF($B235="","",YEAR($B235)*100+MONTH($B235))</f>
        <v/>
      </c>
      <c r="D235" s="84"/>
      <c r="E235" s="85"/>
      <c r="F235" s="85"/>
      <c r="G235" s="86"/>
      <c r="H235" s="87"/>
      <c r="I235" s="88"/>
      <c r="J235" s="89" t="str">
        <f aca="false">IF($B235="","",IF(N($H235)&lt;=0,"Montant ?",IF($D235="RECETTE",IF(COUNTIF(PARAMETRES!$E$5:$E$9,$E235)=0,"Catégorie ?","OK"),IF($D235="DEPENSE",IF(COUNTIF(PARAMETRES!$G$5:$G$20,$E235)=0,"Catégorie ?","OK"),"Type ?"))))</f>
        <v/>
      </c>
    </row>
    <row r="236" customFormat="false" ht="16.5" hidden="false" customHeight="true" outlineLevel="0" collapsed="false">
      <c r="A236" s="72" t="str">
        <f aca="false">IF($B236="","",ROW()-7)</f>
        <v/>
      </c>
      <c r="B236" s="73"/>
      <c r="C236" s="74" t="str">
        <f aca="false">IF($B236="","",YEAR($B236)*100+MONTH($B236))</f>
        <v/>
      </c>
      <c r="D236" s="75"/>
      <c r="E236" s="76"/>
      <c r="F236" s="76"/>
      <c r="G236" s="77"/>
      <c r="H236" s="78"/>
      <c r="I236" s="79"/>
      <c r="J236" s="80" t="str">
        <f aca="false">IF($B236="","",IF(N($H236)&lt;=0,"Montant ?",IF($D236="RECETTE",IF(COUNTIF(PARAMETRES!$E$5:$E$9,$E236)=0,"Catégorie ?","OK"),IF($D236="DEPENSE",IF(COUNTIF(PARAMETRES!$G$5:$G$20,$E236)=0,"Catégorie ?","OK"),"Type ?"))))</f>
        <v/>
      </c>
    </row>
    <row r="237" customFormat="false" ht="16.5" hidden="false" customHeight="true" outlineLevel="0" collapsed="false">
      <c r="A237" s="81" t="str">
        <f aca="false">IF($B237="","",ROW()-7)</f>
        <v/>
      </c>
      <c r="B237" s="82"/>
      <c r="C237" s="83" t="str">
        <f aca="false">IF($B237="","",YEAR($B237)*100+MONTH($B237))</f>
        <v/>
      </c>
      <c r="D237" s="84"/>
      <c r="E237" s="85"/>
      <c r="F237" s="85"/>
      <c r="G237" s="86"/>
      <c r="H237" s="87"/>
      <c r="I237" s="88"/>
      <c r="J237" s="89" t="str">
        <f aca="false">IF($B237="","",IF(N($H237)&lt;=0,"Montant ?",IF($D237="RECETTE",IF(COUNTIF(PARAMETRES!$E$5:$E$9,$E237)=0,"Catégorie ?","OK"),IF($D237="DEPENSE",IF(COUNTIF(PARAMETRES!$G$5:$G$20,$E237)=0,"Catégorie ?","OK"),"Type ?"))))</f>
        <v/>
      </c>
    </row>
    <row r="238" customFormat="false" ht="16.5" hidden="false" customHeight="true" outlineLevel="0" collapsed="false">
      <c r="A238" s="72" t="str">
        <f aca="false">IF($B238="","",ROW()-7)</f>
        <v/>
      </c>
      <c r="B238" s="73"/>
      <c r="C238" s="74" t="str">
        <f aca="false">IF($B238="","",YEAR($B238)*100+MONTH($B238))</f>
        <v/>
      </c>
      <c r="D238" s="75"/>
      <c r="E238" s="76"/>
      <c r="F238" s="76"/>
      <c r="G238" s="77"/>
      <c r="H238" s="78"/>
      <c r="I238" s="79"/>
      <c r="J238" s="80" t="str">
        <f aca="false">IF($B238="","",IF(N($H238)&lt;=0,"Montant ?",IF($D238="RECETTE",IF(COUNTIF(PARAMETRES!$E$5:$E$9,$E238)=0,"Catégorie ?","OK"),IF($D238="DEPENSE",IF(COUNTIF(PARAMETRES!$G$5:$G$20,$E238)=0,"Catégorie ?","OK"),"Type ?"))))</f>
        <v/>
      </c>
    </row>
    <row r="239" customFormat="false" ht="16.5" hidden="false" customHeight="true" outlineLevel="0" collapsed="false">
      <c r="A239" s="81" t="str">
        <f aca="false">IF($B239="","",ROW()-7)</f>
        <v/>
      </c>
      <c r="B239" s="82"/>
      <c r="C239" s="83" t="str">
        <f aca="false">IF($B239="","",YEAR($B239)*100+MONTH($B239))</f>
        <v/>
      </c>
      <c r="D239" s="84"/>
      <c r="E239" s="85"/>
      <c r="F239" s="85"/>
      <c r="G239" s="86"/>
      <c r="H239" s="87"/>
      <c r="I239" s="88"/>
      <c r="J239" s="89" t="str">
        <f aca="false">IF($B239="","",IF(N($H239)&lt;=0,"Montant ?",IF($D239="RECETTE",IF(COUNTIF(PARAMETRES!$E$5:$E$9,$E239)=0,"Catégorie ?","OK"),IF($D239="DEPENSE",IF(COUNTIF(PARAMETRES!$G$5:$G$20,$E239)=0,"Catégorie ?","OK"),"Type ?"))))</f>
        <v/>
      </c>
    </row>
    <row r="240" customFormat="false" ht="16.5" hidden="false" customHeight="true" outlineLevel="0" collapsed="false">
      <c r="A240" s="72" t="str">
        <f aca="false">IF($B240="","",ROW()-7)</f>
        <v/>
      </c>
      <c r="B240" s="73"/>
      <c r="C240" s="74" t="str">
        <f aca="false">IF($B240="","",YEAR($B240)*100+MONTH($B240))</f>
        <v/>
      </c>
      <c r="D240" s="75"/>
      <c r="E240" s="76"/>
      <c r="F240" s="76"/>
      <c r="G240" s="77"/>
      <c r="H240" s="78"/>
      <c r="I240" s="79"/>
      <c r="J240" s="80" t="str">
        <f aca="false">IF($B240="","",IF(N($H240)&lt;=0,"Montant ?",IF($D240="RECETTE",IF(COUNTIF(PARAMETRES!$E$5:$E$9,$E240)=0,"Catégorie ?","OK"),IF($D240="DEPENSE",IF(COUNTIF(PARAMETRES!$G$5:$G$20,$E240)=0,"Catégorie ?","OK"),"Type ?"))))</f>
        <v/>
      </c>
    </row>
    <row r="241" customFormat="false" ht="16.5" hidden="false" customHeight="true" outlineLevel="0" collapsed="false">
      <c r="A241" s="81" t="str">
        <f aca="false">IF($B241="","",ROW()-7)</f>
        <v/>
      </c>
      <c r="B241" s="82"/>
      <c r="C241" s="83" t="str">
        <f aca="false">IF($B241="","",YEAR($B241)*100+MONTH($B241))</f>
        <v/>
      </c>
      <c r="D241" s="84"/>
      <c r="E241" s="85"/>
      <c r="F241" s="85"/>
      <c r="G241" s="86"/>
      <c r="H241" s="87"/>
      <c r="I241" s="88"/>
      <c r="J241" s="89" t="str">
        <f aca="false">IF($B241="","",IF(N($H241)&lt;=0,"Montant ?",IF($D241="RECETTE",IF(COUNTIF(PARAMETRES!$E$5:$E$9,$E241)=0,"Catégorie ?","OK"),IF($D241="DEPENSE",IF(COUNTIF(PARAMETRES!$G$5:$G$20,$E241)=0,"Catégorie ?","OK"),"Type ?"))))</f>
        <v/>
      </c>
    </row>
    <row r="242" customFormat="false" ht="16.5" hidden="false" customHeight="true" outlineLevel="0" collapsed="false">
      <c r="A242" s="72" t="str">
        <f aca="false">IF($B242="","",ROW()-7)</f>
        <v/>
      </c>
      <c r="B242" s="73"/>
      <c r="C242" s="74" t="str">
        <f aca="false">IF($B242="","",YEAR($B242)*100+MONTH($B242))</f>
        <v/>
      </c>
      <c r="D242" s="75"/>
      <c r="E242" s="76"/>
      <c r="F242" s="76"/>
      <c r="G242" s="77"/>
      <c r="H242" s="78"/>
      <c r="I242" s="79"/>
      <c r="J242" s="80" t="str">
        <f aca="false">IF($B242="","",IF(N($H242)&lt;=0,"Montant ?",IF($D242="RECETTE",IF(COUNTIF(PARAMETRES!$E$5:$E$9,$E242)=0,"Catégorie ?","OK"),IF($D242="DEPENSE",IF(COUNTIF(PARAMETRES!$G$5:$G$20,$E242)=0,"Catégorie ?","OK"),"Type ?"))))</f>
        <v/>
      </c>
    </row>
    <row r="243" customFormat="false" ht="16.5" hidden="false" customHeight="true" outlineLevel="0" collapsed="false">
      <c r="A243" s="81" t="str">
        <f aca="false">IF($B243="","",ROW()-7)</f>
        <v/>
      </c>
      <c r="B243" s="82"/>
      <c r="C243" s="83" t="str">
        <f aca="false">IF($B243="","",YEAR($B243)*100+MONTH($B243))</f>
        <v/>
      </c>
      <c r="D243" s="84"/>
      <c r="E243" s="85"/>
      <c r="F243" s="85"/>
      <c r="G243" s="86"/>
      <c r="H243" s="87"/>
      <c r="I243" s="88"/>
      <c r="J243" s="89" t="str">
        <f aca="false">IF($B243="","",IF(N($H243)&lt;=0,"Montant ?",IF($D243="RECETTE",IF(COUNTIF(PARAMETRES!$E$5:$E$9,$E243)=0,"Catégorie ?","OK"),IF($D243="DEPENSE",IF(COUNTIF(PARAMETRES!$G$5:$G$20,$E243)=0,"Catégorie ?","OK"),"Type ?"))))</f>
        <v/>
      </c>
    </row>
    <row r="244" customFormat="false" ht="16.5" hidden="false" customHeight="true" outlineLevel="0" collapsed="false">
      <c r="A244" s="72" t="str">
        <f aca="false">IF($B244="","",ROW()-7)</f>
        <v/>
      </c>
      <c r="B244" s="73"/>
      <c r="C244" s="74" t="str">
        <f aca="false">IF($B244="","",YEAR($B244)*100+MONTH($B244))</f>
        <v/>
      </c>
      <c r="D244" s="75"/>
      <c r="E244" s="76"/>
      <c r="F244" s="76"/>
      <c r="G244" s="77"/>
      <c r="H244" s="78"/>
      <c r="I244" s="79"/>
      <c r="J244" s="80" t="str">
        <f aca="false">IF($B244="","",IF(N($H244)&lt;=0,"Montant ?",IF($D244="RECETTE",IF(COUNTIF(PARAMETRES!$E$5:$E$9,$E244)=0,"Catégorie ?","OK"),IF($D244="DEPENSE",IF(COUNTIF(PARAMETRES!$G$5:$G$20,$E244)=0,"Catégorie ?","OK"),"Type ?"))))</f>
        <v/>
      </c>
    </row>
    <row r="245" customFormat="false" ht="16.5" hidden="false" customHeight="true" outlineLevel="0" collapsed="false">
      <c r="A245" s="81" t="str">
        <f aca="false">IF($B245="","",ROW()-7)</f>
        <v/>
      </c>
      <c r="B245" s="82"/>
      <c r="C245" s="83" t="str">
        <f aca="false">IF($B245="","",YEAR($B245)*100+MONTH($B245))</f>
        <v/>
      </c>
      <c r="D245" s="84"/>
      <c r="E245" s="85"/>
      <c r="F245" s="85"/>
      <c r="G245" s="86"/>
      <c r="H245" s="87"/>
      <c r="I245" s="88"/>
      <c r="J245" s="89" t="str">
        <f aca="false">IF($B245="","",IF(N($H245)&lt;=0,"Montant ?",IF($D245="RECETTE",IF(COUNTIF(PARAMETRES!$E$5:$E$9,$E245)=0,"Catégorie ?","OK"),IF($D245="DEPENSE",IF(COUNTIF(PARAMETRES!$G$5:$G$20,$E245)=0,"Catégorie ?","OK"),"Type ?"))))</f>
        <v/>
      </c>
    </row>
    <row r="246" customFormat="false" ht="16.5" hidden="false" customHeight="true" outlineLevel="0" collapsed="false">
      <c r="A246" s="72" t="str">
        <f aca="false">IF($B246="","",ROW()-7)</f>
        <v/>
      </c>
      <c r="B246" s="73"/>
      <c r="C246" s="74" t="str">
        <f aca="false">IF($B246="","",YEAR($B246)*100+MONTH($B246))</f>
        <v/>
      </c>
      <c r="D246" s="75"/>
      <c r="E246" s="76"/>
      <c r="F246" s="76"/>
      <c r="G246" s="77"/>
      <c r="H246" s="78"/>
      <c r="I246" s="79"/>
      <c r="J246" s="80" t="str">
        <f aca="false">IF($B246="","",IF(N($H246)&lt;=0,"Montant ?",IF($D246="RECETTE",IF(COUNTIF(PARAMETRES!$E$5:$E$9,$E246)=0,"Catégorie ?","OK"),IF($D246="DEPENSE",IF(COUNTIF(PARAMETRES!$G$5:$G$20,$E246)=0,"Catégorie ?","OK"),"Type ?"))))</f>
        <v/>
      </c>
    </row>
    <row r="247" customFormat="false" ht="16.5" hidden="false" customHeight="true" outlineLevel="0" collapsed="false">
      <c r="A247" s="81" t="str">
        <f aca="false">IF($B247="","",ROW()-7)</f>
        <v/>
      </c>
      <c r="B247" s="82"/>
      <c r="C247" s="83" t="str">
        <f aca="false">IF($B247="","",YEAR($B247)*100+MONTH($B247))</f>
        <v/>
      </c>
      <c r="D247" s="84"/>
      <c r="E247" s="85"/>
      <c r="F247" s="85"/>
      <c r="G247" s="86"/>
      <c r="H247" s="87"/>
      <c r="I247" s="88"/>
      <c r="J247" s="89" t="str">
        <f aca="false">IF($B247="","",IF(N($H247)&lt;=0,"Montant ?",IF($D247="RECETTE",IF(COUNTIF(PARAMETRES!$E$5:$E$9,$E247)=0,"Catégorie ?","OK"),IF($D247="DEPENSE",IF(COUNTIF(PARAMETRES!$G$5:$G$20,$E247)=0,"Catégorie ?","OK"),"Type ?"))))</f>
        <v/>
      </c>
    </row>
    <row r="248" customFormat="false" ht="16.5" hidden="false" customHeight="true" outlineLevel="0" collapsed="false">
      <c r="A248" s="72" t="str">
        <f aca="false">IF($B248="","",ROW()-7)</f>
        <v/>
      </c>
      <c r="B248" s="73"/>
      <c r="C248" s="74" t="str">
        <f aca="false">IF($B248="","",YEAR($B248)*100+MONTH($B248))</f>
        <v/>
      </c>
      <c r="D248" s="75"/>
      <c r="E248" s="76"/>
      <c r="F248" s="76"/>
      <c r="G248" s="77"/>
      <c r="H248" s="78"/>
      <c r="I248" s="79"/>
      <c r="J248" s="80" t="str">
        <f aca="false">IF($B248="","",IF(N($H248)&lt;=0,"Montant ?",IF($D248="RECETTE",IF(COUNTIF(PARAMETRES!$E$5:$E$9,$E248)=0,"Catégorie ?","OK"),IF($D248="DEPENSE",IF(COUNTIF(PARAMETRES!$G$5:$G$20,$E248)=0,"Catégorie ?","OK"),"Type ?"))))</f>
        <v/>
      </c>
    </row>
    <row r="249" customFormat="false" ht="16.5" hidden="false" customHeight="true" outlineLevel="0" collapsed="false">
      <c r="A249" s="81" t="str">
        <f aca="false">IF($B249="","",ROW()-7)</f>
        <v/>
      </c>
      <c r="B249" s="82"/>
      <c r="C249" s="83" t="str">
        <f aca="false">IF($B249="","",YEAR($B249)*100+MONTH($B249))</f>
        <v/>
      </c>
      <c r="D249" s="84"/>
      <c r="E249" s="85"/>
      <c r="F249" s="85"/>
      <c r="G249" s="86"/>
      <c r="H249" s="87"/>
      <c r="I249" s="88"/>
      <c r="J249" s="89" t="str">
        <f aca="false">IF($B249="","",IF(N($H249)&lt;=0,"Montant ?",IF($D249="RECETTE",IF(COUNTIF(PARAMETRES!$E$5:$E$9,$E249)=0,"Catégorie ?","OK"),IF($D249="DEPENSE",IF(COUNTIF(PARAMETRES!$G$5:$G$20,$E249)=0,"Catégorie ?","OK"),"Type ?"))))</f>
        <v/>
      </c>
    </row>
    <row r="250" customFormat="false" ht="16.5" hidden="false" customHeight="true" outlineLevel="0" collapsed="false">
      <c r="A250" s="72" t="str">
        <f aca="false">IF($B250="","",ROW()-7)</f>
        <v/>
      </c>
      <c r="B250" s="73"/>
      <c r="C250" s="74" t="str">
        <f aca="false">IF($B250="","",YEAR($B250)*100+MONTH($B250))</f>
        <v/>
      </c>
      <c r="D250" s="75"/>
      <c r="E250" s="76"/>
      <c r="F250" s="76"/>
      <c r="G250" s="77"/>
      <c r="H250" s="78"/>
      <c r="I250" s="79"/>
      <c r="J250" s="80" t="str">
        <f aca="false">IF($B250="","",IF(N($H250)&lt;=0,"Montant ?",IF($D250="RECETTE",IF(COUNTIF(PARAMETRES!$E$5:$E$9,$E250)=0,"Catégorie ?","OK"),IF($D250="DEPENSE",IF(COUNTIF(PARAMETRES!$G$5:$G$20,$E250)=0,"Catégorie ?","OK"),"Type ?"))))</f>
        <v/>
      </c>
    </row>
    <row r="251" customFormat="false" ht="16.5" hidden="false" customHeight="true" outlineLevel="0" collapsed="false">
      <c r="A251" s="81" t="str">
        <f aca="false">IF($B251="","",ROW()-7)</f>
        <v/>
      </c>
      <c r="B251" s="82"/>
      <c r="C251" s="83" t="str">
        <f aca="false">IF($B251="","",YEAR($B251)*100+MONTH($B251))</f>
        <v/>
      </c>
      <c r="D251" s="84"/>
      <c r="E251" s="85"/>
      <c r="F251" s="85"/>
      <c r="G251" s="86"/>
      <c r="H251" s="87"/>
      <c r="I251" s="88"/>
      <c r="J251" s="89" t="str">
        <f aca="false">IF($B251="","",IF(N($H251)&lt;=0,"Montant ?",IF($D251="RECETTE",IF(COUNTIF(PARAMETRES!$E$5:$E$9,$E251)=0,"Catégorie ?","OK"),IF($D251="DEPENSE",IF(COUNTIF(PARAMETRES!$G$5:$G$20,$E251)=0,"Catégorie ?","OK"),"Type ?"))))</f>
        <v/>
      </c>
    </row>
    <row r="252" customFormat="false" ht="16.5" hidden="false" customHeight="true" outlineLevel="0" collapsed="false">
      <c r="A252" s="72" t="str">
        <f aca="false">IF($B252="","",ROW()-7)</f>
        <v/>
      </c>
      <c r="B252" s="73"/>
      <c r="C252" s="74" t="str">
        <f aca="false">IF($B252="","",YEAR($B252)*100+MONTH($B252))</f>
        <v/>
      </c>
      <c r="D252" s="75"/>
      <c r="E252" s="76"/>
      <c r="F252" s="76"/>
      <c r="G252" s="77"/>
      <c r="H252" s="78"/>
      <c r="I252" s="79"/>
      <c r="J252" s="80" t="str">
        <f aca="false">IF($B252="","",IF(N($H252)&lt;=0,"Montant ?",IF($D252="RECETTE",IF(COUNTIF(PARAMETRES!$E$5:$E$9,$E252)=0,"Catégorie ?","OK"),IF($D252="DEPENSE",IF(COUNTIF(PARAMETRES!$G$5:$G$20,$E252)=0,"Catégorie ?","OK"),"Type ?"))))</f>
        <v/>
      </c>
    </row>
    <row r="253" customFormat="false" ht="16.5" hidden="false" customHeight="true" outlineLevel="0" collapsed="false">
      <c r="A253" s="81" t="str">
        <f aca="false">IF($B253="","",ROW()-7)</f>
        <v/>
      </c>
      <c r="B253" s="82"/>
      <c r="C253" s="83" t="str">
        <f aca="false">IF($B253="","",YEAR($B253)*100+MONTH($B253))</f>
        <v/>
      </c>
      <c r="D253" s="84"/>
      <c r="E253" s="85"/>
      <c r="F253" s="85"/>
      <c r="G253" s="86"/>
      <c r="H253" s="87"/>
      <c r="I253" s="88"/>
      <c r="J253" s="89" t="str">
        <f aca="false">IF($B253="","",IF(N($H253)&lt;=0,"Montant ?",IF($D253="RECETTE",IF(COUNTIF(PARAMETRES!$E$5:$E$9,$E253)=0,"Catégorie ?","OK"),IF($D253="DEPENSE",IF(COUNTIF(PARAMETRES!$G$5:$G$20,$E253)=0,"Catégorie ?","OK"),"Type ?"))))</f>
        <v/>
      </c>
    </row>
    <row r="254" customFormat="false" ht="16.5" hidden="false" customHeight="true" outlineLevel="0" collapsed="false">
      <c r="A254" s="72" t="str">
        <f aca="false">IF($B254="","",ROW()-7)</f>
        <v/>
      </c>
      <c r="B254" s="73"/>
      <c r="C254" s="74" t="str">
        <f aca="false">IF($B254="","",YEAR($B254)*100+MONTH($B254))</f>
        <v/>
      </c>
      <c r="D254" s="75"/>
      <c r="E254" s="76"/>
      <c r="F254" s="76"/>
      <c r="G254" s="77"/>
      <c r="H254" s="78"/>
      <c r="I254" s="79"/>
      <c r="J254" s="80" t="str">
        <f aca="false">IF($B254="","",IF(N($H254)&lt;=0,"Montant ?",IF($D254="RECETTE",IF(COUNTIF(PARAMETRES!$E$5:$E$9,$E254)=0,"Catégorie ?","OK"),IF($D254="DEPENSE",IF(COUNTIF(PARAMETRES!$G$5:$G$20,$E254)=0,"Catégorie ?","OK"),"Type ?"))))</f>
        <v/>
      </c>
    </row>
    <row r="255" customFormat="false" ht="16.5" hidden="false" customHeight="true" outlineLevel="0" collapsed="false">
      <c r="A255" s="81" t="str">
        <f aca="false">IF($B255="","",ROW()-7)</f>
        <v/>
      </c>
      <c r="B255" s="82"/>
      <c r="C255" s="83" t="str">
        <f aca="false">IF($B255="","",YEAR($B255)*100+MONTH($B255))</f>
        <v/>
      </c>
      <c r="D255" s="84"/>
      <c r="E255" s="85"/>
      <c r="F255" s="85"/>
      <c r="G255" s="86"/>
      <c r="H255" s="87"/>
      <c r="I255" s="88"/>
      <c r="J255" s="89" t="str">
        <f aca="false">IF($B255="","",IF(N($H255)&lt;=0,"Montant ?",IF($D255="RECETTE",IF(COUNTIF(PARAMETRES!$E$5:$E$9,$E255)=0,"Catégorie ?","OK"),IF($D255="DEPENSE",IF(COUNTIF(PARAMETRES!$G$5:$G$20,$E255)=0,"Catégorie ?","OK"),"Type ?"))))</f>
        <v/>
      </c>
    </row>
    <row r="256" customFormat="false" ht="16.5" hidden="false" customHeight="true" outlineLevel="0" collapsed="false">
      <c r="A256" s="72" t="str">
        <f aca="false">IF($B256="","",ROW()-7)</f>
        <v/>
      </c>
      <c r="B256" s="73"/>
      <c r="C256" s="74" t="str">
        <f aca="false">IF($B256="","",YEAR($B256)*100+MONTH($B256))</f>
        <v/>
      </c>
      <c r="D256" s="75"/>
      <c r="E256" s="76"/>
      <c r="F256" s="76"/>
      <c r="G256" s="77"/>
      <c r="H256" s="78"/>
      <c r="I256" s="79"/>
      <c r="J256" s="80" t="str">
        <f aca="false">IF($B256="","",IF(N($H256)&lt;=0,"Montant ?",IF($D256="RECETTE",IF(COUNTIF(PARAMETRES!$E$5:$E$9,$E256)=0,"Catégorie ?","OK"),IF($D256="DEPENSE",IF(COUNTIF(PARAMETRES!$G$5:$G$20,$E256)=0,"Catégorie ?","OK"),"Type ?"))))</f>
        <v/>
      </c>
    </row>
    <row r="257" customFormat="false" ht="16.5" hidden="false" customHeight="true" outlineLevel="0" collapsed="false">
      <c r="A257" s="81" t="str">
        <f aca="false">IF($B257="","",ROW()-7)</f>
        <v/>
      </c>
      <c r="B257" s="82"/>
      <c r="C257" s="83" t="str">
        <f aca="false">IF($B257="","",YEAR($B257)*100+MONTH($B257))</f>
        <v/>
      </c>
      <c r="D257" s="84"/>
      <c r="E257" s="85"/>
      <c r="F257" s="85"/>
      <c r="G257" s="86"/>
      <c r="H257" s="87"/>
      <c r="I257" s="88"/>
      <c r="J257" s="89" t="str">
        <f aca="false">IF($B257="","",IF(N($H257)&lt;=0,"Montant ?",IF($D257="RECETTE",IF(COUNTIF(PARAMETRES!$E$5:$E$9,$E257)=0,"Catégorie ?","OK"),IF($D257="DEPENSE",IF(COUNTIF(PARAMETRES!$G$5:$G$20,$E257)=0,"Catégorie ?","OK"),"Type ?"))))</f>
        <v/>
      </c>
    </row>
    <row r="258" customFormat="false" ht="16.5" hidden="false" customHeight="true" outlineLevel="0" collapsed="false">
      <c r="A258" s="72" t="str">
        <f aca="false">IF($B258="","",ROW()-7)</f>
        <v/>
      </c>
      <c r="B258" s="73"/>
      <c r="C258" s="74" t="str">
        <f aca="false">IF($B258="","",YEAR($B258)*100+MONTH($B258))</f>
        <v/>
      </c>
      <c r="D258" s="75"/>
      <c r="E258" s="76"/>
      <c r="F258" s="76"/>
      <c r="G258" s="77"/>
      <c r="H258" s="78"/>
      <c r="I258" s="79"/>
      <c r="J258" s="80" t="str">
        <f aca="false">IF($B258="","",IF(N($H258)&lt;=0,"Montant ?",IF($D258="RECETTE",IF(COUNTIF(PARAMETRES!$E$5:$E$9,$E258)=0,"Catégorie ?","OK"),IF($D258="DEPENSE",IF(COUNTIF(PARAMETRES!$G$5:$G$20,$E258)=0,"Catégorie ?","OK"),"Type ?"))))</f>
        <v/>
      </c>
    </row>
    <row r="259" customFormat="false" ht="16.5" hidden="false" customHeight="true" outlineLevel="0" collapsed="false">
      <c r="A259" s="81" t="str">
        <f aca="false">IF($B259="","",ROW()-7)</f>
        <v/>
      </c>
      <c r="B259" s="82"/>
      <c r="C259" s="83" t="str">
        <f aca="false">IF($B259="","",YEAR($B259)*100+MONTH($B259))</f>
        <v/>
      </c>
      <c r="D259" s="84"/>
      <c r="E259" s="85"/>
      <c r="F259" s="85"/>
      <c r="G259" s="86"/>
      <c r="H259" s="87"/>
      <c r="I259" s="88"/>
      <c r="J259" s="89" t="str">
        <f aca="false">IF($B259="","",IF(N($H259)&lt;=0,"Montant ?",IF($D259="RECETTE",IF(COUNTIF(PARAMETRES!$E$5:$E$9,$E259)=0,"Catégorie ?","OK"),IF($D259="DEPENSE",IF(COUNTIF(PARAMETRES!$G$5:$G$20,$E259)=0,"Catégorie ?","OK"),"Type ?"))))</f>
        <v/>
      </c>
    </row>
    <row r="260" customFormat="false" ht="16.5" hidden="false" customHeight="true" outlineLevel="0" collapsed="false">
      <c r="A260" s="72" t="str">
        <f aca="false">IF($B260="","",ROW()-7)</f>
        <v/>
      </c>
      <c r="B260" s="73"/>
      <c r="C260" s="74" t="str">
        <f aca="false">IF($B260="","",YEAR($B260)*100+MONTH($B260))</f>
        <v/>
      </c>
      <c r="D260" s="75"/>
      <c r="E260" s="76"/>
      <c r="F260" s="76"/>
      <c r="G260" s="77"/>
      <c r="H260" s="78"/>
      <c r="I260" s="79"/>
      <c r="J260" s="80" t="str">
        <f aca="false">IF($B260="","",IF(N($H260)&lt;=0,"Montant ?",IF($D260="RECETTE",IF(COUNTIF(PARAMETRES!$E$5:$E$9,$E260)=0,"Catégorie ?","OK"),IF($D260="DEPENSE",IF(COUNTIF(PARAMETRES!$G$5:$G$20,$E260)=0,"Catégorie ?","OK"),"Type ?"))))</f>
        <v/>
      </c>
    </row>
    <row r="261" customFormat="false" ht="16.5" hidden="false" customHeight="true" outlineLevel="0" collapsed="false">
      <c r="A261" s="81" t="str">
        <f aca="false">IF($B261="","",ROW()-7)</f>
        <v/>
      </c>
      <c r="B261" s="82"/>
      <c r="C261" s="83" t="str">
        <f aca="false">IF($B261="","",YEAR($B261)*100+MONTH($B261))</f>
        <v/>
      </c>
      <c r="D261" s="84"/>
      <c r="E261" s="85"/>
      <c r="F261" s="85"/>
      <c r="G261" s="86"/>
      <c r="H261" s="87"/>
      <c r="I261" s="88"/>
      <c r="J261" s="89" t="str">
        <f aca="false">IF($B261="","",IF(N($H261)&lt;=0,"Montant ?",IF($D261="RECETTE",IF(COUNTIF(PARAMETRES!$E$5:$E$9,$E261)=0,"Catégorie ?","OK"),IF($D261="DEPENSE",IF(COUNTIF(PARAMETRES!$G$5:$G$20,$E261)=0,"Catégorie ?","OK"),"Type ?"))))</f>
        <v/>
      </c>
    </row>
    <row r="262" customFormat="false" ht="16.5" hidden="false" customHeight="true" outlineLevel="0" collapsed="false">
      <c r="A262" s="72" t="str">
        <f aca="false">IF($B262="","",ROW()-7)</f>
        <v/>
      </c>
      <c r="B262" s="73"/>
      <c r="C262" s="74" t="str">
        <f aca="false">IF($B262="","",YEAR($B262)*100+MONTH($B262))</f>
        <v/>
      </c>
      <c r="D262" s="75"/>
      <c r="E262" s="76"/>
      <c r="F262" s="76"/>
      <c r="G262" s="77"/>
      <c r="H262" s="78"/>
      <c r="I262" s="79"/>
      <c r="J262" s="80" t="str">
        <f aca="false">IF($B262="","",IF(N($H262)&lt;=0,"Montant ?",IF($D262="RECETTE",IF(COUNTIF(PARAMETRES!$E$5:$E$9,$E262)=0,"Catégorie ?","OK"),IF($D262="DEPENSE",IF(COUNTIF(PARAMETRES!$G$5:$G$20,$E262)=0,"Catégorie ?","OK"),"Type ?"))))</f>
        <v/>
      </c>
    </row>
    <row r="263" customFormat="false" ht="16.5" hidden="false" customHeight="true" outlineLevel="0" collapsed="false">
      <c r="A263" s="81" t="str">
        <f aca="false">IF($B263="","",ROW()-7)</f>
        <v/>
      </c>
      <c r="B263" s="82"/>
      <c r="C263" s="83" t="str">
        <f aca="false">IF($B263="","",YEAR($B263)*100+MONTH($B263))</f>
        <v/>
      </c>
      <c r="D263" s="84"/>
      <c r="E263" s="85"/>
      <c r="F263" s="85"/>
      <c r="G263" s="86"/>
      <c r="H263" s="87"/>
      <c r="I263" s="88"/>
      <c r="J263" s="89" t="str">
        <f aca="false">IF($B263="","",IF(N($H263)&lt;=0,"Montant ?",IF($D263="RECETTE",IF(COUNTIF(PARAMETRES!$E$5:$E$9,$E263)=0,"Catégorie ?","OK"),IF($D263="DEPENSE",IF(COUNTIF(PARAMETRES!$G$5:$G$20,$E263)=0,"Catégorie ?","OK"),"Type ?"))))</f>
        <v/>
      </c>
    </row>
    <row r="264" customFormat="false" ht="16.5" hidden="false" customHeight="true" outlineLevel="0" collapsed="false">
      <c r="A264" s="72" t="str">
        <f aca="false">IF($B264="","",ROW()-7)</f>
        <v/>
      </c>
      <c r="B264" s="73"/>
      <c r="C264" s="74" t="str">
        <f aca="false">IF($B264="","",YEAR($B264)*100+MONTH($B264))</f>
        <v/>
      </c>
      <c r="D264" s="75"/>
      <c r="E264" s="76"/>
      <c r="F264" s="76"/>
      <c r="G264" s="77"/>
      <c r="H264" s="78"/>
      <c r="I264" s="79"/>
      <c r="J264" s="80" t="str">
        <f aca="false">IF($B264="","",IF(N($H264)&lt;=0,"Montant ?",IF($D264="RECETTE",IF(COUNTIF(PARAMETRES!$E$5:$E$9,$E264)=0,"Catégorie ?","OK"),IF($D264="DEPENSE",IF(COUNTIF(PARAMETRES!$G$5:$G$20,$E264)=0,"Catégorie ?","OK"),"Type ?"))))</f>
        <v/>
      </c>
    </row>
    <row r="265" customFormat="false" ht="16.5" hidden="false" customHeight="true" outlineLevel="0" collapsed="false">
      <c r="A265" s="81" t="str">
        <f aca="false">IF($B265="","",ROW()-7)</f>
        <v/>
      </c>
      <c r="B265" s="82"/>
      <c r="C265" s="83" t="str">
        <f aca="false">IF($B265="","",YEAR($B265)*100+MONTH($B265))</f>
        <v/>
      </c>
      <c r="D265" s="84"/>
      <c r="E265" s="85"/>
      <c r="F265" s="85"/>
      <c r="G265" s="86"/>
      <c r="H265" s="87"/>
      <c r="I265" s="88"/>
      <c r="J265" s="89" t="str">
        <f aca="false">IF($B265="","",IF(N($H265)&lt;=0,"Montant ?",IF($D265="RECETTE",IF(COUNTIF(PARAMETRES!$E$5:$E$9,$E265)=0,"Catégorie ?","OK"),IF($D265="DEPENSE",IF(COUNTIF(PARAMETRES!$G$5:$G$20,$E265)=0,"Catégorie ?","OK"),"Type ?"))))</f>
        <v/>
      </c>
    </row>
    <row r="266" customFormat="false" ht="16.5" hidden="false" customHeight="true" outlineLevel="0" collapsed="false">
      <c r="A266" s="72" t="str">
        <f aca="false">IF($B266="","",ROW()-7)</f>
        <v/>
      </c>
      <c r="B266" s="73"/>
      <c r="C266" s="74" t="str">
        <f aca="false">IF($B266="","",YEAR($B266)*100+MONTH($B266))</f>
        <v/>
      </c>
      <c r="D266" s="75"/>
      <c r="E266" s="76"/>
      <c r="F266" s="76"/>
      <c r="G266" s="77"/>
      <c r="H266" s="78"/>
      <c r="I266" s="79"/>
      <c r="J266" s="80" t="str">
        <f aca="false">IF($B266="","",IF(N($H266)&lt;=0,"Montant ?",IF($D266="RECETTE",IF(COUNTIF(PARAMETRES!$E$5:$E$9,$E266)=0,"Catégorie ?","OK"),IF($D266="DEPENSE",IF(COUNTIF(PARAMETRES!$G$5:$G$20,$E266)=0,"Catégorie ?","OK"),"Type ?"))))</f>
        <v/>
      </c>
    </row>
    <row r="267" customFormat="false" ht="16.5" hidden="false" customHeight="true" outlineLevel="0" collapsed="false">
      <c r="A267" s="81" t="str">
        <f aca="false">IF($B267="","",ROW()-7)</f>
        <v/>
      </c>
      <c r="B267" s="82"/>
      <c r="C267" s="83" t="str">
        <f aca="false">IF($B267="","",YEAR($B267)*100+MONTH($B267))</f>
        <v/>
      </c>
      <c r="D267" s="84"/>
      <c r="E267" s="85"/>
      <c r="F267" s="85"/>
      <c r="G267" s="86"/>
      <c r="H267" s="87"/>
      <c r="I267" s="88"/>
      <c r="J267" s="89" t="str">
        <f aca="false">IF($B267="","",IF(N($H267)&lt;=0,"Montant ?",IF($D267="RECETTE",IF(COUNTIF(PARAMETRES!$E$5:$E$9,$E267)=0,"Catégorie ?","OK"),IF($D267="DEPENSE",IF(COUNTIF(PARAMETRES!$G$5:$G$20,$E267)=0,"Catégorie ?","OK"),"Type ?"))))</f>
        <v/>
      </c>
    </row>
    <row r="268" customFormat="false" ht="16.5" hidden="false" customHeight="true" outlineLevel="0" collapsed="false">
      <c r="A268" s="72" t="str">
        <f aca="false">IF($B268="","",ROW()-7)</f>
        <v/>
      </c>
      <c r="B268" s="73"/>
      <c r="C268" s="74" t="str">
        <f aca="false">IF($B268="","",YEAR($B268)*100+MONTH($B268))</f>
        <v/>
      </c>
      <c r="D268" s="75"/>
      <c r="E268" s="76"/>
      <c r="F268" s="76"/>
      <c r="G268" s="77"/>
      <c r="H268" s="78"/>
      <c r="I268" s="79"/>
      <c r="J268" s="80" t="str">
        <f aca="false">IF($B268="","",IF(N($H268)&lt;=0,"Montant ?",IF($D268="RECETTE",IF(COUNTIF(PARAMETRES!$E$5:$E$9,$E268)=0,"Catégorie ?","OK"),IF($D268="DEPENSE",IF(COUNTIF(PARAMETRES!$G$5:$G$20,$E268)=0,"Catégorie ?","OK"),"Type ?"))))</f>
        <v/>
      </c>
    </row>
    <row r="269" customFormat="false" ht="16.5" hidden="false" customHeight="true" outlineLevel="0" collapsed="false">
      <c r="A269" s="81" t="str">
        <f aca="false">IF($B269="","",ROW()-7)</f>
        <v/>
      </c>
      <c r="B269" s="82"/>
      <c r="C269" s="83" t="str">
        <f aca="false">IF($B269="","",YEAR($B269)*100+MONTH($B269))</f>
        <v/>
      </c>
      <c r="D269" s="84"/>
      <c r="E269" s="85"/>
      <c r="F269" s="85"/>
      <c r="G269" s="86"/>
      <c r="H269" s="87"/>
      <c r="I269" s="88"/>
      <c r="J269" s="89" t="str">
        <f aca="false">IF($B269="","",IF(N($H269)&lt;=0,"Montant ?",IF($D269="RECETTE",IF(COUNTIF(PARAMETRES!$E$5:$E$9,$E269)=0,"Catégorie ?","OK"),IF($D269="DEPENSE",IF(COUNTIF(PARAMETRES!$G$5:$G$20,$E269)=0,"Catégorie ?","OK"),"Type ?"))))</f>
        <v/>
      </c>
    </row>
    <row r="270" customFormat="false" ht="16.5" hidden="false" customHeight="true" outlineLevel="0" collapsed="false">
      <c r="A270" s="72" t="str">
        <f aca="false">IF($B270="","",ROW()-7)</f>
        <v/>
      </c>
      <c r="B270" s="73"/>
      <c r="C270" s="74" t="str">
        <f aca="false">IF($B270="","",YEAR($B270)*100+MONTH($B270))</f>
        <v/>
      </c>
      <c r="D270" s="75"/>
      <c r="E270" s="76"/>
      <c r="F270" s="76"/>
      <c r="G270" s="77"/>
      <c r="H270" s="78"/>
      <c r="I270" s="79"/>
      <c r="J270" s="80" t="str">
        <f aca="false">IF($B270="","",IF(N($H270)&lt;=0,"Montant ?",IF($D270="RECETTE",IF(COUNTIF(PARAMETRES!$E$5:$E$9,$E270)=0,"Catégorie ?","OK"),IF($D270="DEPENSE",IF(COUNTIF(PARAMETRES!$G$5:$G$20,$E270)=0,"Catégorie ?","OK"),"Type ?"))))</f>
        <v/>
      </c>
    </row>
    <row r="271" customFormat="false" ht="16.5" hidden="false" customHeight="true" outlineLevel="0" collapsed="false">
      <c r="A271" s="81" t="str">
        <f aca="false">IF($B271="","",ROW()-7)</f>
        <v/>
      </c>
      <c r="B271" s="82"/>
      <c r="C271" s="83" t="str">
        <f aca="false">IF($B271="","",YEAR($B271)*100+MONTH($B271))</f>
        <v/>
      </c>
      <c r="D271" s="84"/>
      <c r="E271" s="85"/>
      <c r="F271" s="85"/>
      <c r="G271" s="86"/>
      <c r="H271" s="87"/>
      <c r="I271" s="88"/>
      <c r="J271" s="89" t="str">
        <f aca="false">IF($B271="","",IF(N($H271)&lt;=0,"Montant ?",IF($D271="RECETTE",IF(COUNTIF(PARAMETRES!$E$5:$E$9,$E271)=0,"Catégorie ?","OK"),IF($D271="DEPENSE",IF(COUNTIF(PARAMETRES!$G$5:$G$20,$E271)=0,"Catégorie ?","OK"),"Type ?"))))</f>
        <v/>
      </c>
    </row>
    <row r="272" customFormat="false" ht="16.5" hidden="false" customHeight="true" outlineLevel="0" collapsed="false">
      <c r="A272" s="72" t="str">
        <f aca="false">IF($B272="","",ROW()-7)</f>
        <v/>
      </c>
      <c r="B272" s="73"/>
      <c r="C272" s="74" t="str">
        <f aca="false">IF($B272="","",YEAR($B272)*100+MONTH($B272))</f>
        <v/>
      </c>
      <c r="D272" s="75"/>
      <c r="E272" s="76"/>
      <c r="F272" s="76"/>
      <c r="G272" s="77"/>
      <c r="H272" s="78"/>
      <c r="I272" s="79"/>
      <c r="J272" s="80" t="str">
        <f aca="false">IF($B272="","",IF(N($H272)&lt;=0,"Montant ?",IF($D272="RECETTE",IF(COUNTIF(PARAMETRES!$E$5:$E$9,$E272)=0,"Catégorie ?","OK"),IF($D272="DEPENSE",IF(COUNTIF(PARAMETRES!$G$5:$G$20,$E272)=0,"Catégorie ?","OK"),"Type ?"))))</f>
        <v/>
      </c>
    </row>
    <row r="273" customFormat="false" ht="16.5" hidden="false" customHeight="true" outlineLevel="0" collapsed="false">
      <c r="A273" s="81" t="str">
        <f aca="false">IF($B273="","",ROW()-7)</f>
        <v/>
      </c>
      <c r="B273" s="82"/>
      <c r="C273" s="83" t="str">
        <f aca="false">IF($B273="","",YEAR($B273)*100+MONTH($B273))</f>
        <v/>
      </c>
      <c r="D273" s="84"/>
      <c r="E273" s="85"/>
      <c r="F273" s="85"/>
      <c r="G273" s="86"/>
      <c r="H273" s="87"/>
      <c r="I273" s="88"/>
      <c r="J273" s="89" t="str">
        <f aca="false">IF($B273="","",IF(N($H273)&lt;=0,"Montant ?",IF($D273="RECETTE",IF(COUNTIF(PARAMETRES!$E$5:$E$9,$E273)=0,"Catégorie ?","OK"),IF($D273="DEPENSE",IF(COUNTIF(PARAMETRES!$G$5:$G$20,$E273)=0,"Catégorie ?","OK"),"Type ?"))))</f>
        <v/>
      </c>
    </row>
    <row r="274" customFormat="false" ht="16.5" hidden="false" customHeight="true" outlineLevel="0" collapsed="false">
      <c r="A274" s="72" t="str">
        <f aca="false">IF($B274="","",ROW()-7)</f>
        <v/>
      </c>
      <c r="B274" s="73"/>
      <c r="C274" s="74" t="str">
        <f aca="false">IF($B274="","",YEAR($B274)*100+MONTH($B274))</f>
        <v/>
      </c>
      <c r="D274" s="75"/>
      <c r="E274" s="76"/>
      <c r="F274" s="76"/>
      <c r="G274" s="77"/>
      <c r="H274" s="78"/>
      <c r="I274" s="79"/>
      <c r="J274" s="80" t="str">
        <f aca="false">IF($B274="","",IF(N($H274)&lt;=0,"Montant ?",IF($D274="RECETTE",IF(COUNTIF(PARAMETRES!$E$5:$E$9,$E274)=0,"Catégorie ?","OK"),IF($D274="DEPENSE",IF(COUNTIF(PARAMETRES!$G$5:$G$20,$E274)=0,"Catégorie ?","OK"),"Type ?"))))</f>
        <v/>
      </c>
    </row>
    <row r="275" customFormat="false" ht="16.5" hidden="false" customHeight="true" outlineLevel="0" collapsed="false">
      <c r="A275" s="81" t="str">
        <f aca="false">IF($B275="","",ROW()-7)</f>
        <v/>
      </c>
      <c r="B275" s="82"/>
      <c r="C275" s="83" t="str">
        <f aca="false">IF($B275="","",YEAR($B275)*100+MONTH($B275))</f>
        <v/>
      </c>
      <c r="D275" s="84"/>
      <c r="E275" s="85"/>
      <c r="F275" s="85"/>
      <c r="G275" s="86"/>
      <c r="H275" s="87"/>
      <c r="I275" s="88"/>
      <c r="J275" s="89" t="str">
        <f aca="false">IF($B275="","",IF(N($H275)&lt;=0,"Montant ?",IF($D275="RECETTE",IF(COUNTIF(PARAMETRES!$E$5:$E$9,$E275)=0,"Catégorie ?","OK"),IF($D275="DEPENSE",IF(COUNTIF(PARAMETRES!$G$5:$G$20,$E275)=0,"Catégorie ?","OK"),"Type ?"))))</f>
        <v/>
      </c>
    </row>
    <row r="276" customFormat="false" ht="16.5" hidden="false" customHeight="true" outlineLevel="0" collapsed="false">
      <c r="A276" s="72" t="str">
        <f aca="false">IF($B276="","",ROW()-7)</f>
        <v/>
      </c>
      <c r="B276" s="73"/>
      <c r="C276" s="74" t="str">
        <f aca="false">IF($B276="","",YEAR($B276)*100+MONTH($B276))</f>
        <v/>
      </c>
      <c r="D276" s="75"/>
      <c r="E276" s="76"/>
      <c r="F276" s="76"/>
      <c r="G276" s="77"/>
      <c r="H276" s="78"/>
      <c r="I276" s="79"/>
      <c r="J276" s="80" t="str">
        <f aca="false">IF($B276="","",IF(N($H276)&lt;=0,"Montant ?",IF($D276="RECETTE",IF(COUNTIF(PARAMETRES!$E$5:$E$9,$E276)=0,"Catégorie ?","OK"),IF($D276="DEPENSE",IF(COUNTIF(PARAMETRES!$G$5:$G$20,$E276)=0,"Catégorie ?","OK"),"Type ?"))))</f>
        <v/>
      </c>
    </row>
    <row r="277" customFormat="false" ht="16.5" hidden="false" customHeight="true" outlineLevel="0" collapsed="false">
      <c r="A277" s="81" t="str">
        <f aca="false">IF($B277="","",ROW()-7)</f>
        <v/>
      </c>
      <c r="B277" s="82"/>
      <c r="C277" s="83" t="str">
        <f aca="false">IF($B277="","",YEAR($B277)*100+MONTH($B277))</f>
        <v/>
      </c>
      <c r="D277" s="84"/>
      <c r="E277" s="85"/>
      <c r="F277" s="85"/>
      <c r="G277" s="86"/>
      <c r="H277" s="87"/>
      <c r="I277" s="88"/>
      <c r="J277" s="89" t="str">
        <f aca="false">IF($B277="","",IF(N($H277)&lt;=0,"Montant ?",IF($D277="RECETTE",IF(COUNTIF(PARAMETRES!$E$5:$E$9,$E277)=0,"Catégorie ?","OK"),IF($D277="DEPENSE",IF(COUNTIF(PARAMETRES!$G$5:$G$20,$E277)=0,"Catégorie ?","OK"),"Type ?"))))</f>
        <v/>
      </c>
    </row>
    <row r="278" customFormat="false" ht="16.5" hidden="false" customHeight="true" outlineLevel="0" collapsed="false">
      <c r="A278" s="72" t="str">
        <f aca="false">IF($B278="","",ROW()-7)</f>
        <v/>
      </c>
      <c r="B278" s="73"/>
      <c r="C278" s="74" t="str">
        <f aca="false">IF($B278="","",YEAR($B278)*100+MONTH($B278))</f>
        <v/>
      </c>
      <c r="D278" s="75"/>
      <c r="E278" s="76"/>
      <c r="F278" s="76"/>
      <c r="G278" s="77"/>
      <c r="H278" s="78"/>
      <c r="I278" s="79"/>
      <c r="J278" s="80" t="str">
        <f aca="false">IF($B278="","",IF(N($H278)&lt;=0,"Montant ?",IF($D278="RECETTE",IF(COUNTIF(PARAMETRES!$E$5:$E$9,$E278)=0,"Catégorie ?","OK"),IF($D278="DEPENSE",IF(COUNTIF(PARAMETRES!$G$5:$G$20,$E278)=0,"Catégorie ?","OK"),"Type ?"))))</f>
        <v/>
      </c>
    </row>
    <row r="279" customFormat="false" ht="16.5" hidden="false" customHeight="true" outlineLevel="0" collapsed="false">
      <c r="A279" s="81" t="str">
        <f aca="false">IF($B279="","",ROW()-7)</f>
        <v/>
      </c>
      <c r="B279" s="82"/>
      <c r="C279" s="83" t="str">
        <f aca="false">IF($B279="","",YEAR($B279)*100+MONTH($B279))</f>
        <v/>
      </c>
      <c r="D279" s="84"/>
      <c r="E279" s="85"/>
      <c r="F279" s="85"/>
      <c r="G279" s="86"/>
      <c r="H279" s="87"/>
      <c r="I279" s="88"/>
      <c r="J279" s="89" t="str">
        <f aca="false">IF($B279="","",IF(N($H279)&lt;=0,"Montant ?",IF($D279="RECETTE",IF(COUNTIF(PARAMETRES!$E$5:$E$9,$E279)=0,"Catégorie ?","OK"),IF($D279="DEPENSE",IF(COUNTIF(PARAMETRES!$G$5:$G$20,$E279)=0,"Catégorie ?","OK"),"Type ?"))))</f>
        <v/>
      </c>
    </row>
    <row r="280" customFormat="false" ht="16.5" hidden="false" customHeight="true" outlineLevel="0" collapsed="false">
      <c r="A280" s="72" t="str">
        <f aca="false">IF($B280="","",ROW()-7)</f>
        <v/>
      </c>
      <c r="B280" s="73"/>
      <c r="C280" s="74" t="str">
        <f aca="false">IF($B280="","",YEAR($B280)*100+MONTH($B280))</f>
        <v/>
      </c>
      <c r="D280" s="75"/>
      <c r="E280" s="76"/>
      <c r="F280" s="76"/>
      <c r="G280" s="77"/>
      <c r="H280" s="78"/>
      <c r="I280" s="79"/>
      <c r="J280" s="80" t="str">
        <f aca="false">IF($B280="","",IF(N($H280)&lt;=0,"Montant ?",IF($D280="RECETTE",IF(COUNTIF(PARAMETRES!$E$5:$E$9,$E280)=0,"Catégorie ?","OK"),IF($D280="DEPENSE",IF(COUNTIF(PARAMETRES!$G$5:$G$20,$E280)=0,"Catégorie ?","OK"),"Type ?"))))</f>
        <v/>
      </c>
    </row>
    <row r="281" customFormat="false" ht="16.5" hidden="false" customHeight="true" outlineLevel="0" collapsed="false">
      <c r="A281" s="81" t="str">
        <f aca="false">IF($B281="","",ROW()-7)</f>
        <v/>
      </c>
      <c r="B281" s="82"/>
      <c r="C281" s="83" t="str">
        <f aca="false">IF($B281="","",YEAR($B281)*100+MONTH($B281))</f>
        <v/>
      </c>
      <c r="D281" s="84"/>
      <c r="E281" s="85"/>
      <c r="F281" s="85"/>
      <c r="G281" s="86"/>
      <c r="H281" s="87"/>
      <c r="I281" s="88"/>
      <c r="J281" s="89" t="str">
        <f aca="false">IF($B281="","",IF(N($H281)&lt;=0,"Montant ?",IF($D281="RECETTE",IF(COUNTIF(PARAMETRES!$E$5:$E$9,$E281)=0,"Catégorie ?","OK"),IF($D281="DEPENSE",IF(COUNTIF(PARAMETRES!$G$5:$G$20,$E281)=0,"Catégorie ?","OK"),"Type ?"))))</f>
        <v/>
      </c>
    </row>
    <row r="282" customFormat="false" ht="16.5" hidden="false" customHeight="true" outlineLevel="0" collapsed="false">
      <c r="A282" s="72" t="str">
        <f aca="false">IF($B282="","",ROW()-7)</f>
        <v/>
      </c>
      <c r="B282" s="73"/>
      <c r="C282" s="74" t="str">
        <f aca="false">IF($B282="","",YEAR($B282)*100+MONTH($B282))</f>
        <v/>
      </c>
      <c r="D282" s="75"/>
      <c r="E282" s="76"/>
      <c r="F282" s="76"/>
      <c r="G282" s="77"/>
      <c r="H282" s="78"/>
      <c r="I282" s="79"/>
      <c r="J282" s="80" t="str">
        <f aca="false">IF($B282="","",IF(N($H282)&lt;=0,"Montant ?",IF($D282="RECETTE",IF(COUNTIF(PARAMETRES!$E$5:$E$9,$E282)=0,"Catégorie ?","OK"),IF($D282="DEPENSE",IF(COUNTIF(PARAMETRES!$G$5:$G$20,$E282)=0,"Catégorie ?","OK"),"Type ?"))))</f>
        <v/>
      </c>
    </row>
    <row r="283" customFormat="false" ht="16.5" hidden="false" customHeight="true" outlineLevel="0" collapsed="false">
      <c r="A283" s="81" t="str">
        <f aca="false">IF($B283="","",ROW()-7)</f>
        <v/>
      </c>
      <c r="B283" s="82"/>
      <c r="C283" s="83" t="str">
        <f aca="false">IF($B283="","",YEAR($B283)*100+MONTH($B283))</f>
        <v/>
      </c>
      <c r="D283" s="84"/>
      <c r="E283" s="85"/>
      <c r="F283" s="85"/>
      <c r="G283" s="86"/>
      <c r="H283" s="87"/>
      <c r="I283" s="88"/>
      <c r="J283" s="89" t="str">
        <f aca="false">IF($B283="","",IF(N($H283)&lt;=0,"Montant ?",IF($D283="RECETTE",IF(COUNTIF(PARAMETRES!$E$5:$E$9,$E283)=0,"Catégorie ?","OK"),IF($D283="DEPENSE",IF(COUNTIF(PARAMETRES!$G$5:$G$20,$E283)=0,"Catégorie ?","OK"),"Type ?"))))</f>
        <v/>
      </c>
    </row>
    <row r="284" customFormat="false" ht="16.5" hidden="false" customHeight="true" outlineLevel="0" collapsed="false">
      <c r="A284" s="72" t="str">
        <f aca="false">IF($B284="","",ROW()-7)</f>
        <v/>
      </c>
      <c r="B284" s="73"/>
      <c r="C284" s="74" t="str">
        <f aca="false">IF($B284="","",YEAR($B284)*100+MONTH($B284))</f>
        <v/>
      </c>
      <c r="D284" s="75"/>
      <c r="E284" s="76"/>
      <c r="F284" s="76"/>
      <c r="G284" s="77"/>
      <c r="H284" s="78"/>
      <c r="I284" s="79"/>
      <c r="J284" s="80" t="str">
        <f aca="false">IF($B284="","",IF(N($H284)&lt;=0,"Montant ?",IF($D284="RECETTE",IF(COUNTIF(PARAMETRES!$E$5:$E$9,$E284)=0,"Catégorie ?","OK"),IF($D284="DEPENSE",IF(COUNTIF(PARAMETRES!$G$5:$G$20,$E284)=0,"Catégorie ?","OK"),"Type ?"))))</f>
        <v/>
      </c>
    </row>
    <row r="285" customFormat="false" ht="16.5" hidden="false" customHeight="true" outlineLevel="0" collapsed="false">
      <c r="A285" s="81" t="str">
        <f aca="false">IF($B285="","",ROW()-7)</f>
        <v/>
      </c>
      <c r="B285" s="82"/>
      <c r="C285" s="83" t="str">
        <f aca="false">IF($B285="","",YEAR($B285)*100+MONTH($B285))</f>
        <v/>
      </c>
      <c r="D285" s="84"/>
      <c r="E285" s="85"/>
      <c r="F285" s="85"/>
      <c r="G285" s="86"/>
      <c r="H285" s="87"/>
      <c r="I285" s="88"/>
      <c r="J285" s="89" t="str">
        <f aca="false">IF($B285="","",IF(N($H285)&lt;=0,"Montant ?",IF($D285="RECETTE",IF(COUNTIF(PARAMETRES!$E$5:$E$9,$E285)=0,"Catégorie ?","OK"),IF($D285="DEPENSE",IF(COUNTIF(PARAMETRES!$G$5:$G$20,$E285)=0,"Catégorie ?","OK"),"Type ?"))))</f>
        <v/>
      </c>
    </row>
    <row r="286" customFormat="false" ht="16.5" hidden="false" customHeight="true" outlineLevel="0" collapsed="false">
      <c r="A286" s="72" t="str">
        <f aca="false">IF($B286="","",ROW()-7)</f>
        <v/>
      </c>
      <c r="B286" s="73"/>
      <c r="C286" s="74" t="str">
        <f aca="false">IF($B286="","",YEAR($B286)*100+MONTH($B286))</f>
        <v/>
      </c>
      <c r="D286" s="75"/>
      <c r="E286" s="76"/>
      <c r="F286" s="76"/>
      <c r="G286" s="77"/>
      <c r="H286" s="78"/>
      <c r="I286" s="79"/>
      <c r="J286" s="80" t="str">
        <f aca="false">IF($B286="","",IF(N($H286)&lt;=0,"Montant ?",IF($D286="RECETTE",IF(COUNTIF(PARAMETRES!$E$5:$E$9,$E286)=0,"Catégorie ?","OK"),IF($D286="DEPENSE",IF(COUNTIF(PARAMETRES!$G$5:$G$20,$E286)=0,"Catégorie ?","OK"),"Type ?"))))</f>
        <v/>
      </c>
    </row>
    <row r="287" customFormat="false" ht="16.5" hidden="false" customHeight="true" outlineLevel="0" collapsed="false">
      <c r="A287" s="81" t="str">
        <f aca="false">IF($B287="","",ROW()-7)</f>
        <v/>
      </c>
      <c r="B287" s="82"/>
      <c r="C287" s="83" t="str">
        <f aca="false">IF($B287="","",YEAR($B287)*100+MONTH($B287))</f>
        <v/>
      </c>
      <c r="D287" s="84"/>
      <c r="E287" s="85"/>
      <c r="F287" s="85"/>
      <c r="G287" s="86"/>
      <c r="H287" s="87"/>
      <c r="I287" s="88"/>
      <c r="J287" s="89" t="str">
        <f aca="false">IF($B287="","",IF(N($H287)&lt;=0,"Montant ?",IF($D287="RECETTE",IF(COUNTIF(PARAMETRES!$E$5:$E$9,$E287)=0,"Catégorie ?","OK"),IF($D287="DEPENSE",IF(COUNTIF(PARAMETRES!$G$5:$G$20,$E287)=0,"Catégorie ?","OK"),"Type ?"))))</f>
        <v/>
      </c>
    </row>
    <row r="288" customFormat="false" ht="16.5" hidden="false" customHeight="true" outlineLevel="0" collapsed="false">
      <c r="A288" s="72" t="str">
        <f aca="false">IF($B288="","",ROW()-7)</f>
        <v/>
      </c>
      <c r="B288" s="73"/>
      <c r="C288" s="74" t="str">
        <f aca="false">IF($B288="","",YEAR($B288)*100+MONTH($B288))</f>
        <v/>
      </c>
      <c r="D288" s="75"/>
      <c r="E288" s="76"/>
      <c r="F288" s="76"/>
      <c r="G288" s="77"/>
      <c r="H288" s="78"/>
      <c r="I288" s="79"/>
      <c r="J288" s="80" t="str">
        <f aca="false">IF($B288="","",IF(N($H288)&lt;=0,"Montant ?",IF($D288="RECETTE",IF(COUNTIF(PARAMETRES!$E$5:$E$9,$E288)=0,"Catégorie ?","OK"),IF($D288="DEPENSE",IF(COUNTIF(PARAMETRES!$G$5:$G$20,$E288)=0,"Catégorie ?","OK"),"Type ?"))))</f>
        <v/>
      </c>
    </row>
    <row r="289" customFormat="false" ht="16.5" hidden="false" customHeight="true" outlineLevel="0" collapsed="false">
      <c r="A289" s="81" t="str">
        <f aca="false">IF($B289="","",ROW()-7)</f>
        <v/>
      </c>
      <c r="B289" s="82"/>
      <c r="C289" s="83" t="str">
        <f aca="false">IF($B289="","",YEAR($B289)*100+MONTH($B289))</f>
        <v/>
      </c>
      <c r="D289" s="84"/>
      <c r="E289" s="85"/>
      <c r="F289" s="85"/>
      <c r="G289" s="86"/>
      <c r="H289" s="87"/>
      <c r="I289" s="88"/>
      <c r="J289" s="89" t="str">
        <f aca="false">IF($B289="","",IF(N($H289)&lt;=0,"Montant ?",IF($D289="RECETTE",IF(COUNTIF(PARAMETRES!$E$5:$E$9,$E289)=0,"Catégorie ?","OK"),IF($D289="DEPENSE",IF(COUNTIF(PARAMETRES!$G$5:$G$20,$E289)=0,"Catégorie ?","OK"),"Type ?"))))</f>
        <v/>
      </c>
    </row>
    <row r="290" customFormat="false" ht="16.5" hidden="false" customHeight="true" outlineLevel="0" collapsed="false">
      <c r="A290" s="72" t="str">
        <f aca="false">IF($B290="","",ROW()-7)</f>
        <v/>
      </c>
      <c r="B290" s="73"/>
      <c r="C290" s="74" t="str">
        <f aca="false">IF($B290="","",YEAR($B290)*100+MONTH($B290))</f>
        <v/>
      </c>
      <c r="D290" s="75"/>
      <c r="E290" s="76"/>
      <c r="F290" s="76"/>
      <c r="G290" s="77"/>
      <c r="H290" s="78"/>
      <c r="I290" s="79"/>
      <c r="J290" s="80" t="str">
        <f aca="false">IF($B290="","",IF(N($H290)&lt;=0,"Montant ?",IF($D290="RECETTE",IF(COUNTIF(PARAMETRES!$E$5:$E$9,$E290)=0,"Catégorie ?","OK"),IF($D290="DEPENSE",IF(COUNTIF(PARAMETRES!$G$5:$G$20,$E290)=0,"Catégorie ?","OK"),"Type ?"))))</f>
        <v/>
      </c>
    </row>
    <row r="291" customFormat="false" ht="16.5" hidden="false" customHeight="true" outlineLevel="0" collapsed="false">
      <c r="A291" s="81" t="str">
        <f aca="false">IF($B291="","",ROW()-7)</f>
        <v/>
      </c>
      <c r="B291" s="82"/>
      <c r="C291" s="83" t="str">
        <f aca="false">IF($B291="","",YEAR($B291)*100+MONTH($B291))</f>
        <v/>
      </c>
      <c r="D291" s="84"/>
      <c r="E291" s="85"/>
      <c r="F291" s="85"/>
      <c r="G291" s="86"/>
      <c r="H291" s="87"/>
      <c r="I291" s="88"/>
      <c r="J291" s="89" t="str">
        <f aca="false">IF($B291="","",IF(N($H291)&lt;=0,"Montant ?",IF($D291="RECETTE",IF(COUNTIF(PARAMETRES!$E$5:$E$9,$E291)=0,"Catégorie ?","OK"),IF($D291="DEPENSE",IF(COUNTIF(PARAMETRES!$G$5:$G$20,$E291)=0,"Catégorie ?","OK"),"Type ?"))))</f>
        <v/>
      </c>
    </row>
    <row r="292" customFormat="false" ht="16.5" hidden="false" customHeight="true" outlineLevel="0" collapsed="false">
      <c r="A292" s="72" t="str">
        <f aca="false">IF($B292="","",ROW()-7)</f>
        <v/>
      </c>
      <c r="B292" s="73"/>
      <c r="C292" s="74" t="str">
        <f aca="false">IF($B292="","",YEAR($B292)*100+MONTH($B292))</f>
        <v/>
      </c>
      <c r="D292" s="75"/>
      <c r="E292" s="76"/>
      <c r="F292" s="76"/>
      <c r="G292" s="77"/>
      <c r="H292" s="78"/>
      <c r="I292" s="79"/>
      <c r="J292" s="80" t="str">
        <f aca="false">IF($B292="","",IF(N($H292)&lt;=0,"Montant ?",IF($D292="RECETTE",IF(COUNTIF(PARAMETRES!$E$5:$E$9,$E292)=0,"Catégorie ?","OK"),IF($D292="DEPENSE",IF(COUNTIF(PARAMETRES!$G$5:$G$20,$E292)=0,"Catégorie ?","OK"),"Type ?"))))</f>
        <v/>
      </c>
    </row>
    <row r="293" customFormat="false" ht="16.5" hidden="false" customHeight="true" outlineLevel="0" collapsed="false">
      <c r="A293" s="81" t="str">
        <f aca="false">IF($B293="","",ROW()-7)</f>
        <v/>
      </c>
      <c r="B293" s="82"/>
      <c r="C293" s="83" t="str">
        <f aca="false">IF($B293="","",YEAR($B293)*100+MONTH($B293))</f>
        <v/>
      </c>
      <c r="D293" s="84"/>
      <c r="E293" s="85"/>
      <c r="F293" s="85"/>
      <c r="G293" s="86"/>
      <c r="H293" s="87"/>
      <c r="I293" s="88"/>
      <c r="J293" s="89" t="str">
        <f aca="false">IF($B293="","",IF(N($H293)&lt;=0,"Montant ?",IF($D293="RECETTE",IF(COUNTIF(PARAMETRES!$E$5:$E$9,$E293)=0,"Catégorie ?","OK"),IF($D293="DEPENSE",IF(COUNTIF(PARAMETRES!$G$5:$G$20,$E293)=0,"Catégorie ?","OK"),"Type ?"))))</f>
        <v/>
      </c>
    </row>
    <row r="294" customFormat="false" ht="16.5" hidden="false" customHeight="true" outlineLevel="0" collapsed="false">
      <c r="A294" s="72" t="str">
        <f aca="false">IF($B294="","",ROW()-7)</f>
        <v/>
      </c>
      <c r="B294" s="73"/>
      <c r="C294" s="74" t="str">
        <f aca="false">IF($B294="","",YEAR($B294)*100+MONTH($B294))</f>
        <v/>
      </c>
      <c r="D294" s="75"/>
      <c r="E294" s="76"/>
      <c r="F294" s="76"/>
      <c r="G294" s="77"/>
      <c r="H294" s="78"/>
      <c r="I294" s="79"/>
      <c r="J294" s="80" t="str">
        <f aca="false">IF($B294="","",IF(N($H294)&lt;=0,"Montant ?",IF($D294="RECETTE",IF(COUNTIF(PARAMETRES!$E$5:$E$9,$E294)=0,"Catégorie ?","OK"),IF($D294="DEPENSE",IF(COUNTIF(PARAMETRES!$G$5:$G$20,$E294)=0,"Catégorie ?","OK"),"Type ?"))))</f>
        <v/>
      </c>
    </row>
    <row r="295" customFormat="false" ht="16.5" hidden="false" customHeight="true" outlineLevel="0" collapsed="false">
      <c r="A295" s="81" t="str">
        <f aca="false">IF($B295="","",ROW()-7)</f>
        <v/>
      </c>
      <c r="B295" s="82"/>
      <c r="C295" s="83" t="str">
        <f aca="false">IF($B295="","",YEAR($B295)*100+MONTH($B295))</f>
        <v/>
      </c>
      <c r="D295" s="84"/>
      <c r="E295" s="85"/>
      <c r="F295" s="85"/>
      <c r="G295" s="86"/>
      <c r="H295" s="87"/>
      <c r="I295" s="88"/>
      <c r="J295" s="89" t="str">
        <f aca="false">IF($B295="","",IF(N($H295)&lt;=0,"Montant ?",IF($D295="RECETTE",IF(COUNTIF(PARAMETRES!$E$5:$E$9,$E295)=0,"Catégorie ?","OK"),IF($D295="DEPENSE",IF(COUNTIF(PARAMETRES!$G$5:$G$20,$E295)=0,"Catégorie ?","OK"),"Type ?"))))</f>
        <v/>
      </c>
    </row>
    <row r="296" customFormat="false" ht="16.5" hidden="false" customHeight="true" outlineLevel="0" collapsed="false">
      <c r="A296" s="72" t="str">
        <f aca="false">IF($B296="","",ROW()-7)</f>
        <v/>
      </c>
      <c r="B296" s="73"/>
      <c r="C296" s="74" t="str">
        <f aca="false">IF($B296="","",YEAR($B296)*100+MONTH($B296))</f>
        <v/>
      </c>
      <c r="D296" s="75"/>
      <c r="E296" s="76"/>
      <c r="F296" s="76"/>
      <c r="G296" s="77"/>
      <c r="H296" s="78"/>
      <c r="I296" s="79"/>
      <c r="J296" s="80" t="str">
        <f aca="false">IF($B296="","",IF(N($H296)&lt;=0,"Montant ?",IF($D296="RECETTE",IF(COUNTIF(PARAMETRES!$E$5:$E$9,$E296)=0,"Catégorie ?","OK"),IF($D296="DEPENSE",IF(COUNTIF(PARAMETRES!$G$5:$G$20,$E296)=0,"Catégorie ?","OK"),"Type ?"))))</f>
        <v/>
      </c>
    </row>
    <row r="297" customFormat="false" ht="16.5" hidden="false" customHeight="true" outlineLevel="0" collapsed="false">
      <c r="A297" s="81" t="str">
        <f aca="false">IF($B297="","",ROW()-7)</f>
        <v/>
      </c>
      <c r="B297" s="82"/>
      <c r="C297" s="83" t="str">
        <f aca="false">IF($B297="","",YEAR($B297)*100+MONTH($B297))</f>
        <v/>
      </c>
      <c r="D297" s="84"/>
      <c r="E297" s="85"/>
      <c r="F297" s="85"/>
      <c r="G297" s="86"/>
      <c r="H297" s="87"/>
      <c r="I297" s="88"/>
      <c r="J297" s="89" t="str">
        <f aca="false">IF($B297="","",IF(N($H297)&lt;=0,"Montant ?",IF($D297="RECETTE",IF(COUNTIF(PARAMETRES!$E$5:$E$9,$E297)=0,"Catégorie ?","OK"),IF($D297="DEPENSE",IF(COUNTIF(PARAMETRES!$G$5:$G$20,$E297)=0,"Catégorie ?","OK"),"Type ?"))))</f>
        <v/>
      </c>
    </row>
    <row r="298" customFormat="false" ht="16.5" hidden="false" customHeight="true" outlineLevel="0" collapsed="false">
      <c r="A298" s="72" t="str">
        <f aca="false">IF($B298="","",ROW()-7)</f>
        <v/>
      </c>
      <c r="B298" s="73"/>
      <c r="C298" s="74" t="str">
        <f aca="false">IF($B298="","",YEAR($B298)*100+MONTH($B298))</f>
        <v/>
      </c>
      <c r="D298" s="75"/>
      <c r="E298" s="76"/>
      <c r="F298" s="76"/>
      <c r="G298" s="77"/>
      <c r="H298" s="78"/>
      <c r="I298" s="79"/>
      <c r="J298" s="80" t="str">
        <f aca="false">IF($B298="","",IF(N($H298)&lt;=0,"Montant ?",IF($D298="RECETTE",IF(COUNTIF(PARAMETRES!$E$5:$E$9,$E298)=0,"Catégorie ?","OK"),IF($D298="DEPENSE",IF(COUNTIF(PARAMETRES!$G$5:$G$20,$E298)=0,"Catégorie ?","OK"),"Type ?"))))</f>
        <v/>
      </c>
    </row>
    <row r="299" customFormat="false" ht="16.5" hidden="false" customHeight="true" outlineLevel="0" collapsed="false">
      <c r="A299" s="81" t="str">
        <f aca="false">IF($B299="","",ROW()-7)</f>
        <v/>
      </c>
      <c r="B299" s="82"/>
      <c r="C299" s="83" t="str">
        <f aca="false">IF($B299="","",YEAR($B299)*100+MONTH($B299))</f>
        <v/>
      </c>
      <c r="D299" s="84"/>
      <c r="E299" s="85"/>
      <c r="F299" s="85"/>
      <c r="G299" s="86"/>
      <c r="H299" s="87"/>
      <c r="I299" s="88"/>
      <c r="J299" s="89" t="str">
        <f aca="false">IF($B299="","",IF(N($H299)&lt;=0,"Montant ?",IF($D299="RECETTE",IF(COUNTIF(PARAMETRES!$E$5:$E$9,$E299)=0,"Catégorie ?","OK"),IF($D299="DEPENSE",IF(COUNTIF(PARAMETRES!$G$5:$G$20,$E299)=0,"Catégorie ?","OK"),"Type ?"))))</f>
        <v/>
      </c>
    </row>
    <row r="300" customFormat="false" ht="16.5" hidden="false" customHeight="true" outlineLevel="0" collapsed="false">
      <c r="A300" s="72" t="str">
        <f aca="false">IF($B300="","",ROW()-7)</f>
        <v/>
      </c>
      <c r="B300" s="73"/>
      <c r="C300" s="74" t="str">
        <f aca="false">IF($B300="","",YEAR($B300)*100+MONTH($B300))</f>
        <v/>
      </c>
      <c r="D300" s="75"/>
      <c r="E300" s="76"/>
      <c r="F300" s="76"/>
      <c r="G300" s="77"/>
      <c r="H300" s="78"/>
      <c r="I300" s="79"/>
      <c r="J300" s="80" t="str">
        <f aca="false">IF($B300="","",IF(N($H300)&lt;=0,"Montant ?",IF($D300="RECETTE",IF(COUNTIF(PARAMETRES!$E$5:$E$9,$E300)=0,"Catégorie ?","OK"),IF($D300="DEPENSE",IF(COUNTIF(PARAMETRES!$G$5:$G$20,$E300)=0,"Catégorie ?","OK"),"Type ?"))))</f>
        <v/>
      </c>
    </row>
    <row r="301" customFormat="false" ht="16.5" hidden="false" customHeight="true" outlineLevel="0" collapsed="false">
      <c r="A301" s="81" t="str">
        <f aca="false">IF($B301="","",ROW()-7)</f>
        <v/>
      </c>
      <c r="B301" s="82"/>
      <c r="C301" s="83" t="str">
        <f aca="false">IF($B301="","",YEAR($B301)*100+MONTH($B301))</f>
        <v/>
      </c>
      <c r="D301" s="84"/>
      <c r="E301" s="85"/>
      <c r="F301" s="85"/>
      <c r="G301" s="86"/>
      <c r="H301" s="87"/>
      <c r="I301" s="88"/>
      <c r="J301" s="89" t="str">
        <f aca="false">IF($B301="","",IF(N($H301)&lt;=0,"Montant ?",IF($D301="RECETTE",IF(COUNTIF(PARAMETRES!$E$5:$E$9,$E301)=0,"Catégorie ?","OK"),IF($D301="DEPENSE",IF(COUNTIF(PARAMETRES!$G$5:$G$20,$E301)=0,"Catégorie ?","OK"),"Type ?"))))</f>
        <v/>
      </c>
    </row>
    <row r="302" customFormat="false" ht="16.5" hidden="false" customHeight="true" outlineLevel="0" collapsed="false">
      <c r="A302" s="72" t="str">
        <f aca="false">IF($B302="","",ROW()-7)</f>
        <v/>
      </c>
      <c r="B302" s="73"/>
      <c r="C302" s="74" t="str">
        <f aca="false">IF($B302="","",YEAR($B302)*100+MONTH($B302))</f>
        <v/>
      </c>
      <c r="D302" s="75"/>
      <c r="E302" s="76"/>
      <c r="F302" s="76"/>
      <c r="G302" s="77"/>
      <c r="H302" s="78"/>
      <c r="I302" s="79"/>
      <c r="J302" s="80" t="str">
        <f aca="false">IF($B302="","",IF(N($H302)&lt;=0,"Montant ?",IF($D302="RECETTE",IF(COUNTIF(PARAMETRES!$E$5:$E$9,$E302)=0,"Catégorie ?","OK"),IF($D302="DEPENSE",IF(COUNTIF(PARAMETRES!$G$5:$G$20,$E302)=0,"Catégorie ?","OK"),"Type ?"))))</f>
        <v/>
      </c>
    </row>
    <row r="303" customFormat="false" ht="16.5" hidden="false" customHeight="true" outlineLevel="0" collapsed="false">
      <c r="A303" s="81" t="str">
        <f aca="false">IF($B303="","",ROW()-7)</f>
        <v/>
      </c>
      <c r="B303" s="82"/>
      <c r="C303" s="83" t="str">
        <f aca="false">IF($B303="","",YEAR($B303)*100+MONTH($B303))</f>
        <v/>
      </c>
      <c r="D303" s="84"/>
      <c r="E303" s="85"/>
      <c r="F303" s="85"/>
      <c r="G303" s="86"/>
      <c r="H303" s="87"/>
      <c r="I303" s="88"/>
      <c r="J303" s="89" t="str">
        <f aca="false">IF($B303="","",IF(N($H303)&lt;=0,"Montant ?",IF($D303="RECETTE",IF(COUNTIF(PARAMETRES!$E$5:$E$9,$E303)=0,"Catégorie ?","OK"),IF($D303="DEPENSE",IF(COUNTIF(PARAMETRES!$G$5:$G$20,$E303)=0,"Catégorie ?","OK"),"Type ?"))))</f>
        <v/>
      </c>
    </row>
    <row r="304" customFormat="false" ht="16.5" hidden="false" customHeight="true" outlineLevel="0" collapsed="false">
      <c r="A304" s="72" t="str">
        <f aca="false">IF($B304="","",ROW()-7)</f>
        <v/>
      </c>
      <c r="B304" s="73"/>
      <c r="C304" s="74" t="str">
        <f aca="false">IF($B304="","",YEAR($B304)*100+MONTH($B304))</f>
        <v/>
      </c>
      <c r="D304" s="75"/>
      <c r="E304" s="76"/>
      <c r="F304" s="76"/>
      <c r="G304" s="77"/>
      <c r="H304" s="78"/>
      <c r="I304" s="79"/>
      <c r="J304" s="80" t="str">
        <f aca="false">IF($B304="","",IF(N($H304)&lt;=0,"Montant ?",IF($D304="RECETTE",IF(COUNTIF(PARAMETRES!$E$5:$E$9,$E304)=0,"Catégorie ?","OK"),IF($D304="DEPENSE",IF(COUNTIF(PARAMETRES!$G$5:$G$20,$E304)=0,"Catégorie ?","OK"),"Type ?"))))</f>
        <v/>
      </c>
    </row>
    <row r="305" customFormat="false" ht="16.5" hidden="false" customHeight="true" outlineLevel="0" collapsed="false">
      <c r="A305" s="81" t="str">
        <f aca="false">IF($B305="","",ROW()-7)</f>
        <v/>
      </c>
      <c r="B305" s="82"/>
      <c r="C305" s="83" t="str">
        <f aca="false">IF($B305="","",YEAR($B305)*100+MONTH($B305))</f>
        <v/>
      </c>
      <c r="D305" s="84"/>
      <c r="E305" s="85"/>
      <c r="F305" s="85"/>
      <c r="G305" s="86"/>
      <c r="H305" s="87"/>
      <c r="I305" s="88"/>
      <c r="J305" s="89" t="str">
        <f aca="false">IF($B305="","",IF(N($H305)&lt;=0,"Montant ?",IF($D305="RECETTE",IF(COUNTIF(PARAMETRES!$E$5:$E$9,$E305)=0,"Catégorie ?","OK"),IF($D305="DEPENSE",IF(COUNTIF(PARAMETRES!$G$5:$G$20,$E305)=0,"Catégorie ?","OK"),"Type ?"))))</f>
        <v/>
      </c>
    </row>
    <row r="306" customFormat="false" ht="16.5" hidden="false" customHeight="true" outlineLevel="0" collapsed="false">
      <c r="A306" s="72" t="str">
        <f aca="false">IF($B306="","",ROW()-7)</f>
        <v/>
      </c>
      <c r="B306" s="73"/>
      <c r="C306" s="74" t="str">
        <f aca="false">IF($B306="","",YEAR($B306)*100+MONTH($B306))</f>
        <v/>
      </c>
      <c r="D306" s="75"/>
      <c r="E306" s="76"/>
      <c r="F306" s="76"/>
      <c r="G306" s="77"/>
      <c r="H306" s="78"/>
      <c r="I306" s="79"/>
      <c r="J306" s="80" t="str">
        <f aca="false">IF($B306="","",IF(N($H306)&lt;=0,"Montant ?",IF($D306="RECETTE",IF(COUNTIF(PARAMETRES!$E$5:$E$9,$E306)=0,"Catégorie ?","OK"),IF($D306="DEPENSE",IF(COUNTIF(PARAMETRES!$G$5:$G$20,$E306)=0,"Catégorie ?","OK"),"Type ?"))))</f>
        <v/>
      </c>
    </row>
    <row r="307" customFormat="false" ht="16.5" hidden="false" customHeight="true" outlineLevel="0" collapsed="false">
      <c r="A307" s="81" t="str">
        <f aca="false">IF($B307="","",ROW()-7)</f>
        <v/>
      </c>
      <c r="B307" s="82"/>
      <c r="C307" s="83" t="str">
        <f aca="false">IF($B307="","",YEAR($B307)*100+MONTH($B307))</f>
        <v/>
      </c>
      <c r="D307" s="84"/>
      <c r="E307" s="85"/>
      <c r="F307" s="85"/>
      <c r="G307" s="86"/>
      <c r="H307" s="87"/>
      <c r="I307" s="88"/>
      <c r="J307" s="89" t="str">
        <f aca="false">IF($B307="","",IF(N($H307)&lt;=0,"Montant ?",IF($D307="RECETTE",IF(COUNTIF(PARAMETRES!$E$5:$E$9,$E307)=0,"Catégorie ?","OK"),IF($D307="DEPENSE",IF(COUNTIF(PARAMETRES!$G$5:$G$20,$E307)=0,"Catégorie ?","OK"),"Type ?"))))</f>
        <v/>
      </c>
    </row>
    <row r="308" customFormat="false" ht="16.5" hidden="false" customHeight="true" outlineLevel="0" collapsed="false">
      <c r="A308" s="72" t="str">
        <f aca="false">IF($B308="","",ROW()-7)</f>
        <v/>
      </c>
      <c r="B308" s="73"/>
      <c r="C308" s="74" t="str">
        <f aca="false">IF($B308="","",YEAR($B308)*100+MONTH($B308))</f>
        <v/>
      </c>
      <c r="D308" s="75"/>
      <c r="E308" s="76"/>
      <c r="F308" s="76"/>
      <c r="G308" s="77"/>
      <c r="H308" s="78"/>
      <c r="I308" s="79"/>
      <c r="J308" s="80" t="str">
        <f aca="false">IF($B308="","",IF(N($H308)&lt;=0,"Montant ?",IF($D308="RECETTE",IF(COUNTIF(PARAMETRES!$E$5:$E$9,$E308)=0,"Catégorie ?","OK"),IF($D308="DEPENSE",IF(COUNTIF(PARAMETRES!$G$5:$G$20,$E308)=0,"Catégorie ?","OK"),"Type ?"))))</f>
        <v/>
      </c>
    </row>
    <row r="309" customFormat="false" ht="16.5" hidden="false" customHeight="true" outlineLevel="0" collapsed="false">
      <c r="A309" s="81" t="str">
        <f aca="false">IF($B309="","",ROW()-7)</f>
        <v/>
      </c>
      <c r="B309" s="82"/>
      <c r="C309" s="83" t="str">
        <f aca="false">IF($B309="","",YEAR($B309)*100+MONTH($B309))</f>
        <v/>
      </c>
      <c r="D309" s="84"/>
      <c r="E309" s="85"/>
      <c r="F309" s="85"/>
      <c r="G309" s="86"/>
      <c r="H309" s="87"/>
      <c r="I309" s="88"/>
      <c r="J309" s="89" t="str">
        <f aca="false">IF($B309="","",IF(N($H309)&lt;=0,"Montant ?",IF($D309="RECETTE",IF(COUNTIF(PARAMETRES!$E$5:$E$9,$E309)=0,"Catégorie ?","OK"),IF($D309="DEPENSE",IF(COUNTIF(PARAMETRES!$G$5:$G$20,$E309)=0,"Catégorie ?","OK"),"Type ?"))))</f>
        <v/>
      </c>
    </row>
    <row r="310" customFormat="false" ht="16.5" hidden="false" customHeight="true" outlineLevel="0" collapsed="false">
      <c r="A310" s="72" t="str">
        <f aca="false">IF($B310="","",ROW()-7)</f>
        <v/>
      </c>
      <c r="B310" s="73"/>
      <c r="C310" s="74" t="str">
        <f aca="false">IF($B310="","",YEAR($B310)*100+MONTH($B310))</f>
        <v/>
      </c>
      <c r="D310" s="75"/>
      <c r="E310" s="76"/>
      <c r="F310" s="76"/>
      <c r="G310" s="77"/>
      <c r="H310" s="78"/>
      <c r="I310" s="79"/>
      <c r="J310" s="80" t="str">
        <f aca="false">IF($B310="","",IF(N($H310)&lt;=0,"Montant ?",IF($D310="RECETTE",IF(COUNTIF(PARAMETRES!$E$5:$E$9,$E310)=0,"Catégorie ?","OK"),IF($D310="DEPENSE",IF(COUNTIF(PARAMETRES!$G$5:$G$20,$E310)=0,"Catégorie ?","OK"),"Type ?"))))</f>
        <v/>
      </c>
    </row>
    <row r="311" customFormat="false" ht="16.5" hidden="false" customHeight="true" outlineLevel="0" collapsed="false">
      <c r="A311" s="81" t="str">
        <f aca="false">IF($B311="","",ROW()-7)</f>
        <v/>
      </c>
      <c r="B311" s="82"/>
      <c r="C311" s="83" t="str">
        <f aca="false">IF($B311="","",YEAR($B311)*100+MONTH($B311))</f>
        <v/>
      </c>
      <c r="D311" s="84"/>
      <c r="E311" s="85"/>
      <c r="F311" s="85"/>
      <c r="G311" s="86"/>
      <c r="H311" s="87"/>
      <c r="I311" s="88"/>
      <c r="J311" s="89" t="str">
        <f aca="false">IF($B311="","",IF(N($H311)&lt;=0,"Montant ?",IF($D311="RECETTE",IF(COUNTIF(PARAMETRES!$E$5:$E$9,$E311)=0,"Catégorie ?","OK"),IF($D311="DEPENSE",IF(COUNTIF(PARAMETRES!$G$5:$G$20,$E311)=0,"Catégorie ?","OK"),"Type ?"))))</f>
        <v/>
      </c>
    </row>
    <row r="312" customFormat="false" ht="16.5" hidden="false" customHeight="true" outlineLevel="0" collapsed="false">
      <c r="A312" s="72" t="str">
        <f aca="false">IF($B312="","",ROW()-7)</f>
        <v/>
      </c>
      <c r="B312" s="73"/>
      <c r="C312" s="74" t="str">
        <f aca="false">IF($B312="","",YEAR($B312)*100+MONTH($B312))</f>
        <v/>
      </c>
      <c r="D312" s="75"/>
      <c r="E312" s="76"/>
      <c r="F312" s="76"/>
      <c r="G312" s="77"/>
      <c r="H312" s="78"/>
      <c r="I312" s="79"/>
      <c r="J312" s="80" t="str">
        <f aca="false">IF($B312="","",IF(N($H312)&lt;=0,"Montant ?",IF($D312="RECETTE",IF(COUNTIF(PARAMETRES!$E$5:$E$9,$E312)=0,"Catégorie ?","OK"),IF($D312="DEPENSE",IF(COUNTIF(PARAMETRES!$G$5:$G$20,$E312)=0,"Catégorie ?","OK"),"Type ?"))))</f>
        <v/>
      </c>
    </row>
    <row r="313" customFormat="false" ht="16.5" hidden="false" customHeight="true" outlineLevel="0" collapsed="false">
      <c r="A313" s="81" t="str">
        <f aca="false">IF($B313="","",ROW()-7)</f>
        <v/>
      </c>
      <c r="B313" s="82"/>
      <c r="C313" s="83" t="str">
        <f aca="false">IF($B313="","",YEAR($B313)*100+MONTH($B313))</f>
        <v/>
      </c>
      <c r="D313" s="84"/>
      <c r="E313" s="85"/>
      <c r="F313" s="85"/>
      <c r="G313" s="86"/>
      <c r="H313" s="87"/>
      <c r="I313" s="88"/>
      <c r="J313" s="89" t="str">
        <f aca="false">IF($B313="","",IF(N($H313)&lt;=0,"Montant ?",IF($D313="RECETTE",IF(COUNTIF(PARAMETRES!$E$5:$E$9,$E313)=0,"Catégorie ?","OK"),IF($D313="DEPENSE",IF(COUNTIF(PARAMETRES!$G$5:$G$20,$E313)=0,"Catégorie ?","OK"),"Type ?"))))</f>
        <v/>
      </c>
    </row>
    <row r="314" customFormat="false" ht="16.5" hidden="false" customHeight="true" outlineLevel="0" collapsed="false">
      <c r="A314" s="72" t="str">
        <f aca="false">IF($B314="","",ROW()-7)</f>
        <v/>
      </c>
      <c r="B314" s="73"/>
      <c r="C314" s="74" t="str">
        <f aca="false">IF($B314="","",YEAR($B314)*100+MONTH($B314))</f>
        <v/>
      </c>
      <c r="D314" s="75"/>
      <c r="E314" s="76"/>
      <c r="F314" s="76"/>
      <c r="G314" s="77"/>
      <c r="H314" s="78"/>
      <c r="I314" s="79"/>
      <c r="J314" s="80" t="str">
        <f aca="false">IF($B314="","",IF(N($H314)&lt;=0,"Montant ?",IF($D314="RECETTE",IF(COUNTIF(PARAMETRES!$E$5:$E$9,$E314)=0,"Catégorie ?","OK"),IF($D314="DEPENSE",IF(COUNTIF(PARAMETRES!$G$5:$G$20,$E314)=0,"Catégorie ?","OK"),"Type ?"))))</f>
        <v/>
      </c>
    </row>
    <row r="315" customFormat="false" ht="16.5" hidden="false" customHeight="true" outlineLevel="0" collapsed="false">
      <c r="A315" s="81" t="str">
        <f aca="false">IF($B315="","",ROW()-7)</f>
        <v/>
      </c>
      <c r="B315" s="82"/>
      <c r="C315" s="83" t="str">
        <f aca="false">IF($B315="","",YEAR($B315)*100+MONTH($B315))</f>
        <v/>
      </c>
      <c r="D315" s="84"/>
      <c r="E315" s="85"/>
      <c r="F315" s="85"/>
      <c r="G315" s="86"/>
      <c r="H315" s="87"/>
      <c r="I315" s="88"/>
      <c r="J315" s="89" t="str">
        <f aca="false">IF($B315="","",IF(N($H315)&lt;=0,"Montant ?",IF($D315="RECETTE",IF(COUNTIF(PARAMETRES!$E$5:$E$9,$E315)=0,"Catégorie ?","OK"),IF($D315="DEPENSE",IF(COUNTIF(PARAMETRES!$G$5:$G$20,$E315)=0,"Catégorie ?","OK"),"Type ?"))))</f>
        <v/>
      </c>
    </row>
    <row r="316" customFormat="false" ht="16.5" hidden="false" customHeight="true" outlineLevel="0" collapsed="false">
      <c r="A316" s="72" t="str">
        <f aca="false">IF($B316="","",ROW()-7)</f>
        <v/>
      </c>
      <c r="B316" s="73"/>
      <c r="C316" s="74" t="str">
        <f aca="false">IF($B316="","",YEAR($B316)*100+MONTH($B316))</f>
        <v/>
      </c>
      <c r="D316" s="75"/>
      <c r="E316" s="76"/>
      <c r="F316" s="76"/>
      <c r="G316" s="77"/>
      <c r="H316" s="78"/>
      <c r="I316" s="79"/>
      <c r="J316" s="80" t="str">
        <f aca="false">IF($B316="","",IF(N($H316)&lt;=0,"Montant ?",IF($D316="RECETTE",IF(COUNTIF(PARAMETRES!$E$5:$E$9,$E316)=0,"Catégorie ?","OK"),IF($D316="DEPENSE",IF(COUNTIF(PARAMETRES!$G$5:$G$20,$E316)=0,"Catégorie ?","OK"),"Type ?"))))</f>
        <v/>
      </c>
    </row>
    <row r="317" customFormat="false" ht="16.5" hidden="false" customHeight="true" outlineLevel="0" collapsed="false">
      <c r="A317" s="81" t="str">
        <f aca="false">IF($B317="","",ROW()-7)</f>
        <v/>
      </c>
      <c r="B317" s="82"/>
      <c r="C317" s="83" t="str">
        <f aca="false">IF($B317="","",YEAR($B317)*100+MONTH($B317))</f>
        <v/>
      </c>
      <c r="D317" s="84"/>
      <c r="E317" s="85"/>
      <c r="F317" s="85"/>
      <c r="G317" s="86"/>
      <c r="H317" s="87"/>
      <c r="I317" s="88"/>
      <c r="J317" s="89" t="str">
        <f aca="false">IF($B317="","",IF(N($H317)&lt;=0,"Montant ?",IF($D317="RECETTE",IF(COUNTIF(PARAMETRES!$E$5:$E$9,$E317)=0,"Catégorie ?","OK"),IF($D317="DEPENSE",IF(COUNTIF(PARAMETRES!$G$5:$G$20,$E317)=0,"Catégorie ?","OK"),"Type ?"))))</f>
        <v/>
      </c>
    </row>
    <row r="318" customFormat="false" ht="16.5" hidden="false" customHeight="true" outlineLevel="0" collapsed="false">
      <c r="A318" s="72" t="str">
        <f aca="false">IF($B318="","",ROW()-7)</f>
        <v/>
      </c>
      <c r="B318" s="73"/>
      <c r="C318" s="74" t="str">
        <f aca="false">IF($B318="","",YEAR($B318)*100+MONTH($B318))</f>
        <v/>
      </c>
      <c r="D318" s="75"/>
      <c r="E318" s="76"/>
      <c r="F318" s="76"/>
      <c r="G318" s="77"/>
      <c r="H318" s="78"/>
      <c r="I318" s="79"/>
      <c r="J318" s="80" t="str">
        <f aca="false">IF($B318="","",IF(N($H318)&lt;=0,"Montant ?",IF($D318="RECETTE",IF(COUNTIF(PARAMETRES!$E$5:$E$9,$E318)=0,"Catégorie ?","OK"),IF($D318="DEPENSE",IF(COUNTIF(PARAMETRES!$G$5:$G$20,$E318)=0,"Catégorie ?","OK"),"Type ?"))))</f>
        <v/>
      </c>
    </row>
    <row r="319" customFormat="false" ht="16.5" hidden="false" customHeight="true" outlineLevel="0" collapsed="false">
      <c r="A319" s="81" t="str">
        <f aca="false">IF($B319="","",ROW()-7)</f>
        <v/>
      </c>
      <c r="B319" s="82"/>
      <c r="C319" s="83" t="str">
        <f aca="false">IF($B319="","",YEAR($B319)*100+MONTH($B319))</f>
        <v/>
      </c>
      <c r="D319" s="84"/>
      <c r="E319" s="85"/>
      <c r="F319" s="85"/>
      <c r="G319" s="86"/>
      <c r="H319" s="87"/>
      <c r="I319" s="88"/>
      <c r="J319" s="89" t="str">
        <f aca="false">IF($B319="","",IF(N($H319)&lt;=0,"Montant ?",IF($D319="RECETTE",IF(COUNTIF(PARAMETRES!$E$5:$E$9,$E319)=0,"Catégorie ?","OK"),IF($D319="DEPENSE",IF(COUNTIF(PARAMETRES!$G$5:$G$20,$E319)=0,"Catégorie ?","OK"),"Type ?"))))</f>
        <v/>
      </c>
    </row>
    <row r="320" customFormat="false" ht="16.5" hidden="false" customHeight="true" outlineLevel="0" collapsed="false">
      <c r="A320" s="72" t="str">
        <f aca="false">IF($B320="","",ROW()-7)</f>
        <v/>
      </c>
      <c r="B320" s="73"/>
      <c r="C320" s="74" t="str">
        <f aca="false">IF($B320="","",YEAR($B320)*100+MONTH($B320))</f>
        <v/>
      </c>
      <c r="D320" s="75"/>
      <c r="E320" s="76"/>
      <c r="F320" s="76"/>
      <c r="G320" s="77"/>
      <c r="H320" s="78"/>
      <c r="I320" s="79"/>
      <c r="J320" s="80" t="str">
        <f aca="false">IF($B320="","",IF(N($H320)&lt;=0,"Montant ?",IF($D320="RECETTE",IF(COUNTIF(PARAMETRES!$E$5:$E$9,$E320)=0,"Catégorie ?","OK"),IF($D320="DEPENSE",IF(COUNTIF(PARAMETRES!$G$5:$G$20,$E320)=0,"Catégorie ?","OK"),"Type ?"))))</f>
        <v/>
      </c>
    </row>
    <row r="321" customFormat="false" ht="16.5" hidden="false" customHeight="true" outlineLevel="0" collapsed="false">
      <c r="A321" s="81" t="str">
        <f aca="false">IF($B321="","",ROW()-7)</f>
        <v/>
      </c>
      <c r="B321" s="82"/>
      <c r="C321" s="83" t="str">
        <f aca="false">IF($B321="","",YEAR($B321)*100+MONTH($B321))</f>
        <v/>
      </c>
      <c r="D321" s="84"/>
      <c r="E321" s="85"/>
      <c r="F321" s="85"/>
      <c r="G321" s="86"/>
      <c r="H321" s="87"/>
      <c r="I321" s="88"/>
      <c r="J321" s="89" t="str">
        <f aca="false">IF($B321="","",IF(N($H321)&lt;=0,"Montant ?",IF($D321="RECETTE",IF(COUNTIF(PARAMETRES!$E$5:$E$9,$E321)=0,"Catégorie ?","OK"),IF($D321="DEPENSE",IF(COUNTIF(PARAMETRES!$G$5:$G$20,$E321)=0,"Catégorie ?","OK"),"Type ?"))))</f>
        <v/>
      </c>
    </row>
    <row r="322" customFormat="false" ht="16.5" hidden="false" customHeight="true" outlineLevel="0" collapsed="false">
      <c r="A322" s="72" t="str">
        <f aca="false">IF($B322="","",ROW()-7)</f>
        <v/>
      </c>
      <c r="B322" s="73"/>
      <c r="C322" s="74" t="str">
        <f aca="false">IF($B322="","",YEAR($B322)*100+MONTH($B322))</f>
        <v/>
      </c>
      <c r="D322" s="75"/>
      <c r="E322" s="76"/>
      <c r="F322" s="76"/>
      <c r="G322" s="77"/>
      <c r="H322" s="78"/>
      <c r="I322" s="79"/>
      <c r="J322" s="80" t="str">
        <f aca="false">IF($B322="","",IF(N($H322)&lt;=0,"Montant ?",IF($D322="RECETTE",IF(COUNTIF(PARAMETRES!$E$5:$E$9,$E322)=0,"Catégorie ?","OK"),IF($D322="DEPENSE",IF(COUNTIF(PARAMETRES!$G$5:$G$20,$E322)=0,"Catégorie ?","OK"),"Type ?"))))</f>
        <v/>
      </c>
    </row>
    <row r="323" customFormat="false" ht="16.5" hidden="false" customHeight="true" outlineLevel="0" collapsed="false">
      <c r="A323" s="81" t="str">
        <f aca="false">IF($B323="","",ROW()-7)</f>
        <v/>
      </c>
      <c r="B323" s="82"/>
      <c r="C323" s="83" t="str">
        <f aca="false">IF($B323="","",YEAR($B323)*100+MONTH($B323))</f>
        <v/>
      </c>
      <c r="D323" s="84"/>
      <c r="E323" s="85"/>
      <c r="F323" s="85"/>
      <c r="G323" s="86"/>
      <c r="H323" s="87"/>
      <c r="I323" s="88"/>
      <c r="J323" s="89" t="str">
        <f aca="false">IF($B323="","",IF(N($H323)&lt;=0,"Montant ?",IF($D323="RECETTE",IF(COUNTIF(PARAMETRES!$E$5:$E$9,$E323)=0,"Catégorie ?","OK"),IF($D323="DEPENSE",IF(COUNTIF(PARAMETRES!$G$5:$G$20,$E323)=0,"Catégorie ?","OK"),"Type ?"))))</f>
        <v/>
      </c>
    </row>
    <row r="324" customFormat="false" ht="16.5" hidden="false" customHeight="true" outlineLevel="0" collapsed="false">
      <c r="A324" s="72" t="str">
        <f aca="false">IF($B324="","",ROW()-7)</f>
        <v/>
      </c>
      <c r="B324" s="73"/>
      <c r="C324" s="74" t="str">
        <f aca="false">IF($B324="","",YEAR($B324)*100+MONTH($B324))</f>
        <v/>
      </c>
      <c r="D324" s="75"/>
      <c r="E324" s="76"/>
      <c r="F324" s="76"/>
      <c r="G324" s="77"/>
      <c r="H324" s="78"/>
      <c r="I324" s="79"/>
      <c r="J324" s="80" t="str">
        <f aca="false">IF($B324="","",IF(N($H324)&lt;=0,"Montant ?",IF($D324="RECETTE",IF(COUNTIF(PARAMETRES!$E$5:$E$9,$E324)=0,"Catégorie ?","OK"),IF($D324="DEPENSE",IF(COUNTIF(PARAMETRES!$G$5:$G$20,$E324)=0,"Catégorie ?","OK"),"Type ?"))))</f>
        <v/>
      </c>
    </row>
    <row r="325" customFormat="false" ht="16.5" hidden="false" customHeight="true" outlineLevel="0" collapsed="false">
      <c r="A325" s="81" t="str">
        <f aca="false">IF($B325="","",ROW()-7)</f>
        <v/>
      </c>
      <c r="B325" s="82"/>
      <c r="C325" s="83" t="str">
        <f aca="false">IF($B325="","",YEAR($B325)*100+MONTH($B325))</f>
        <v/>
      </c>
      <c r="D325" s="84"/>
      <c r="E325" s="85"/>
      <c r="F325" s="85"/>
      <c r="G325" s="86"/>
      <c r="H325" s="87"/>
      <c r="I325" s="88"/>
      <c r="J325" s="89" t="str">
        <f aca="false">IF($B325="","",IF(N($H325)&lt;=0,"Montant ?",IF($D325="RECETTE",IF(COUNTIF(PARAMETRES!$E$5:$E$9,$E325)=0,"Catégorie ?","OK"),IF($D325="DEPENSE",IF(COUNTIF(PARAMETRES!$G$5:$G$20,$E325)=0,"Catégorie ?","OK"),"Type ?"))))</f>
        <v/>
      </c>
    </row>
    <row r="326" customFormat="false" ht="16.5" hidden="false" customHeight="true" outlineLevel="0" collapsed="false">
      <c r="A326" s="72" t="str">
        <f aca="false">IF($B326="","",ROW()-7)</f>
        <v/>
      </c>
      <c r="B326" s="73"/>
      <c r="C326" s="74" t="str">
        <f aca="false">IF($B326="","",YEAR($B326)*100+MONTH($B326))</f>
        <v/>
      </c>
      <c r="D326" s="75"/>
      <c r="E326" s="76"/>
      <c r="F326" s="76"/>
      <c r="G326" s="77"/>
      <c r="H326" s="78"/>
      <c r="I326" s="79"/>
      <c r="J326" s="80" t="str">
        <f aca="false">IF($B326="","",IF(N($H326)&lt;=0,"Montant ?",IF($D326="RECETTE",IF(COUNTIF(PARAMETRES!$E$5:$E$9,$E326)=0,"Catégorie ?","OK"),IF($D326="DEPENSE",IF(COUNTIF(PARAMETRES!$G$5:$G$20,$E326)=0,"Catégorie ?","OK"),"Type ?"))))</f>
        <v/>
      </c>
    </row>
    <row r="327" customFormat="false" ht="16.5" hidden="false" customHeight="true" outlineLevel="0" collapsed="false">
      <c r="A327" s="81" t="str">
        <f aca="false">IF($B327="","",ROW()-7)</f>
        <v/>
      </c>
      <c r="B327" s="82"/>
      <c r="C327" s="83" t="str">
        <f aca="false">IF($B327="","",YEAR($B327)*100+MONTH($B327))</f>
        <v/>
      </c>
      <c r="D327" s="84"/>
      <c r="E327" s="85"/>
      <c r="F327" s="85"/>
      <c r="G327" s="86"/>
      <c r="H327" s="87"/>
      <c r="I327" s="88"/>
      <c r="J327" s="89" t="str">
        <f aca="false">IF($B327="","",IF(N($H327)&lt;=0,"Montant ?",IF($D327="RECETTE",IF(COUNTIF(PARAMETRES!$E$5:$E$9,$E327)=0,"Catégorie ?","OK"),IF($D327="DEPENSE",IF(COUNTIF(PARAMETRES!$G$5:$G$20,$E327)=0,"Catégorie ?","OK"),"Type ?"))))</f>
        <v/>
      </c>
    </row>
    <row r="328" customFormat="false" ht="16.5" hidden="false" customHeight="true" outlineLevel="0" collapsed="false">
      <c r="A328" s="72" t="str">
        <f aca="false">IF($B328="","",ROW()-7)</f>
        <v/>
      </c>
      <c r="B328" s="73"/>
      <c r="C328" s="74" t="str">
        <f aca="false">IF($B328="","",YEAR($B328)*100+MONTH($B328))</f>
        <v/>
      </c>
      <c r="D328" s="75"/>
      <c r="E328" s="76"/>
      <c r="F328" s="76"/>
      <c r="G328" s="77"/>
      <c r="H328" s="78"/>
      <c r="I328" s="79"/>
      <c r="J328" s="80" t="str">
        <f aca="false">IF($B328="","",IF(N($H328)&lt;=0,"Montant ?",IF($D328="RECETTE",IF(COUNTIF(PARAMETRES!$E$5:$E$9,$E328)=0,"Catégorie ?","OK"),IF($D328="DEPENSE",IF(COUNTIF(PARAMETRES!$G$5:$G$20,$E328)=0,"Catégorie ?","OK"),"Type ?"))))</f>
        <v/>
      </c>
    </row>
    <row r="329" customFormat="false" ht="16.5" hidden="false" customHeight="true" outlineLevel="0" collapsed="false">
      <c r="A329" s="81" t="str">
        <f aca="false">IF($B329="","",ROW()-7)</f>
        <v/>
      </c>
      <c r="B329" s="82"/>
      <c r="C329" s="83" t="str">
        <f aca="false">IF($B329="","",YEAR($B329)*100+MONTH($B329))</f>
        <v/>
      </c>
      <c r="D329" s="84"/>
      <c r="E329" s="85"/>
      <c r="F329" s="85"/>
      <c r="G329" s="86"/>
      <c r="H329" s="87"/>
      <c r="I329" s="88"/>
      <c r="J329" s="89" t="str">
        <f aca="false">IF($B329="","",IF(N($H329)&lt;=0,"Montant ?",IF($D329="RECETTE",IF(COUNTIF(PARAMETRES!$E$5:$E$9,$E329)=0,"Catégorie ?","OK"),IF($D329="DEPENSE",IF(COUNTIF(PARAMETRES!$G$5:$G$20,$E329)=0,"Catégorie ?","OK"),"Type ?"))))</f>
        <v/>
      </c>
    </row>
    <row r="330" customFormat="false" ht="16.5" hidden="false" customHeight="true" outlineLevel="0" collapsed="false">
      <c r="A330" s="72" t="str">
        <f aca="false">IF($B330="","",ROW()-7)</f>
        <v/>
      </c>
      <c r="B330" s="73"/>
      <c r="C330" s="74" t="str">
        <f aca="false">IF($B330="","",YEAR($B330)*100+MONTH($B330))</f>
        <v/>
      </c>
      <c r="D330" s="75"/>
      <c r="E330" s="76"/>
      <c r="F330" s="76"/>
      <c r="G330" s="77"/>
      <c r="H330" s="78"/>
      <c r="I330" s="79"/>
      <c r="J330" s="80" t="str">
        <f aca="false">IF($B330="","",IF(N($H330)&lt;=0,"Montant ?",IF($D330="RECETTE",IF(COUNTIF(PARAMETRES!$E$5:$E$9,$E330)=0,"Catégorie ?","OK"),IF($D330="DEPENSE",IF(COUNTIF(PARAMETRES!$G$5:$G$20,$E330)=0,"Catégorie ?","OK"),"Type ?"))))</f>
        <v/>
      </c>
    </row>
    <row r="331" customFormat="false" ht="16.5" hidden="false" customHeight="true" outlineLevel="0" collapsed="false">
      <c r="A331" s="81" t="str">
        <f aca="false">IF($B331="","",ROW()-7)</f>
        <v/>
      </c>
      <c r="B331" s="82"/>
      <c r="C331" s="83" t="str">
        <f aca="false">IF($B331="","",YEAR($B331)*100+MONTH($B331))</f>
        <v/>
      </c>
      <c r="D331" s="84"/>
      <c r="E331" s="85"/>
      <c r="F331" s="85"/>
      <c r="G331" s="86"/>
      <c r="H331" s="87"/>
      <c r="I331" s="88"/>
      <c r="J331" s="89" t="str">
        <f aca="false">IF($B331="","",IF(N($H331)&lt;=0,"Montant ?",IF($D331="RECETTE",IF(COUNTIF(PARAMETRES!$E$5:$E$9,$E331)=0,"Catégorie ?","OK"),IF($D331="DEPENSE",IF(COUNTIF(PARAMETRES!$G$5:$G$20,$E331)=0,"Catégorie ?","OK"),"Type ?"))))</f>
        <v/>
      </c>
    </row>
    <row r="332" customFormat="false" ht="16.5" hidden="false" customHeight="true" outlineLevel="0" collapsed="false">
      <c r="A332" s="72" t="str">
        <f aca="false">IF($B332="","",ROW()-7)</f>
        <v/>
      </c>
      <c r="B332" s="73"/>
      <c r="C332" s="74" t="str">
        <f aca="false">IF($B332="","",YEAR($B332)*100+MONTH($B332))</f>
        <v/>
      </c>
      <c r="D332" s="75"/>
      <c r="E332" s="76"/>
      <c r="F332" s="76"/>
      <c r="G332" s="77"/>
      <c r="H332" s="78"/>
      <c r="I332" s="79"/>
      <c r="J332" s="80" t="str">
        <f aca="false">IF($B332="","",IF(N($H332)&lt;=0,"Montant ?",IF($D332="RECETTE",IF(COUNTIF(PARAMETRES!$E$5:$E$9,$E332)=0,"Catégorie ?","OK"),IF($D332="DEPENSE",IF(COUNTIF(PARAMETRES!$G$5:$G$20,$E332)=0,"Catégorie ?","OK"),"Type ?"))))</f>
        <v/>
      </c>
    </row>
    <row r="333" customFormat="false" ht="16.5" hidden="false" customHeight="true" outlineLevel="0" collapsed="false">
      <c r="A333" s="81" t="str">
        <f aca="false">IF($B333="","",ROW()-7)</f>
        <v/>
      </c>
      <c r="B333" s="82"/>
      <c r="C333" s="83" t="str">
        <f aca="false">IF($B333="","",YEAR($B333)*100+MONTH($B333))</f>
        <v/>
      </c>
      <c r="D333" s="84"/>
      <c r="E333" s="85"/>
      <c r="F333" s="85"/>
      <c r="G333" s="86"/>
      <c r="H333" s="87"/>
      <c r="I333" s="88"/>
      <c r="J333" s="89" t="str">
        <f aca="false">IF($B333="","",IF(N($H333)&lt;=0,"Montant ?",IF($D333="RECETTE",IF(COUNTIF(PARAMETRES!$E$5:$E$9,$E333)=0,"Catégorie ?","OK"),IF($D333="DEPENSE",IF(COUNTIF(PARAMETRES!$G$5:$G$20,$E333)=0,"Catégorie ?","OK"),"Type ?"))))</f>
        <v/>
      </c>
    </row>
    <row r="334" customFormat="false" ht="16.5" hidden="false" customHeight="true" outlineLevel="0" collapsed="false">
      <c r="A334" s="72" t="str">
        <f aca="false">IF($B334="","",ROW()-7)</f>
        <v/>
      </c>
      <c r="B334" s="73"/>
      <c r="C334" s="74" t="str">
        <f aca="false">IF($B334="","",YEAR($B334)*100+MONTH($B334))</f>
        <v/>
      </c>
      <c r="D334" s="75"/>
      <c r="E334" s="76"/>
      <c r="F334" s="76"/>
      <c r="G334" s="77"/>
      <c r="H334" s="78"/>
      <c r="I334" s="79"/>
      <c r="J334" s="80" t="str">
        <f aca="false">IF($B334="","",IF(N($H334)&lt;=0,"Montant ?",IF($D334="RECETTE",IF(COUNTIF(PARAMETRES!$E$5:$E$9,$E334)=0,"Catégorie ?","OK"),IF($D334="DEPENSE",IF(COUNTIF(PARAMETRES!$G$5:$G$20,$E334)=0,"Catégorie ?","OK"),"Type ?"))))</f>
        <v/>
      </c>
    </row>
    <row r="335" customFormat="false" ht="16.5" hidden="false" customHeight="true" outlineLevel="0" collapsed="false">
      <c r="A335" s="81" t="str">
        <f aca="false">IF($B335="","",ROW()-7)</f>
        <v/>
      </c>
      <c r="B335" s="82"/>
      <c r="C335" s="83" t="str">
        <f aca="false">IF($B335="","",YEAR($B335)*100+MONTH($B335))</f>
        <v/>
      </c>
      <c r="D335" s="84"/>
      <c r="E335" s="85"/>
      <c r="F335" s="85"/>
      <c r="G335" s="86"/>
      <c r="H335" s="87"/>
      <c r="I335" s="88"/>
      <c r="J335" s="89" t="str">
        <f aca="false">IF($B335="","",IF(N($H335)&lt;=0,"Montant ?",IF($D335="RECETTE",IF(COUNTIF(PARAMETRES!$E$5:$E$9,$E335)=0,"Catégorie ?","OK"),IF($D335="DEPENSE",IF(COUNTIF(PARAMETRES!$G$5:$G$20,$E335)=0,"Catégorie ?","OK"),"Type ?"))))</f>
        <v/>
      </c>
    </row>
    <row r="336" customFormat="false" ht="16.5" hidden="false" customHeight="true" outlineLevel="0" collapsed="false">
      <c r="A336" s="72" t="str">
        <f aca="false">IF($B336="","",ROW()-7)</f>
        <v/>
      </c>
      <c r="B336" s="73"/>
      <c r="C336" s="74" t="str">
        <f aca="false">IF($B336="","",YEAR($B336)*100+MONTH($B336))</f>
        <v/>
      </c>
      <c r="D336" s="75"/>
      <c r="E336" s="76"/>
      <c r="F336" s="76"/>
      <c r="G336" s="77"/>
      <c r="H336" s="78"/>
      <c r="I336" s="79"/>
      <c r="J336" s="80" t="str">
        <f aca="false">IF($B336="","",IF(N($H336)&lt;=0,"Montant ?",IF($D336="RECETTE",IF(COUNTIF(PARAMETRES!$E$5:$E$9,$E336)=0,"Catégorie ?","OK"),IF($D336="DEPENSE",IF(COUNTIF(PARAMETRES!$G$5:$G$20,$E336)=0,"Catégorie ?","OK"),"Type ?"))))</f>
        <v/>
      </c>
    </row>
    <row r="337" customFormat="false" ht="16.5" hidden="false" customHeight="true" outlineLevel="0" collapsed="false">
      <c r="A337" s="81" t="str">
        <f aca="false">IF($B337="","",ROW()-7)</f>
        <v/>
      </c>
      <c r="B337" s="82"/>
      <c r="C337" s="83" t="str">
        <f aca="false">IF($B337="","",YEAR($B337)*100+MONTH($B337))</f>
        <v/>
      </c>
      <c r="D337" s="84"/>
      <c r="E337" s="85"/>
      <c r="F337" s="85"/>
      <c r="G337" s="86"/>
      <c r="H337" s="87"/>
      <c r="I337" s="88"/>
      <c r="J337" s="89" t="str">
        <f aca="false">IF($B337="","",IF(N($H337)&lt;=0,"Montant ?",IF($D337="RECETTE",IF(COUNTIF(PARAMETRES!$E$5:$E$9,$E337)=0,"Catégorie ?","OK"),IF($D337="DEPENSE",IF(COUNTIF(PARAMETRES!$G$5:$G$20,$E337)=0,"Catégorie ?","OK"),"Type ?"))))</f>
        <v/>
      </c>
    </row>
    <row r="338" customFormat="false" ht="16.5" hidden="false" customHeight="true" outlineLevel="0" collapsed="false">
      <c r="A338" s="72" t="str">
        <f aca="false">IF($B338="","",ROW()-7)</f>
        <v/>
      </c>
      <c r="B338" s="73"/>
      <c r="C338" s="74" t="str">
        <f aca="false">IF($B338="","",YEAR($B338)*100+MONTH($B338))</f>
        <v/>
      </c>
      <c r="D338" s="75"/>
      <c r="E338" s="76"/>
      <c r="F338" s="76"/>
      <c r="G338" s="77"/>
      <c r="H338" s="78"/>
      <c r="I338" s="79"/>
      <c r="J338" s="80" t="str">
        <f aca="false">IF($B338="","",IF(N($H338)&lt;=0,"Montant ?",IF($D338="RECETTE",IF(COUNTIF(PARAMETRES!$E$5:$E$9,$E338)=0,"Catégorie ?","OK"),IF($D338="DEPENSE",IF(COUNTIF(PARAMETRES!$G$5:$G$20,$E338)=0,"Catégorie ?","OK"),"Type ?"))))</f>
        <v/>
      </c>
    </row>
    <row r="339" customFormat="false" ht="16.5" hidden="false" customHeight="true" outlineLevel="0" collapsed="false">
      <c r="A339" s="81" t="str">
        <f aca="false">IF($B339="","",ROW()-7)</f>
        <v/>
      </c>
      <c r="B339" s="82"/>
      <c r="C339" s="83" t="str">
        <f aca="false">IF($B339="","",YEAR($B339)*100+MONTH($B339))</f>
        <v/>
      </c>
      <c r="D339" s="84"/>
      <c r="E339" s="85"/>
      <c r="F339" s="85"/>
      <c r="G339" s="86"/>
      <c r="H339" s="87"/>
      <c r="I339" s="88"/>
      <c r="J339" s="89" t="str">
        <f aca="false">IF($B339="","",IF(N($H339)&lt;=0,"Montant ?",IF($D339="RECETTE",IF(COUNTIF(PARAMETRES!$E$5:$E$9,$E339)=0,"Catégorie ?","OK"),IF($D339="DEPENSE",IF(COUNTIF(PARAMETRES!$G$5:$G$20,$E339)=0,"Catégorie ?","OK"),"Type ?"))))</f>
        <v/>
      </c>
    </row>
    <row r="340" customFormat="false" ht="16.5" hidden="false" customHeight="true" outlineLevel="0" collapsed="false">
      <c r="A340" s="72" t="str">
        <f aca="false">IF($B340="","",ROW()-7)</f>
        <v/>
      </c>
      <c r="B340" s="73"/>
      <c r="C340" s="74" t="str">
        <f aca="false">IF($B340="","",YEAR($B340)*100+MONTH($B340))</f>
        <v/>
      </c>
      <c r="D340" s="75"/>
      <c r="E340" s="76"/>
      <c r="F340" s="76"/>
      <c r="G340" s="77"/>
      <c r="H340" s="78"/>
      <c r="I340" s="79"/>
      <c r="J340" s="80" t="str">
        <f aca="false">IF($B340="","",IF(N($H340)&lt;=0,"Montant ?",IF($D340="RECETTE",IF(COUNTIF(PARAMETRES!$E$5:$E$9,$E340)=0,"Catégorie ?","OK"),IF($D340="DEPENSE",IF(COUNTIF(PARAMETRES!$G$5:$G$20,$E340)=0,"Catégorie ?","OK"),"Type ?"))))</f>
        <v/>
      </c>
    </row>
    <row r="341" customFormat="false" ht="16.5" hidden="false" customHeight="true" outlineLevel="0" collapsed="false">
      <c r="A341" s="81" t="str">
        <f aca="false">IF($B341="","",ROW()-7)</f>
        <v/>
      </c>
      <c r="B341" s="82"/>
      <c r="C341" s="83" t="str">
        <f aca="false">IF($B341="","",YEAR($B341)*100+MONTH($B341))</f>
        <v/>
      </c>
      <c r="D341" s="84"/>
      <c r="E341" s="85"/>
      <c r="F341" s="85"/>
      <c r="G341" s="86"/>
      <c r="H341" s="87"/>
      <c r="I341" s="88"/>
      <c r="J341" s="89" t="str">
        <f aca="false">IF($B341="","",IF(N($H341)&lt;=0,"Montant ?",IF($D341="RECETTE",IF(COUNTIF(PARAMETRES!$E$5:$E$9,$E341)=0,"Catégorie ?","OK"),IF($D341="DEPENSE",IF(COUNTIF(PARAMETRES!$G$5:$G$20,$E341)=0,"Catégorie ?","OK"),"Type ?"))))</f>
        <v/>
      </c>
    </row>
    <row r="342" customFormat="false" ht="16.5" hidden="false" customHeight="true" outlineLevel="0" collapsed="false">
      <c r="A342" s="72" t="str">
        <f aca="false">IF($B342="","",ROW()-7)</f>
        <v/>
      </c>
      <c r="B342" s="73"/>
      <c r="C342" s="74" t="str">
        <f aca="false">IF($B342="","",YEAR($B342)*100+MONTH($B342))</f>
        <v/>
      </c>
      <c r="D342" s="75"/>
      <c r="E342" s="76"/>
      <c r="F342" s="76"/>
      <c r="G342" s="77"/>
      <c r="H342" s="78"/>
      <c r="I342" s="79"/>
      <c r="J342" s="80" t="str">
        <f aca="false">IF($B342="","",IF(N($H342)&lt;=0,"Montant ?",IF($D342="RECETTE",IF(COUNTIF(PARAMETRES!$E$5:$E$9,$E342)=0,"Catégorie ?","OK"),IF($D342="DEPENSE",IF(COUNTIF(PARAMETRES!$G$5:$G$20,$E342)=0,"Catégorie ?","OK"),"Type ?"))))</f>
        <v/>
      </c>
    </row>
    <row r="343" customFormat="false" ht="16.5" hidden="false" customHeight="true" outlineLevel="0" collapsed="false">
      <c r="A343" s="81" t="str">
        <f aca="false">IF($B343="","",ROW()-7)</f>
        <v/>
      </c>
      <c r="B343" s="82"/>
      <c r="C343" s="83" t="str">
        <f aca="false">IF($B343="","",YEAR($B343)*100+MONTH($B343))</f>
        <v/>
      </c>
      <c r="D343" s="84"/>
      <c r="E343" s="85"/>
      <c r="F343" s="85"/>
      <c r="G343" s="86"/>
      <c r="H343" s="87"/>
      <c r="I343" s="88"/>
      <c r="J343" s="89" t="str">
        <f aca="false">IF($B343="","",IF(N($H343)&lt;=0,"Montant ?",IF($D343="RECETTE",IF(COUNTIF(PARAMETRES!$E$5:$E$9,$E343)=0,"Catégorie ?","OK"),IF($D343="DEPENSE",IF(COUNTIF(PARAMETRES!$G$5:$G$20,$E343)=0,"Catégorie ?","OK"),"Type ?"))))</f>
        <v/>
      </c>
    </row>
    <row r="344" customFormat="false" ht="16.5" hidden="false" customHeight="true" outlineLevel="0" collapsed="false">
      <c r="A344" s="72" t="str">
        <f aca="false">IF($B344="","",ROW()-7)</f>
        <v/>
      </c>
      <c r="B344" s="73"/>
      <c r="C344" s="74" t="str">
        <f aca="false">IF($B344="","",YEAR($B344)*100+MONTH($B344))</f>
        <v/>
      </c>
      <c r="D344" s="75"/>
      <c r="E344" s="76"/>
      <c r="F344" s="76"/>
      <c r="G344" s="77"/>
      <c r="H344" s="78"/>
      <c r="I344" s="79"/>
      <c r="J344" s="80" t="str">
        <f aca="false">IF($B344="","",IF(N($H344)&lt;=0,"Montant ?",IF($D344="RECETTE",IF(COUNTIF(PARAMETRES!$E$5:$E$9,$E344)=0,"Catégorie ?","OK"),IF($D344="DEPENSE",IF(COUNTIF(PARAMETRES!$G$5:$G$20,$E344)=0,"Catégorie ?","OK"),"Type ?"))))</f>
        <v/>
      </c>
    </row>
    <row r="345" customFormat="false" ht="16.5" hidden="false" customHeight="true" outlineLevel="0" collapsed="false">
      <c r="A345" s="81" t="str">
        <f aca="false">IF($B345="","",ROW()-7)</f>
        <v/>
      </c>
      <c r="B345" s="82"/>
      <c r="C345" s="83" t="str">
        <f aca="false">IF($B345="","",YEAR($B345)*100+MONTH($B345))</f>
        <v/>
      </c>
      <c r="D345" s="84"/>
      <c r="E345" s="85"/>
      <c r="F345" s="85"/>
      <c r="G345" s="86"/>
      <c r="H345" s="87"/>
      <c r="I345" s="88"/>
      <c r="J345" s="89" t="str">
        <f aca="false">IF($B345="","",IF(N($H345)&lt;=0,"Montant ?",IF($D345="RECETTE",IF(COUNTIF(PARAMETRES!$E$5:$E$9,$E345)=0,"Catégorie ?","OK"),IF($D345="DEPENSE",IF(COUNTIF(PARAMETRES!$G$5:$G$20,$E345)=0,"Catégorie ?","OK"),"Type ?"))))</f>
        <v/>
      </c>
    </row>
    <row r="346" customFormat="false" ht="16.5" hidden="false" customHeight="true" outlineLevel="0" collapsed="false">
      <c r="A346" s="72" t="str">
        <f aca="false">IF($B346="","",ROW()-7)</f>
        <v/>
      </c>
      <c r="B346" s="73"/>
      <c r="C346" s="74" t="str">
        <f aca="false">IF($B346="","",YEAR($B346)*100+MONTH($B346))</f>
        <v/>
      </c>
      <c r="D346" s="75"/>
      <c r="E346" s="76"/>
      <c r="F346" s="76"/>
      <c r="G346" s="77"/>
      <c r="H346" s="78"/>
      <c r="I346" s="79"/>
      <c r="J346" s="80" t="str">
        <f aca="false">IF($B346="","",IF(N($H346)&lt;=0,"Montant ?",IF($D346="RECETTE",IF(COUNTIF(PARAMETRES!$E$5:$E$9,$E346)=0,"Catégorie ?","OK"),IF($D346="DEPENSE",IF(COUNTIF(PARAMETRES!$G$5:$G$20,$E346)=0,"Catégorie ?","OK"),"Type ?"))))</f>
        <v/>
      </c>
    </row>
    <row r="347" customFormat="false" ht="16.5" hidden="false" customHeight="true" outlineLevel="0" collapsed="false">
      <c r="A347" s="81" t="str">
        <f aca="false">IF($B347="","",ROW()-7)</f>
        <v/>
      </c>
      <c r="B347" s="82"/>
      <c r="C347" s="83" t="str">
        <f aca="false">IF($B347="","",YEAR($B347)*100+MONTH($B347))</f>
        <v/>
      </c>
      <c r="D347" s="84"/>
      <c r="E347" s="85"/>
      <c r="F347" s="85"/>
      <c r="G347" s="86"/>
      <c r="H347" s="87"/>
      <c r="I347" s="88"/>
      <c r="J347" s="89" t="str">
        <f aca="false">IF($B347="","",IF(N($H347)&lt;=0,"Montant ?",IF($D347="RECETTE",IF(COUNTIF(PARAMETRES!$E$5:$E$9,$E347)=0,"Catégorie ?","OK"),IF($D347="DEPENSE",IF(COUNTIF(PARAMETRES!$G$5:$G$20,$E347)=0,"Catégorie ?","OK"),"Type ?"))))</f>
        <v/>
      </c>
    </row>
    <row r="348" customFormat="false" ht="16.5" hidden="false" customHeight="true" outlineLevel="0" collapsed="false">
      <c r="A348" s="72" t="str">
        <f aca="false">IF($B348="","",ROW()-7)</f>
        <v/>
      </c>
      <c r="B348" s="73"/>
      <c r="C348" s="74" t="str">
        <f aca="false">IF($B348="","",YEAR($B348)*100+MONTH($B348))</f>
        <v/>
      </c>
      <c r="D348" s="75"/>
      <c r="E348" s="76"/>
      <c r="F348" s="76"/>
      <c r="G348" s="77"/>
      <c r="H348" s="78"/>
      <c r="I348" s="79"/>
      <c r="J348" s="80" t="str">
        <f aca="false">IF($B348="","",IF(N($H348)&lt;=0,"Montant ?",IF($D348="RECETTE",IF(COUNTIF(PARAMETRES!$E$5:$E$9,$E348)=0,"Catégorie ?","OK"),IF($D348="DEPENSE",IF(COUNTIF(PARAMETRES!$G$5:$G$20,$E348)=0,"Catégorie ?","OK"),"Type ?"))))</f>
        <v/>
      </c>
    </row>
    <row r="349" customFormat="false" ht="16.5" hidden="false" customHeight="true" outlineLevel="0" collapsed="false">
      <c r="A349" s="81" t="str">
        <f aca="false">IF($B349="","",ROW()-7)</f>
        <v/>
      </c>
      <c r="B349" s="82"/>
      <c r="C349" s="83" t="str">
        <f aca="false">IF($B349="","",YEAR($B349)*100+MONTH($B349))</f>
        <v/>
      </c>
      <c r="D349" s="84"/>
      <c r="E349" s="85"/>
      <c r="F349" s="85"/>
      <c r="G349" s="86"/>
      <c r="H349" s="87"/>
      <c r="I349" s="88"/>
      <c r="J349" s="89" t="str">
        <f aca="false">IF($B349="","",IF(N($H349)&lt;=0,"Montant ?",IF($D349="RECETTE",IF(COUNTIF(PARAMETRES!$E$5:$E$9,$E349)=0,"Catégorie ?","OK"),IF($D349="DEPENSE",IF(COUNTIF(PARAMETRES!$G$5:$G$20,$E349)=0,"Catégorie ?","OK"),"Type ?"))))</f>
        <v/>
      </c>
    </row>
    <row r="350" customFormat="false" ht="16.5" hidden="false" customHeight="true" outlineLevel="0" collapsed="false">
      <c r="A350" s="72" t="str">
        <f aca="false">IF($B350="","",ROW()-7)</f>
        <v/>
      </c>
      <c r="B350" s="73"/>
      <c r="C350" s="74" t="str">
        <f aca="false">IF($B350="","",YEAR($B350)*100+MONTH($B350))</f>
        <v/>
      </c>
      <c r="D350" s="75"/>
      <c r="E350" s="76"/>
      <c r="F350" s="76"/>
      <c r="G350" s="77"/>
      <c r="H350" s="78"/>
      <c r="I350" s="79"/>
      <c r="J350" s="80" t="str">
        <f aca="false">IF($B350="","",IF(N($H350)&lt;=0,"Montant ?",IF($D350="RECETTE",IF(COUNTIF(PARAMETRES!$E$5:$E$9,$E350)=0,"Catégorie ?","OK"),IF($D350="DEPENSE",IF(COUNTIF(PARAMETRES!$G$5:$G$20,$E350)=0,"Catégorie ?","OK"),"Type ?"))))</f>
        <v/>
      </c>
    </row>
    <row r="351" customFormat="false" ht="16.5" hidden="false" customHeight="true" outlineLevel="0" collapsed="false">
      <c r="A351" s="81" t="str">
        <f aca="false">IF($B351="","",ROW()-7)</f>
        <v/>
      </c>
      <c r="B351" s="82"/>
      <c r="C351" s="83" t="str">
        <f aca="false">IF($B351="","",YEAR($B351)*100+MONTH($B351))</f>
        <v/>
      </c>
      <c r="D351" s="84"/>
      <c r="E351" s="85"/>
      <c r="F351" s="85"/>
      <c r="G351" s="86"/>
      <c r="H351" s="87"/>
      <c r="I351" s="88"/>
      <c r="J351" s="89" t="str">
        <f aca="false">IF($B351="","",IF(N($H351)&lt;=0,"Montant ?",IF($D351="RECETTE",IF(COUNTIF(PARAMETRES!$E$5:$E$9,$E351)=0,"Catégorie ?","OK"),IF($D351="DEPENSE",IF(COUNTIF(PARAMETRES!$G$5:$G$20,$E351)=0,"Catégorie ?","OK"),"Type ?"))))</f>
        <v/>
      </c>
    </row>
    <row r="352" customFormat="false" ht="16.5" hidden="false" customHeight="true" outlineLevel="0" collapsed="false">
      <c r="A352" s="72" t="str">
        <f aca="false">IF($B352="","",ROW()-7)</f>
        <v/>
      </c>
      <c r="B352" s="73"/>
      <c r="C352" s="74" t="str">
        <f aca="false">IF($B352="","",YEAR($B352)*100+MONTH($B352))</f>
        <v/>
      </c>
      <c r="D352" s="75"/>
      <c r="E352" s="76"/>
      <c r="F352" s="76"/>
      <c r="G352" s="77"/>
      <c r="H352" s="78"/>
      <c r="I352" s="79"/>
      <c r="J352" s="80" t="str">
        <f aca="false">IF($B352="","",IF(N($H352)&lt;=0,"Montant ?",IF($D352="RECETTE",IF(COUNTIF(PARAMETRES!$E$5:$E$9,$E352)=0,"Catégorie ?","OK"),IF($D352="DEPENSE",IF(COUNTIF(PARAMETRES!$G$5:$G$20,$E352)=0,"Catégorie ?","OK"),"Type ?"))))</f>
        <v/>
      </c>
    </row>
    <row r="353" customFormat="false" ht="16.5" hidden="false" customHeight="true" outlineLevel="0" collapsed="false">
      <c r="A353" s="81" t="str">
        <f aca="false">IF($B353="","",ROW()-7)</f>
        <v/>
      </c>
      <c r="B353" s="82"/>
      <c r="C353" s="83" t="str">
        <f aca="false">IF($B353="","",YEAR($B353)*100+MONTH($B353))</f>
        <v/>
      </c>
      <c r="D353" s="84"/>
      <c r="E353" s="85"/>
      <c r="F353" s="85"/>
      <c r="G353" s="86"/>
      <c r="H353" s="87"/>
      <c r="I353" s="88"/>
      <c r="J353" s="89" t="str">
        <f aca="false">IF($B353="","",IF(N($H353)&lt;=0,"Montant ?",IF($D353="RECETTE",IF(COUNTIF(PARAMETRES!$E$5:$E$9,$E353)=0,"Catégorie ?","OK"),IF($D353="DEPENSE",IF(COUNTIF(PARAMETRES!$G$5:$G$20,$E353)=0,"Catégorie ?","OK"),"Type ?"))))</f>
        <v/>
      </c>
    </row>
    <row r="354" customFormat="false" ht="16.5" hidden="false" customHeight="true" outlineLevel="0" collapsed="false">
      <c r="A354" s="72" t="str">
        <f aca="false">IF($B354="","",ROW()-7)</f>
        <v/>
      </c>
      <c r="B354" s="73"/>
      <c r="C354" s="74" t="str">
        <f aca="false">IF($B354="","",YEAR($B354)*100+MONTH($B354))</f>
        <v/>
      </c>
      <c r="D354" s="75"/>
      <c r="E354" s="76"/>
      <c r="F354" s="76"/>
      <c r="G354" s="77"/>
      <c r="H354" s="78"/>
      <c r="I354" s="79"/>
      <c r="J354" s="80" t="str">
        <f aca="false">IF($B354="","",IF(N($H354)&lt;=0,"Montant ?",IF($D354="RECETTE",IF(COUNTIF(PARAMETRES!$E$5:$E$9,$E354)=0,"Catégorie ?","OK"),IF($D354="DEPENSE",IF(COUNTIF(PARAMETRES!$G$5:$G$20,$E354)=0,"Catégorie ?","OK"),"Type ?"))))</f>
        <v/>
      </c>
    </row>
    <row r="355" customFormat="false" ht="16.5" hidden="false" customHeight="true" outlineLevel="0" collapsed="false">
      <c r="A355" s="81" t="str">
        <f aca="false">IF($B355="","",ROW()-7)</f>
        <v/>
      </c>
      <c r="B355" s="82"/>
      <c r="C355" s="83" t="str">
        <f aca="false">IF($B355="","",YEAR($B355)*100+MONTH($B355))</f>
        <v/>
      </c>
      <c r="D355" s="84"/>
      <c r="E355" s="85"/>
      <c r="F355" s="85"/>
      <c r="G355" s="86"/>
      <c r="H355" s="87"/>
      <c r="I355" s="88"/>
      <c r="J355" s="89" t="str">
        <f aca="false">IF($B355="","",IF(N($H355)&lt;=0,"Montant ?",IF($D355="RECETTE",IF(COUNTIF(PARAMETRES!$E$5:$E$9,$E355)=0,"Catégorie ?","OK"),IF($D355="DEPENSE",IF(COUNTIF(PARAMETRES!$G$5:$G$20,$E355)=0,"Catégorie ?","OK"),"Type ?"))))</f>
        <v/>
      </c>
    </row>
    <row r="356" customFormat="false" ht="16.5" hidden="false" customHeight="true" outlineLevel="0" collapsed="false">
      <c r="A356" s="72" t="str">
        <f aca="false">IF($B356="","",ROW()-7)</f>
        <v/>
      </c>
      <c r="B356" s="73"/>
      <c r="C356" s="74" t="str">
        <f aca="false">IF($B356="","",YEAR($B356)*100+MONTH($B356))</f>
        <v/>
      </c>
      <c r="D356" s="75"/>
      <c r="E356" s="76"/>
      <c r="F356" s="76"/>
      <c r="G356" s="77"/>
      <c r="H356" s="78"/>
      <c r="I356" s="79"/>
      <c r="J356" s="80" t="str">
        <f aca="false">IF($B356="","",IF(N($H356)&lt;=0,"Montant ?",IF($D356="RECETTE",IF(COUNTIF(PARAMETRES!$E$5:$E$9,$E356)=0,"Catégorie ?","OK"),IF($D356="DEPENSE",IF(COUNTIF(PARAMETRES!$G$5:$G$20,$E356)=0,"Catégorie ?","OK"),"Type ?"))))</f>
        <v/>
      </c>
    </row>
    <row r="357" customFormat="false" ht="16.5" hidden="false" customHeight="true" outlineLevel="0" collapsed="false">
      <c r="A357" s="81" t="str">
        <f aca="false">IF($B357="","",ROW()-7)</f>
        <v/>
      </c>
      <c r="B357" s="82"/>
      <c r="C357" s="83" t="str">
        <f aca="false">IF($B357="","",YEAR($B357)*100+MONTH($B357))</f>
        <v/>
      </c>
      <c r="D357" s="84"/>
      <c r="E357" s="85"/>
      <c r="F357" s="85"/>
      <c r="G357" s="86"/>
      <c r="H357" s="87"/>
      <c r="I357" s="88"/>
      <c r="J357" s="89" t="str">
        <f aca="false">IF($B357="","",IF(N($H357)&lt;=0,"Montant ?",IF($D357="RECETTE",IF(COUNTIF(PARAMETRES!$E$5:$E$9,$E357)=0,"Catégorie ?","OK"),IF($D357="DEPENSE",IF(COUNTIF(PARAMETRES!$G$5:$G$20,$E357)=0,"Catégorie ?","OK"),"Type ?"))))</f>
        <v/>
      </c>
    </row>
    <row r="358" customFormat="false" ht="16.5" hidden="false" customHeight="true" outlineLevel="0" collapsed="false">
      <c r="A358" s="72" t="str">
        <f aca="false">IF($B358="","",ROW()-7)</f>
        <v/>
      </c>
      <c r="B358" s="73"/>
      <c r="C358" s="74" t="str">
        <f aca="false">IF($B358="","",YEAR($B358)*100+MONTH($B358))</f>
        <v/>
      </c>
      <c r="D358" s="75"/>
      <c r="E358" s="76"/>
      <c r="F358" s="76"/>
      <c r="G358" s="77"/>
      <c r="H358" s="78"/>
      <c r="I358" s="79"/>
      <c r="J358" s="80" t="str">
        <f aca="false">IF($B358="","",IF(N($H358)&lt;=0,"Montant ?",IF($D358="RECETTE",IF(COUNTIF(PARAMETRES!$E$5:$E$9,$E358)=0,"Catégorie ?","OK"),IF($D358="DEPENSE",IF(COUNTIF(PARAMETRES!$G$5:$G$20,$E358)=0,"Catégorie ?","OK"),"Type ?"))))</f>
        <v/>
      </c>
    </row>
    <row r="359" customFormat="false" ht="16.5" hidden="false" customHeight="true" outlineLevel="0" collapsed="false">
      <c r="A359" s="81" t="str">
        <f aca="false">IF($B359="","",ROW()-7)</f>
        <v/>
      </c>
      <c r="B359" s="82"/>
      <c r="C359" s="83" t="str">
        <f aca="false">IF($B359="","",YEAR($B359)*100+MONTH($B359))</f>
        <v/>
      </c>
      <c r="D359" s="84"/>
      <c r="E359" s="85"/>
      <c r="F359" s="85"/>
      <c r="G359" s="86"/>
      <c r="H359" s="87"/>
      <c r="I359" s="88"/>
      <c r="J359" s="89" t="str">
        <f aca="false">IF($B359="","",IF(N($H359)&lt;=0,"Montant ?",IF($D359="RECETTE",IF(COUNTIF(PARAMETRES!$E$5:$E$9,$E359)=0,"Catégorie ?","OK"),IF($D359="DEPENSE",IF(COUNTIF(PARAMETRES!$G$5:$G$20,$E359)=0,"Catégorie ?","OK"),"Type ?"))))</f>
        <v/>
      </c>
    </row>
    <row r="360" customFormat="false" ht="16.5" hidden="false" customHeight="true" outlineLevel="0" collapsed="false">
      <c r="A360" s="72" t="str">
        <f aca="false">IF($B360="","",ROW()-7)</f>
        <v/>
      </c>
      <c r="B360" s="73"/>
      <c r="C360" s="74" t="str">
        <f aca="false">IF($B360="","",YEAR($B360)*100+MONTH($B360))</f>
        <v/>
      </c>
      <c r="D360" s="75"/>
      <c r="E360" s="76"/>
      <c r="F360" s="76"/>
      <c r="G360" s="77"/>
      <c r="H360" s="78"/>
      <c r="I360" s="79"/>
      <c r="J360" s="80" t="str">
        <f aca="false">IF($B360="","",IF(N($H360)&lt;=0,"Montant ?",IF($D360="RECETTE",IF(COUNTIF(PARAMETRES!$E$5:$E$9,$E360)=0,"Catégorie ?","OK"),IF($D360="DEPENSE",IF(COUNTIF(PARAMETRES!$G$5:$G$20,$E360)=0,"Catégorie ?","OK"),"Type ?"))))</f>
        <v/>
      </c>
    </row>
    <row r="361" customFormat="false" ht="16.5" hidden="false" customHeight="true" outlineLevel="0" collapsed="false">
      <c r="A361" s="81" t="str">
        <f aca="false">IF($B361="","",ROW()-7)</f>
        <v/>
      </c>
      <c r="B361" s="82"/>
      <c r="C361" s="83" t="str">
        <f aca="false">IF($B361="","",YEAR($B361)*100+MONTH($B361))</f>
        <v/>
      </c>
      <c r="D361" s="84"/>
      <c r="E361" s="85"/>
      <c r="F361" s="85"/>
      <c r="G361" s="86"/>
      <c r="H361" s="87"/>
      <c r="I361" s="88"/>
      <c r="J361" s="89" t="str">
        <f aca="false">IF($B361="","",IF(N($H361)&lt;=0,"Montant ?",IF($D361="RECETTE",IF(COUNTIF(PARAMETRES!$E$5:$E$9,$E361)=0,"Catégorie ?","OK"),IF($D361="DEPENSE",IF(COUNTIF(PARAMETRES!$G$5:$G$20,$E361)=0,"Catégorie ?","OK"),"Type ?"))))</f>
        <v/>
      </c>
    </row>
    <row r="362" customFormat="false" ht="16.5" hidden="false" customHeight="true" outlineLevel="0" collapsed="false">
      <c r="A362" s="72" t="str">
        <f aca="false">IF($B362="","",ROW()-7)</f>
        <v/>
      </c>
      <c r="B362" s="73"/>
      <c r="C362" s="74" t="str">
        <f aca="false">IF($B362="","",YEAR($B362)*100+MONTH($B362))</f>
        <v/>
      </c>
      <c r="D362" s="75"/>
      <c r="E362" s="76"/>
      <c r="F362" s="76"/>
      <c r="G362" s="77"/>
      <c r="H362" s="78"/>
      <c r="I362" s="79"/>
      <c r="J362" s="80" t="str">
        <f aca="false">IF($B362="","",IF(N($H362)&lt;=0,"Montant ?",IF($D362="RECETTE",IF(COUNTIF(PARAMETRES!$E$5:$E$9,$E362)=0,"Catégorie ?","OK"),IF($D362="DEPENSE",IF(COUNTIF(PARAMETRES!$G$5:$G$20,$E362)=0,"Catégorie ?","OK"),"Type ?"))))</f>
        <v/>
      </c>
    </row>
    <row r="363" customFormat="false" ht="16.5" hidden="false" customHeight="true" outlineLevel="0" collapsed="false">
      <c r="A363" s="81" t="str">
        <f aca="false">IF($B363="","",ROW()-7)</f>
        <v/>
      </c>
      <c r="B363" s="82"/>
      <c r="C363" s="83" t="str">
        <f aca="false">IF($B363="","",YEAR($B363)*100+MONTH($B363))</f>
        <v/>
      </c>
      <c r="D363" s="84"/>
      <c r="E363" s="85"/>
      <c r="F363" s="85"/>
      <c r="G363" s="86"/>
      <c r="H363" s="87"/>
      <c r="I363" s="88"/>
      <c r="J363" s="89" t="str">
        <f aca="false">IF($B363="","",IF(N($H363)&lt;=0,"Montant ?",IF($D363="RECETTE",IF(COUNTIF(PARAMETRES!$E$5:$E$9,$E363)=0,"Catégorie ?","OK"),IF($D363="DEPENSE",IF(COUNTIF(PARAMETRES!$G$5:$G$20,$E363)=0,"Catégorie ?","OK"),"Type ?"))))</f>
        <v/>
      </c>
    </row>
    <row r="364" customFormat="false" ht="16.5" hidden="false" customHeight="true" outlineLevel="0" collapsed="false">
      <c r="A364" s="72" t="str">
        <f aca="false">IF($B364="","",ROW()-7)</f>
        <v/>
      </c>
      <c r="B364" s="73"/>
      <c r="C364" s="74" t="str">
        <f aca="false">IF($B364="","",YEAR($B364)*100+MONTH($B364))</f>
        <v/>
      </c>
      <c r="D364" s="75"/>
      <c r="E364" s="76"/>
      <c r="F364" s="76"/>
      <c r="G364" s="77"/>
      <c r="H364" s="78"/>
      <c r="I364" s="79"/>
      <c r="J364" s="80" t="str">
        <f aca="false">IF($B364="","",IF(N($H364)&lt;=0,"Montant ?",IF($D364="RECETTE",IF(COUNTIF(PARAMETRES!$E$5:$E$9,$E364)=0,"Catégorie ?","OK"),IF($D364="DEPENSE",IF(COUNTIF(PARAMETRES!$G$5:$G$20,$E364)=0,"Catégorie ?","OK"),"Type ?"))))</f>
        <v/>
      </c>
    </row>
    <row r="365" customFormat="false" ht="16.5" hidden="false" customHeight="true" outlineLevel="0" collapsed="false">
      <c r="A365" s="81" t="str">
        <f aca="false">IF($B365="","",ROW()-7)</f>
        <v/>
      </c>
      <c r="B365" s="82"/>
      <c r="C365" s="83" t="str">
        <f aca="false">IF($B365="","",YEAR($B365)*100+MONTH($B365))</f>
        <v/>
      </c>
      <c r="D365" s="84"/>
      <c r="E365" s="85"/>
      <c r="F365" s="85"/>
      <c r="G365" s="86"/>
      <c r="H365" s="87"/>
      <c r="I365" s="88"/>
      <c r="J365" s="89" t="str">
        <f aca="false">IF($B365="","",IF(N($H365)&lt;=0,"Montant ?",IF($D365="RECETTE",IF(COUNTIF(PARAMETRES!$E$5:$E$9,$E365)=0,"Catégorie ?","OK"),IF($D365="DEPENSE",IF(COUNTIF(PARAMETRES!$G$5:$G$20,$E365)=0,"Catégorie ?","OK"),"Type ?"))))</f>
        <v/>
      </c>
    </row>
    <row r="366" customFormat="false" ht="16.5" hidden="false" customHeight="true" outlineLevel="0" collapsed="false">
      <c r="A366" s="72" t="str">
        <f aca="false">IF($B366="","",ROW()-7)</f>
        <v/>
      </c>
      <c r="B366" s="73"/>
      <c r="C366" s="74" t="str">
        <f aca="false">IF($B366="","",YEAR($B366)*100+MONTH($B366))</f>
        <v/>
      </c>
      <c r="D366" s="75"/>
      <c r="E366" s="76"/>
      <c r="F366" s="76"/>
      <c r="G366" s="77"/>
      <c r="H366" s="78"/>
      <c r="I366" s="79"/>
      <c r="J366" s="80" t="str">
        <f aca="false">IF($B366="","",IF(N($H366)&lt;=0,"Montant ?",IF($D366="RECETTE",IF(COUNTIF(PARAMETRES!$E$5:$E$9,$E366)=0,"Catégorie ?","OK"),IF($D366="DEPENSE",IF(COUNTIF(PARAMETRES!$G$5:$G$20,$E366)=0,"Catégorie ?","OK"),"Type ?"))))</f>
        <v/>
      </c>
    </row>
    <row r="367" customFormat="false" ht="16.5" hidden="false" customHeight="true" outlineLevel="0" collapsed="false">
      <c r="A367" s="81" t="str">
        <f aca="false">IF($B367="","",ROW()-7)</f>
        <v/>
      </c>
      <c r="B367" s="82"/>
      <c r="C367" s="83" t="str">
        <f aca="false">IF($B367="","",YEAR($B367)*100+MONTH($B367))</f>
        <v/>
      </c>
      <c r="D367" s="84"/>
      <c r="E367" s="85"/>
      <c r="F367" s="85"/>
      <c r="G367" s="86"/>
      <c r="H367" s="87"/>
      <c r="I367" s="88"/>
      <c r="J367" s="89" t="str">
        <f aca="false">IF($B367="","",IF(N($H367)&lt;=0,"Montant ?",IF($D367="RECETTE",IF(COUNTIF(PARAMETRES!$E$5:$E$9,$E367)=0,"Catégorie ?","OK"),IF($D367="DEPENSE",IF(COUNTIF(PARAMETRES!$G$5:$G$20,$E367)=0,"Catégorie ?","OK"),"Type ?"))))</f>
        <v/>
      </c>
    </row>
    <row r="368" customFormat="false" ht="16.5" hidden="false" customHeight="true" outlineLevel="0" collapsed="false">
      <c r="A368" s="72" t="str">
        <f aca="false">IF($B368="","",ROW()-7)</f>
        <v/>
      </c>
      <c r="B368" s="73"/>
      <c r="C368" s="74" t="str">
        <f aca="false">IF($B368="","",YEAR($B368)*100+MONTH($B368))</f>
        <v/>
      </c>
      <c r="D368" s="75"/>
      <c r="E368" s="76"/>
      <c r="F368" s="76"/>
      <c r="G368" s="77"/>
      <c r="H368" s="78"/>
      <c r="I368" s="79"/>
      <c r="J368" s="80" t="str">
        <f aca="false">IF($B368="","",IF(N($H368)&lt;=0,"Montant ?",IF($D368="RECETTE",IF(COUNTIF(PARAMETRES!$E$5:$E$9,$E368)=0,"Catégorie ?","OK"),IF($D368="DEPENSE",IF(COUNTIF(PARAMETRES!$G$5:$G$20,$E368)=0,"Catégorie ?","OK"),"Type ?"))))</f>
        <v/>
      </c>
    </row>
    <row r="369" customFormat="false" ht="16.5" hidden="false" customHeight="true" outlineLevel="0" collapsed="false">
      <c r="A369" s="81" t="str">
        <f aca="false">IF($B369="","",ROW()-7)</f>
        <v/>
      </c>
      <c r="B369" s="82"/>
      <c r="C369" s="83" t="str">
        <f aca="false">IF($B369="","",YEAR($B369)*100+MONTH($B369))</f>
        <v/>
      </c>
      <c r="D369" s="84"/>
      <c r="E369" s="85"/>
      <c r="F369" s="85"/>
      <c r="G369" s="86"/>
      <c r="H369" s="87"/>
      <c r="I369" s="88"/>
      <c r="J369" s="89" t="str">
        <f aca="false">IF($B369="","",IF(N($H369)&lt;=0,"Montant ?",IF($D369="RECETTE",IF(COUNTIF(PARAMETRES!$E$5:$E$9,$E369)=0,"Catégorie ?","OK"),IF($D369="DEPENSE",IF(COUNTIF(PARAMETRES!$G$5:$G$20,$E369)=0,"Catégorie ?","OK"),"Type ?"))))</f>
        <v/>
      </c>
    </row>
    <row r="370" customFormat="false" ht="16.5" hidden="false" customHeight="true" outlineLevel="0" collapsed="false">
      <c r="A370" s="72" t="str">
        <f aca="false">IF($B370="","",ROW()-7)</f>
        <v/>
      </c>
      <c r="B370" s="73"/>
      <c r="C370" s="74" t="str">
        <f aca="false">IF($B370="","",YEAR($B370)*100+MONTH($B370))</f>
        <v/>
      </c>
      <c r="D370" s="75"/>
      <c r="E370" s="76"/>
      <c r="F370" s="76"/>
      <c r="G370" s="77"/>
      <c r="H370" s="78"/>
      <c r="I370" s="79"/>
      <c r="J370" s="80" t="str">
        <f aca="false">IF($B370="","",IF(N($H370)&lt;=0,"Montant ?",IF($D370="RECETTE",IF(COUNTIF(PARAMETRES!$E$5:$E$9,$E370)=0,"Catégorie ?","OK"),IF($D370="DEPENSE",IF(COUNTIF(PARAMETRES!$G$5:$G$20,$E370)=0,"Catégorie ?","OK"),"Type ?"))))</f>
        <v/>
      </c>
    </row>
    <row r="371" customFormat="false" ht="16.5" hidden="false" customHeight="true" outlineLevel="0" collapsed="false">
      <c r="A371" s="81" t="str">
        <f aca="false">IF($B371="","",ROW()-7)</f>
        <v/>
      </c>
      <c r="B371" s="82"/>
      <c r="C371" s="83" t="str">
        <f aca="false">IF($B371="","",YEAR($B371)*100+MONTH($B371))</f>
        <v/>
      </c>
      <c r="D371" s="84"/>
      <c r="E371" s="85"/>
      <c r="F371" s="85"/>
      <c r="G371" s="86"/>
      <c r="H371" s="87"/>
      <c r="I371" s="88"/>
      <c r="J371" s="89" t="str">
        <f aca="false">IF($B371="","",IF(N($H371)&lt;=0,"Montant ?",IF($D371="RECETTE",IF(COUNTIF(PARAMETRES!$E$5:$E$9,$E371)=0,"Catégorie ?","OK"),IF($D371="DEPENSE",IF(COUNTIF(PARAMETRES!$G$5:$G$20,$E371)=0,"Catégorie ?","OK"),"Type ?"))))</f>
        <v/>
      </c>
    </row>
    <row r="372" customFormat="false" ht="16.5" hidden="false" customHeight="true" outlineLevel="0" collapsed="false">
      <c r="A372" s="72" t="str">
        <f aca="false">IF($B372="","",ROW()-7)</f>
        <v/>
      </c>
      <c r="B372" s="73"/>
      <c r="C372" s="74" t="str">
        <f aca="false">IF($B372="","",YEAR($B372)*100+MONTH($B372))</f>
        <v/>
      </c>
      <c r="D372" s="75"/>
      <c r="E372" s="76"/>
      <c r="F372" s="76"/>
      <c r="G372" s="77"/>
      <c r="H372" s="78"/>
      <c r="I372" s="79"/>
      <c r="J372" s="80" t="str">
        <f aca="false">IF($B372="","",IF(N($H372)&lt;=0,"Montant ?",IF($D372="RECETTE",IF(COUNTIF(PARAMETRES!$E$5:$E$9,$E372)=0,"Catégorie ?","OK"),IF($D372="DEPENSE",IF(COUNTIF(PARAMETRES!$G$5:$G$20,$E372)=0,"Catégorie ?","OK"),"Type ?"))))</f>
        <v/>
      </c>
    </row>
    <row r="373" customFormat="false" ht="16.5" hidden="false" customHeight="true" outlineLevel="0" collapsed="false">
      <c r="A373" s="81" t="str">
        <f aca="false">IF($B373="","",ROW()-7)</f>
        <v/>
      </c>
      <c r="B373" s="82"/>
      <c r="C373" s="83" t="str">
        <f aca="false">IF($B373="","",YEAR($B373)*100+MONTH($B373))</f>
        <v/>
      </c>
      <c r="D373" s="84"/>
      <c r="E373" s="85"/>
      <c r="F373" s="85"/>
      <c r="G373" s="86"/>
      <c r="H373" s="87"/>
      <c r="I373" s="88"/>
      <c r="J373" s="89" t="str">
        <f aca="false">IF($B373="","",IF(N($H373)&lt;=0,"Montant ?",IF($D373="RECETTE",IF(COUNTIF(PARAMETRES!$E$5:$E$9,$E373)=0,"Catégorie ?","OK"),IF($D373="DEPENSE",IF(COUNTIF(PARAMETRES!$G$5:$G$20,$E373)=0,"Catégorie ?","OK"),"Type ?"))))</f>
        <v/>
      </c>
    </row>
    <row r="374" customFormat="false" ht="16.5" hidden="false" customHeight="true" outlineLevel="0" collapsed="false">
      <c r="A374" s="72" t="str">
        <f aca="false">IF($B374="","",ROW()-7)</f>
        <v/>
      </c>
      <c r="B374" s="73"/>
      <c r="C374" s="74" t="str">
        <f aca="false">IF($B374="","",YEAR($B374)*100+MONTH($B374))</f>
        <v/>
      </c>
      <c r="D374" s="75"/>
      <c r="E374" s="76"/>
      <c r="F374" s="76"/>
      <c r="G374" s="77"/>
      <c r="H374" s="78"/>
      <c r="I374" s="79"/>
      <c r="J374" s="80" t="str">
        <f aca="false">IF($B374="","",IF(N($H374)&lt;=0,"Montant ?",IF($D374="RECETTE",IF(COUNTIF(PARAMETRES!$E$5:$E$9,$E374)=0,"Catégorie ?","OK"),IF($D374="DEPENSE",IF(COUNTIF(PARAMETRES!$G$5:$G$20,$E374)=0,"Catégorie ?","OK"),"Type ?"))))</f>
        <v/>
      </c>
    </row>
    <row r="375" customFormat="false" ht="16.5" hidden="false" customHeight="true" outlineLevel="0" collapsed="false">
      <c r="A375" s="81" t="str">
        <f aca="false">IF($B375="","",ROW()-7)</f>
        <v/>
      </c>
      <c r="B375" s="82"/>
      <c r="C375" s="83" t="str">
        <f aca="false">IF($B375="","",YEAR($B375)*100+MONTH($B375))</f>
        <v/>
      </c>
      <c r="D375" s="84"/>
      <c r="E375" s="85"/>
      <c r="F375" s="85"/>
      <c r="G375" s="86"/>
      <c r="H375" s="87"/>
      <c r="I375" s="88"/>
      <c r="J375" s="89" t="str">
        <f aca="false">IF($B375="","",IF(N($H375)&lt;=0,"Montant ?",IF($D375="RECETTE",IF(COUNTIF(PARAMETRES!$E$5:$E$9,$E375)=0,"Catégorie ?","OK"),IF($D375="DEPENSE",IF(COUNTIF(PARAMETRES!$G$5:$G$20,$E375)=0,"Catégorie ?","OK"),"Type ?"))))</f>
        <v/>
      </c>
    </row>
    <row r="376" customFormat="false" ht="16.5" hidden="false" customHeight="true" outlineLevel="0" collapsed="false">
      <c r="A376" s="72" t="str">
        <f aca="false">IF($B376="","",ROW()-7)</f>
        <v/>
      </c>
      <c r="B376" s="73"/>
      <c r="C376" s="74" t="str">
        <f aca="false">IF($B376="","",YEAR($B376)*100+MONTH($B376))</f>
        <v/>
      </c>
      <c r="D376" s="75"/>
      <c r="E376" s="76"/>
      <c r="F376" s="76"/>
      <c r="G376" s="77"/>
      <c r="H376" s="78"/>
      <c r="I376" s="79"/>
      <c r="J376" s="80" t="str">
        <f aca="false">IF($B376="","",IF(N($H376)&lt;=0,"Montant ?",IF($D376="RECETTE",IF(COUNTIF(PARAMETRES!$E$5:$E$9,$E376)=0,"Catégorie ?","OK"),IF($D376="DEPENSE",IF(COUNTIF(PARAMETRES!$G$5:$G$20,$E376)=0,"Catégorie ?","OK"),"Type ?"))))</f>
        <v/>
      </c>
    </row>
    <row r="377" customFormat="false" ht="16.5" hidden="false" customHeight="true" outlineLevel="0" collapsed="false">
      <c r="A377" s="81" t="str">
        <f aca="false">IF($B377="","",ROW()-7)</f>
        <v/>
      </c>
      <c r="B377" s="82"/>
      <c r="C377" s="83" t="str">
        <f aca="false">IF($B377="","",YEAR($B377)*100+MONTH($B377))</f>
        <v/>
      </c>
      <c r="D377" s="84"/>
      <c r="E377" s="85"/>
      <c r="F377" s="85"/>
      <c r="G377" s="86"/>
      <c r="H377" s="87"/>
      <c r="I377" s="88"/>
      <c r="J377" s="89" t="str">
        <f aca="false">IF($B377="","",IF(N($H377)&lt;=0,"Montant ?",IF($D377="RECETTE",IF(COUNTIF(PARAMETRES!$E$5:$E$9,$E377)=0,"Catégorie ?","OK"),IF($D377="DEPENSE",IF(COUNTIF(PARAMETRES!$G$5:$G$20,$E377)=0,"Catégorie ?","OK"),"Type ?"))))</f>
        <v/>
      </c>
    </row>
    <row r="378" customFormat="false" ht="16.5" hidden="false" customHeight="true" outlineLevel="0" collapsed="false">
      <c r="A378" s="72" t="str">
        <f aca="false">IF($B378="","",ROW()-7)</f>
        <v/>
      </c>
      <c r="B378" s="73"/>
      <c r="C378" s="74" t="str">
        <f aca="false">IF($B378="","",YEAR($B378)*100+MONTH($B378))</f>
        <v/>
      </c>
      <c r="D378" s="75"/>
      <c r="E378" s="76"/>
      <c r="F378" s="76"/>
      <c r="G378" s="77"/>
      <c r="H378" s="78"/>
      <c r="I378" s="79"/>
      <c r="J378" s="80" t="str">
        <f aca="false">IF($B378="","",IF(N($H378)&lt;=0,"Montant ?",IF($D378="RECETTE",IF(COUNTIF(PARAMETRES!$E$5:$E$9,$E378)=0,"Catégorie ?","OK"),IF($D378="DEPENSE",IF(COUNTIF(PARAMETRES!$G$5:$G$20,$E378)=0,"Catégorie ?","OK"),"Type ?"))))</f>
        <v/>
      </c>
    </row>
    <row r="379" customFormat="false" ht="16.5" hidden="false" customHeight="true" outlineLevel="0" collapsed="false">
      <c r="A379" s="81" t="str">
        <f aca="false">IF($B379="","",ROW()-7)</f>
        <v/>
      </c>
      <c r="B379" s="82"/>
      <c r="C379" s="83" t="str">
        <f aca="false">IF($B379="","",YEAR($B379)*100+MONTH($B379))</f>
        <v/>
      </c>
      <c r="D379" s="84"/>
      <c r="E379" s="85"/>
      <c r="F379" s="85"/>
      <c r="G379" s="86"/>
      <c r="H379" s="87"/>
      <c r="I379" s="88"/>
      <c r="J379" s="89" t="str">
        <f aca="false">IF($B379="","",IF(N($H379)&lt;=0,"Montant ?",IF($D379="RECETTE",IF(COUNTIF(PARAMETRES!$E$5:$E$9,$E379)=0,"Catégorie ?","OK"),IF($D379="DEPENSE",IF(COUNTIF(PARAMETRES!$G$5:$G$20,$E379)=0,"Catégorie ?","OK"),"Type ?"))))</f>
        <v/>
      </c>
    </row>
    <row r="380" customFormat="false" ht="16.5" hidden="false" customHeight="true" outlineLevel="0" collapsed="false">
      <c r="A380" s="72" t="str">
        <f aca="false">IF($B380="","",ROW()-7)</f>
        <v/>
      </c>
      <c r="B380" s="73"/>
      <c r="C380" s="74" t="str">
        <f aca="false">IF($B380="","",YEAR($B380)*100+MONTH($B380))</f>
        <v/>
      </c>
      <c r="D380" s="75"/>
      <c r="E380" s="76"/>
      <c r="F380" s="76"/>
      <c r="G380" s="77"/>
      <c r="H380" s="78"/>
      <c r="I380" s="79"/>
      <c r="J380" s="80" t="str">
        <f aca="false">IF($B380="","",IF(N($H380)&lt;=0,"Montant ?",IF($D380="RECETTE",IF(COUNTIF(PARAMETRES!$E$5:$E$9,$E380)=0,"Catégorie ?","OK"),IF($D380="DEPENSE",IF(COUNTIF(PARAMETRES!$G$5:$G$20,$E380)=0,"Catégorie ?","OK"),"Type ?"))))</f>
        <v/>
      </c>
    </row>
    <row r="381" customFormat="false" ht="16.5" hidden="false" customHeight="true" outlineLevel="0" collapsed="false">
      <c r="A381" s="81" t="str">
        <f aca="false">IF($B381="","",ROW()-7)</f>
        <v/>
      </c>
      <c r="B381" s="82"/>
      <c r="C381" s="83" t="str">
        <f aca="false">IF($B381="","",YEAR($B381)*100+MONTH($B381))</f>
        <v/>
      </c>
      <c r="D381" s="84"/>
      <c r="E381" s="85"/>
      <c r="F381" s="85"/>
      <c r="G381" s="86"/>
      <c r="H381" s="87"/>
      <c r="I381" s="88"/>
      <c r="J381" s="89" t="str">
        <f aca="false">IF($B381="","",IF(N($H381)&lt;=0,"Montant ?",IF($D381="RECETTE",IF(COUNTIF(PARAMETRES!$E$5:$E$9,$E381)=0,"Catégorie ?","OK"),IF($D381="DEPENSE",IF(COUNTIF(PARAMETRES!$G$5:$G$20,$E381)=0,"Catégorie ?","OK"),"Type ?"))))</f>
        <v/>
      </c>
    </row>
    <row r="382" customFormat="false" ht="16.5" hidden="false" customHeight="true" outlineLevel="0" collapsed="false">
      <c r="A382" s="72" t="str">
        <f aca="false">IF($B382="","",ROW()-7)</f>
        <v/>
      </c>
      <c r="B382" s="73"/>
      <c r="C382" s="74" t="str">
        <f aca="false">IF($B382="","",YEAR($B382)*100+MONTH($B382))</f>
        <v/>
      </c>
      <c r="D382" s="75"/>
      <c r="E382" s="76"/>
      <c r="F382" s="76"/>
      <c r="G382" s="77"/>
      <c r="H382" s="78"/>
      <c r="I382" s="79"/>
      <c r="J382" s="80" t="str">
        <f aca="false">IF($B382="","",IF(N($H382)&lt;=0,"Montant ?",IF($D382="RECETTE",IF(COUNTIF(PARAMETRES!$E$5:$E$9,$E382)=0,"Catégorie ?","OK"),IF($D382="DEPENSE",IF(COUNTIF(PARAMETRES!$G$5:$G$20,$E382)=0,"Catégorie ?","OK"),"Type ?"))))</f>
        <v/>
      </c>
    </row>
    <row r="383" customFormat="false" ht="16.5" hidden="false" customHeight="true" outlineLevel="0" collapsed="false">
      <c r="A383" s="81" t="str">
        <f aca="false">IF($B383="","",ROW()-7)</f>
        <v/>
      </c>
      <c r="B383" s="82"/>
      <c r="C383" s="83" t="str">
        <f aca="false">IF($B383="","",YEAR($B383)*100+MONTH($B383))</f>
        <v/>
      </c>
      <c r="D383" s="84"/>
      <c r="E383" s="85"/>
      <c r="F383" s="85"/>
      <c r="G383" s="86"/>
      <c r="H383" s="87"/>
      <c r="I383" s="88"/>
      <c r="J383" s="89" t="str">
        <f aca="false">IF($B383="","",IF(N($H383)&lt;=0,"Montant ?",IF($D383="RECETTE",IF(COUNTIF(PARAMETRES!$E$5:$E$9,$E383)=0,"Catégorie ?","OK"),IF($D383="DEPENSE",IF(COUNTIF(PARAMETRES!$G$5:$G$20,$E383)=0,"Catégorie ?","OK"),"Type ?"))))</f>
        <v/>
      </c>
    </row>
    <row r="384" customFormat="false" ht="16.5" hidden="false" customHeight="true" outlineLevel="0" collapsed="false">
      <c r="A384" s="72" t="str">
        <f aca="false">IF($B384="","",ROW()-7)</f>
        <v/>
      </c>
      <c r="B384" s="73"/>
      <c r="C384" s="74" t="str">
        <f aca="false">IF($B384="","",YEAR($B384)*100+MONTH($B384))</f>
        <v/>
      </c>
      <c r="D384" s="75"/>
      <c r="E384" s="76"/>
      <c r="F384" s="76"/>
      <c r="G384" s="77"/>
      <c r="H384" s="78"/>
      <c r="I384" s="79"/>
      <c r="J384" s="80" t="str">
        <f aca="false">IF($B384="","",IF(N($H384)&lt;=0,"Montant ?",IF($D384="RECETTE",IF(COUNTIF(PARAMETRES!$E$5:$E$9,$E384)=0,"Catégorie ?","OK"),IF($D384="DEPENSE",IF(COUNTIF(PARAMETRES!$G$5:$G$20,$E384)=0,"Catégorie ?","OK"),"Type ?"))))</f>
        <v/>
      </c>
    </row>
    <row r="385" customFormat="false" ht="16.5" hidden="false" customHeight="true" outlineLevel="0" collapsed="false">
      <c r="A385" s="81" t="str">
        <f aca="false">IF($B385="","",ROW()-7)</f>
        <v/>
      </c>
      <c r="B385" s="82"/>
      <c r="C385" s="83" t="str">
        <f aca="false">IF($B385="","",YEAR($B385)*100+MONTH($B385))</f>
        <v/>
      </c>
      <c r="D385" s="84"/>
      <c r="E385" s="85"/>
      <c r="F385" s="85"/>
      <c r="G385" s="86"/>
      <c r="H385" s="87"/>
      <c r="I385" s="88"/>
      <c r="J385" s="89" t="str">
        <f aca="false">IF($B385="","",IF(N($H385)&lt;=0,"Montant ?",IF($D385="RECETTE",IF(COUNTIF(PARAMETRES!$E$5:$E$9,$E385)=0,"Catégorie ?","OK"),IF($D385="DEPENSE",IF(COUNTIF(PARAMETRES!$G$5:$G$20,$E385)=0,"Catégorie ?","OK"),"Type ?"))))</f>
        <v/>
      </c>
    </row>
    <row r="386" customFormat="false" ht="16.5" hidden="false" customHeight="true" outlineLevel="0" collapsed="false">
      <c r="A386" s="72" t="str">
        <f aca="false">IF($B386="","",ROW()-7)</f>
        <v/>
      </c>
      <c r="B386" s="73"/>
      <c r="C386" s="74" t="str">
        <f aca="false">IF($B386="","",YEAR($B386)*100+MONTH($B386))</f>
        <v/>
      </c>
      <c r="D386" s="75"/>
      <c r="E386" s="76"/>
      <c r="F386" s="76"/>
      <c r="G386" s="77"/>
      <c r="H386" s="78"/>
      <c r="I386" s="79"/>
      <c r="J386" s="80" t="str">
        <f aca="false">IF($B386="","",IF(N($H386)&lt;=0,"Montant ?",IF($D386="RECETTE",IF(COUNTIF(PARAMETRES!$E$5:$E$9,$E386)=0,"Catégorie ?","OK"),IF($D386="DEPENSE",IF(COUNTIF(PARAMETRES!$G$5:$G$20,$E386)=0,"Catégorie ?","OK"),"Type ?"))))</f>
        <v/>
      </c>
    </row>
    <row r="387" customFormat="false" ht="16.5" hidden="false" customHeight="true" outlineLevel="0" collapsed="false">
      <c r="A387" s="81" t="str">
        <f aca="false">IF($B387="","",ROW()-7)</f>
        <v/>
      </c>
      <c r="B387" s="82"/>
      <c r="C387" s="83" t="str">
        <f aca="false">IF($B387="","",YEAR($B387)*100+MONTH($B387))</f>
        <v/>
      </c>
      <c r="D387" s="84"/>
      <c r="E387" s="85"/>
      <c r="F387" s="85"/>
      <c r="G387" s="86"/>
      <c r="H387" s="87"/>
      <c r="I387" s="88"/>
      <c r="J387" s="89" t="str">
        <f aca="false">IF($B387="","",IF(N($H387)&lt;=0,"Montant ?",IF($D387="RECETTE",IF(COUNTIF(PARAMETRES!$E$5:$E$9,$E387)=0,"Catégorie ?","OK"),IF($D387="DEPENSE",IF(COUNTIF(PARAMETRES!$G$5:$G$20,$E387)=0,"Catégorie ?","OK"),"Type ?"))))</f>
        <v/>
      </c>
    </row>
    <row r="388" customFormat="false" ht="16.5" hidden="false" customHeight="true" outlineLevel="0" collapsed="false">
      <c r="A388" s="72" t="str">
        <f aca="false">IF($B388="","",ROW()-7)</f>
        <v/>
      </c>
      <c r="B388" s="73"/>
      <c r="C388" s="74" t="str">
        <f aca="false">IF($B388="","",YEAR($B388)*100+MONTH($B388))</f>
        <v/>
      </c>
      <c r="D388" s="75"/>
      <c r="E388" s="76"/>
      <c r="F388" s="76"/>
      <c r="G388" s="77"/>
      <c r="H388" s="78"/>
      <c r="I388" s="79"/>
      <c r="J388" s="80" t="str">
        <f aca="false">IF($B388="","",IF(N($H388)&lt;=0,"Montant ?",IF($D388="RECETTE",IF(COUNTIF(PARAMETRES!$E$5:$E$9,$E388)=0,"Catégorie ?","OK"),IF($D388="DEPENSE",IF(COUNTIF(PARAMETRES!$G$5:$G$20,$E388)=0,"Catégorie ?","OK"),"Type ?"))))</f>
        <v/>
      </c>
    </row>
    <row r="389" customFormat="false" ht="16.5" hidden="false" customHeight="true" outlineLevel="0" collapsed="false">
      <c r="A389" s="81" t="str">
        <f aca="false">IF($B389="","",ROW()-7)</f>
        <v/>
      </c>
      <c r="B389" s="82"/>
      <c r="C389" s="83" t="str">
        <f aca="false">IF($B389="","",YEAR($B389)*100+MONTH($B389))</f>
        <v/>
      </c>
      <c r="D389" s="84"/>
      <c r="E389" s="85"/>
      <c r="F389" s="85"/>
      <c r="G389" s="86"/>
      <c r="H389" s="87"/>
      <c r="I389" s="88"/>
      <c r="J389" s="89" t="str">
        <f aca="false">IF($B389="","",IF(N($H389)&lt;=0,"Montant ?",IF($D389="RECETTE",IF(COUNTIF(PARAMETRES!$E$5:$E$9,$E389)=0,"Catégorie ?","OK"),IF($D389="DEPENSE",IF(COUNTIF(PARAMETRES!$G$5:$G$20,$E389)=0,"Catégorie ?","OK"),"Type ?"))))</f>
        <v/>
      </c>
    </row>
    <row r="390" customFormat="false" ht="16.5" hidden="false" customHeight="true" outlineLevel="0" collapsed="false">
      <c r="A390" s="72" t="str">
        <f aca="false">IF($B390="","",ROW()-7)</f>
        <v/>
      </c>
      <c r="B390" s="73"/>
      <c r="C390" s="74" t="str">
        <f aca="false">IF($B390="","",YEAR($B390)*100+MONTH($B390))</f>
        <v/>
      </c>
      <c r="D390" s="75"/>
      <c r="E390" s="76"/>
      <c r="F390" s="76"/>
      <c r="G390" s="77"/>
      <c r="H390" s="78"/>
      <c r="I390" s="79"/>
      <c r="J390" s="80" t="str">
        <f aca="false">IF($B390="","",IF(N($H390)&lt;=0,"Montant ?",IF($D390="RECETTE",IF(COUNTIF(PARAMETRES!$E$5:$E$9,$E390)=0,"Catégorie ?","OK"),IF($D390="DEPENSE",IF(COUNTIF(PARAMETRES!$G$5:$G$20,$E390)=0,"Catégorie ?","OK"),"Type ?"))))</f>
        <v/>
      </c>
    </row>
    <row r="391" customFormat="false" ht="16.5" hidden="false" customHeight="true" outlineLevel="0" collapsed="false">
      <c r="A391" s="81" t="str">
        <f aca="false">IF($B391="","",ROW()-7)</f>
        <v/>
      </c>
      <c r="B391" s="82"/>
      <c r="C391" s="83" t="str">
        <f aca="false">IF($B391="","",YEAR($B391)*100+MONTH($B391))</f>
        <v/>
      </c>
      <c r="D391" s="84"/>
      <c r="E391" s="85"/>
      <c r="F391" s="85"/>
      <c r="G391" s="86"/>
      <c r="H391" s="87"/>
      <c r="I391" s="88"/>
      <c r="J391" s="89" t="str">
        <f aca="false">IF($B391="","",IF(N($H391)&lt;=0,"Montant ?",IF($D391="RECETTE",IF(COUNTIF(PARAMETRES!$E$5:$E$9,$E391)=0,"Catégorie ?","OK"),IF($D391="DEPENSE",IF(COUNTIF(PARAMETRES!$G$5:$G$20,$E391)=0,"Catégorie ?","OK"),"Type ?"))))</f>
        <v/>
      </c>
    </row>
    <row r="392" customFormat="false" ht="16.5" hidden="false" customHeight="true" outlineLevel="0" collapsed="false">
      <c r="A392" s="72" t="str">
        <f aca="false">IF($B392="","",ROW()-7)</f>
        <v/>
      </c>
      <c r="B392" s="73"/>
      <c r="C392" s="74" t="str">
        <f aca="false">IF($B392="","",YEAR($B392)*100+MONTH($B392))</f>
        <v/>
      </c>
      <c r="D392" s="75"/>
      <c r="E392" s="76"/>
      <c r="F392" s="76"/>
      <c r="G392" s="77"/>
      <c r="H392" s="78"/>
      <c r="I392" s="79"/>
      <c r="J392" s="80" t="str">
        <f aca="false">IF($B392="","",IF(N($H392)&lt;=0,"Montant ?",IF($D392="RECETTE",IF(COUNTIF(PARAMETRES!$E$5:$E$9,$E392)=0,"Catégorie ?","OK"),IF($D392="DEPENSE",IF(COUNTIF(PARAMETRES!$G$5:$G$20,$E392)=0,"Catégorie ?","OK"),"Type ?"))))</f>
        <v/>
      </c>
    </row>
    <row r="393" customFormat="false" ht="16.5" hidden="false" customHeight="true" outlineLevel="0" collapsed="false">
      <c r="A393" s="81" t="str">
        <f aca="false">IF($B393="","",ROW()-7)</f>
        <v/>
      </c>
      <c r="B393" s="82"/>
      <c r="C393" s="83" t="str">
        <f aca="false">IF($B393="","",YEAR($B393)*100+MONTH($B393))</f>
        <v/>
      </c>
      <c r="D393" s="84"/>
      <c r="E393" s="85"/>
      <c r="F393" s="85"/>
      <c r="G393" s="86"/>
      <c r="H393" s="87"/>
      <c r="I393" s="88"/>
      <c r="J393" s="89" t="str">
        <f aca="false">IF($B393="","",IF(N($H393)&lt;=0,"Montant ?",IF($D393="RECETTE",IF(COUNTIF(PARAMETRES!$E$5:$E$9,$E393)=0,"Catégorie ?","OK"),IF($D393="DEPENSE",IF(COUNTIF(PARAMETRES!$G$5:$G$20,$E393)=0,"Catégorie ?","OK"),"Type ?"))))</f>
        <v/>
      </c>
    </row>
    <row r="394" customFormat="false" ht="16.5" hidden="false" customHeight="true" outlineLevel="0" collapsed="false">
      <c r="A394" s="72" t="str">
        <f aca="false">IF($B394="","",ROW()-7)</f>
        <v/>
      </c>
      <c r="B394" s="73"/>
      <c r="C394" s="74" t="str">
        <f aca="false">IF($B394="","",YEAR($B394)*100+MONTH($B394))</f>
        <v/>
      </c>
      <c r="D394" s="75"/>
      <c r="E394" s="76"/>
      <c r="F394" s="76"/>
      <c r="G394" s="77"/>
      <c r="H394" s="78"/>
      <c r="I394" s="79"/>
      <c r="J394" s="80" t="str">
        <f aca="false">IF($B394="","",IF(N($H394)&lt;=0,"Montant ?",IF($D394="RECETTE",IF(COUNTIF(PARAMETRES!$E$5:$E$9,$E394)=0,"Catégorie ?","OK"),IF($D394="DEPENSE",IF(COUNTIF(PARAMETRES!$G$5:$G$20,$E394)=0,"Catégorie ?","OK"),"Type ?"))))</f>
        <v/>
      </c>
    </row>
    <row r="395" customFormat="false" ht="16.5" hidden="false" customHeight="true" outlineLevel="0" collapsed="false">
      <c r="A395" s="81" t="str">
        <f aca="false">IF($B395="","",ROW()-7)</f>
        <v/>
      </c>
      <c r="B395" s="82"/>
      <c r="C395" s="83" t="str">
        <f aca="false">IF($B395="","",YEAR($B395)*100+MONTH($B395))</f>
        <v/>
      </c>
      <c r="D395" s="84"/>
      <c r="E395" s="85"/>
      <c r="F395" s="85"/>
      <c r="G395" s="86"/>
      <c r="H395" s="87"/>
      <c r="I395" s="88"/>
      <c r="J395" s="89" t="str">
        <f aca="false">IF($B395="","",IF(N($H395)&lt;=0,"Montant ?",IF($D395="RECETTE",IF(COUNTIF(PARAMETRES!$E$5:$E$9,$E395)=0,"Catégorie ?","OK"),IF($D395="DEPENSE",IF(COUNTIF(PARAMETRES!$G$5:$G$20,$E395)=0,"Catégorie ?","OK"),"Type ?"))))</f>
        <v/>
      </c>
    </row>
    <row r="396" customFormat="false" ht="16.5" hidden="false" customHeight="true" outlineLevel="0" collapsed="false">
      <c r="A396" s="72" t="str">
        <f aca="false">IF($B396="","",ROW()-7)</f>
        <v/>
      </c>
      <c r="B396" s="73"/>
      <c r="C396" s="74" t="str">
        <f aca="false">IF($B396="","",YEAR($B396)*100+MONTH($B396))</f>
        <v/>
      </c>
      <c r="D396" s="75"/>
      <c r="E396" s="76"/>
      <c r="F396" s="76"/>
      <c r="G396" s="77"/>
      <c r="H396" s="78"/>
      <c r="I396" s="79"/>
      <c r="J396" s="80" t="str">
        <f aca="false">IF($B396="","",IF(N($H396)&lt;=0,"Montant ?",IF($D396="RECETTE",IF(COUNTIF(PARAMETRES!$E$5:$E$9,$E396)=0,"Catégorie ?","OK"),IF($D396="DEPENSE",IF(COUNTIF(PARAMETRES!$G$5:$G$20,$E396)=0,"Catégorie ?","OK"),"Type ?"))))</f>
        <v/>
      </c>
    </row>
    <row r="397" customFormat="false" ht="16.5" hidden="false" customHeight="true" outlineLevel="0" collapsed="false">
      <c r="A397" s="81" t="str">
        <f aca="false">IF($B397="","",ROW()-7)</f>
        <v/>
      </c>
      <c r="B397" s="82"/>
      <c r="C397" s="83" t="str">
        <f aca="false">IF($B397="","",YEAR($B397)*100+MONTH($B397))</f>
        <v/>
      </c>
      <c r="D397" s="84"/>
      <c r="E397" s="85"/>
      <c r="F397" s="85"/>
      <c r="G397" s="86"/>
      <c r="H397" s="87"/>
      <c r="I397" s="88"/>
      <c r="J397" s="89" t="str">
        <f aca="false">IF($B397="","",IF(N($H397)&lt;=0,"Montant ?",IF($D397="RECETTE",IF(COUNTIF(PARAMETRES!$E$5:$E$9,$E397)=0,"Catégorie ?","OK"),IF($D397="DEPENSE",IF(COUNTIF(PARAMETRES!$G$5:$G$20,$E397)=0,"Catégorie ?","OK"),"Type ?"))))</f>
        <v/>
      </c>
    </row>
    <row r="398" customFormat="false" ht="16.5" hidden="false" customHeight="true" outlineLevel="0" collapsed="false">
      <c r="A398" s="72" t="str">
        <f aca="false">IF($B398="","",ROW()-7)</f>
        <v/>
      </c>
      <c r="B398" s="73"/>
      <c r="C398" s="74" t="str">
        <f aca="false">IF($B398="","",YEAR($B398)*100+MONTH($B398))</f>
        <v/>
      </c>
      <c r="D398" s="75"/>
      <c r="E398" s="76"/>
      <c r="F398" s="76"/>
      <c r="G398" s="77"/>
      <c r="H398" s="78"/>
      <c r="I398" s="79"/>
      <c r="J398" s="80" t="str">
        <f aca="false">IF($B398="","",IF(N($H398)&lt;=0,"Montant ?",IF($D398="RECETTE",IF(COUNTIF(PARAMETRES!$E$5:$E$9,$E398)=0,"Catégorie ?","OK"),IF($D398="DEPENSE",IF(COUNTIF(PARAMETRES!$G$5:$G$20,$E398)=0,"Catégorie ?","OK"),"Type ?"))))</f>
        <v/>
      </c>
    </row>
    <row r="399" customFormat="false" ht="16.5" hidden="false" customHeight="true" outlineLevel="0" collapsed="false">
      <c r="A399" s="81" t="str">
        <f aca="false">IF($B399="","",ROW()-7)</f>
        <v/>
      </c>
      <c r="B399" s="82"/>
      <c r="C399" s="83" t="str">
        <f aca="false">IF($B399="","",YEAR($B399)*100+MONTH($B399))</f>
        <v/>
      </c>
      <c r="D399" s="84"/>
      <c r="E399" s="85"/>
      <c r="F399" s="85"/>
      <c r="G399" s="86"/>
      <c r="H399" s="87"/>
      <c r="I399" s="88"/>
      <c r="J399" s="89" t="str">
        <f aca="false">IF($B399="","",IF(N($H399)&lt;=0,"Montant ?",IF($D399="RECETTE",IF(COUNTIF(PARAMETRES!$E$5:$E$9,$E399)=0,"Catégorie ?","OK"),IF($D399="DEPENSE",IF(COUNTIF(PARAMETRES!$G$5:$G$20,$E399)=0,"Catégorie ?","OK"),"Type ?"))))</f>
        <v/>
      </c>
    </row>
    <row r="400" customFormat="false" ht="16.5" hidden="false" customHeight="true" outlineLevel="0" collapsed="false">
      <c r="A400" s="72" t="str">
        <f aca="false">IF($B400="","",ROW()-7)</f>
        <v/>
      </c>
      <c r="B400" s="73"/>
      <c r="C400" s="74" t="str">
        <f aca="false">IF($B400="","",YEAR($B400)*100+MONTH($B400))</f>
        <v/>
      </c>
      <c r="D400" s="75"/>
      <c r="E400" s="76"/>
      <c r="F400" s="76"/>
      <c r="G400" s="77"/>
      <c r="H400" s="78"/>
      <c r="I400" s="79"/>
      <c r="J400" s="80" t="str">
        <f aca="false">IF($B400="","",IF(N($H400)&lt;=0,"Montant ?",IF($D400="RECETTE",IF(COUNTIF(PARAMETRES!$E$5:$E$9,$E400)=0,"Catégorie ?","OK"),IF($D400="DEPENSE",IF(COUNTIF(PARAMETRES!$G$5:$G$20,$E400)=0,"Catégorie ?","OK"),"Type ?"))))</f>
        <v/>
      </c>
    </row>
    <row r="401" customFormat="false" ht="16.5" hidden="false" customHeight="true" outlineLevel="0" collapsed="false">
      <c r="A401" s="81" t="str">
        <f aca="false">IF($B401="","",ROW()-7)</f>
        <v/>
      </c>
      <c r="B401" s="82"/>
      <c r="C401" s="83" t="str">
        <f aca="false">IF($B401="","",YEAR($B401)*100+MONTH($B401))</f>
        <v/>
      </c>
      <c r="D401" s="84"/>
      <c r="E401" s="85"/>
      <c r="F401" s="85"/>
      <c r="G401" s="86"/>
      <c r="H401" s="87"/>
      <c r="I401" s="88"/>
      <c r="J401" s="89" t="str">
        <f aca="false">IF($B401="","",IF(N($H401)&lt;=0,"Montant ?",IF($D401="RECETTE",IF(COUNTIF(PARAMETRES!$E$5:$E$9,$E401)=0,"Catégorie ?","OK"),IF($D401="DEPENSE",IF(COUNTIF(PARAMETRES!$G$5:$G$20,$E401)=0,"Catégorie ?","OK"),"Type ?"))))</f>
        <v/>
      </c>
    </row>
    <row r="402" customFormat="false" ht="16.5" hidden="false" customHeight="true" outlineLevel="0" collapsed="false">
      <c r="A402" s="72" t="str">
        <f aca="false">IF($B402="","",ROW()-7)</f>
        <v/>
      </c>
      <c r="B402" s="73"/>
      <c r="C402" s="74" t="str">
        <f aca="false">IF($B402="","",YEAR($B402)*100+MONTH($B402))</f>
        <v/>
      </c>
      <c r="D402" s="75"/>
      <c r="E402" s="76"/>
      <c r="F402" s="76"/>
      <c r="G402" s="77"/>
      <c r="H402" s="78"/>
      <c r="I402" s="79"/>
      <c r="J402" s="80" t="str">
        <f aca="false">IF($B402="","",IF(N($H402)&lt;=0,"Montant ?",IF($D402="RECETTE",IF(COUNTIF(PARAMETRES!$E$5:$E$9,$E402)=0,"Catégorie ?","OK"),IF($D402="DEPENSE",IF(COUNTIF(PARAMETRES!$G$5:$G$20,$E402)=0,"Catégorie ?","OK"),"Type ?"))))</f>
        <v/>
      </c>
    </row>
    <row r="403" customFormat="false" ht="16.5" hidden="false" customHeight="true" outlineLevel="0" collapsed="false">
      <c r="A403" s="81" t="str">
        <f aca="false">IF($B403="","",ROW()-7)</f>
        <v/>
      </c>
      <c r="B403" s="82"/>
      <c r="C403" s="83" t="str">
        <f aca="false">IF($B403="","",YEAR($B403)*100+MONTH($B403))</f>
        <v/>
      </c>
      <c r="D403" s="84"/>
      <c r="E403" s="85"/>
      <c r="F403" s="85"/>
      <c r="G403" s="86"/>
      <c r="H403" s="87"/>
      <c r="I403" s="88"/>
      <c r="J403" s="89" t="str">
        <f aca="false">IF($B403="","",IF(N($H403)&lt;=0,"Montant ?",IF($D403="RECETTE",IF(COUNTIF(PARAMETRES!$E$5:$E$9,$E403)=0,"Catégorie ?","OK"),IF($D403="DEPENSE",IF(COUNTIF(PARAMETRES!$G$5:$G$20,$E403)=0,"Catégorie ?","OK"),"Type ?"))))</f>
        <v/>
      </c>
    </row>
    <row r="404" customFormat="false" ht="16.5" hidden="false" customHeight="true" outlineLevel="0" collapsed="false">
      <c r="A404" s="72" t="str">
        <f aca="false">IF($B404="","",ROW()-7)</f>
        <v/>
      </c>
      <c r="B404" s="73"/>
      <c r="C404" s="74" t="str">
        <f aca="false">IF($B404="","",YEAR($B404)*100+MONTH($B404))</f>
        <v/>
      </c>
      <c r="D404" s="75"/>
      <c r="E404" s="76"/>
      <c r="F404" s="76"/>
      <c r="G404" s="77"/>
      <c r="H404" s="78"/>
      <c r="I404" s="79"/>
      <c r="J404" s="80" t="str">
        <f aca="false">IF($B404="","",IF(N($H404)&lt;=0,"Montant ?",IF($D404="RECETTE",IF(COUNTIF(PARAMETRES!$E$5:$E$9,$E404)=0,"Catégorie ?","OK"),IF($D404="DEPENSE",IF(COUNTIF(PARAMETRES!$G$5:$G$20,$E404)=0,"Catégorie ?","OK"),"Type ?"))))</f>
        <v/>
      </c>
    </row>
    <row r="405" customFormat="false" ht="16.5" hidden="false" customHeight="true" outlineLevel="0" collapsed="false">
      <c r="A405" s="81" t="str">
        <f aca="false">IF($B405="","",ROW()-7)</f>
        <v/>
      </c>
      <c r="B405" s="82"/>
      <c r="C405" s="83" t="str">
        <f aca="false">IF($B405="","",YEAR($B405)*100+MONTH($B405))</f>
        <v/>
      </c>
      <c r="D405" s="84"/>
      <c r="E405" s="85"/>
      <c r="F405" s="85"/>
      <c r="G405" s="86"/>
      <c r="H405" s="87"/>
      <c r="I405" s="88"/>
      <c r="J405" s="89" t="str">
        <f aca="false">IF($B405="","",IF(N($H405)&lt;=0,"Montant ?",IF($D405="RECETTE",IF(COUNTIF(PARAMETRES!$E$5:$E$9,$E405)=0,"Catégorie ?","OK"),IF($D405="DEPENSE",IF(COUNTIF(PARAMETRES!$G$5:$G$20,$E405)=0,"Catégorie ?","OK"),"Type ?"))))</f>
        <v/>
      </c>
    </row>
    <row r="406" customFormat="false" ht="16.5" hidden="false" customHeight="true" outlineLevel="0" collapsed="false">
      <c r="A406" s="72" t="str">
        <f aca="false">IF($B406="","",ROW()-7)</f>
        <v/>
      </c>
      <c r="B406" s="73"/>
      <c r="C406" s="74" t="str">
        <f aca="false">IF($B406="","",YEAR($B406)*100+MONTH($B406))</f>
        <v/>
      </c>
      <c r="D406" s="75"/>
      <c r="E406" s="76"/>
      <c r="F406" s="76"/>
      <c r="G406" s="77"/>
      <c r="H406" s="78"/>
      <c r="I406" s="79"/>
      <c r="J406" s="80" t="str">
        <f aca="false">IF($B406="","",IF(N($H406)&lt;=0,"Montant ?",IF($D406="RECETTE",IF(COUNTIF(PARAMETRES!$E$5:$E$9,$E406)=0,"Catégorie ?","OK"),IF($D406="DEPENSE",IF(COUNTIF(PARAMETRES!$G$5:$G$20,$E406)=0,"Catégorie ?","OK"),"Type ?"))))</f>
        <v/>
      </c>
    </row>
    <row r="407" customFormat="false" ht="16.5" hidden="false" customHeight="true" outlineLevel="0" collapsed="false">
      <c r="A407" s="81" t="str">
        <f aca="false">IF($B407="","",ROW()-7)</f>
        <v/>
      </c>
      <c r="B407" s="82"/>
      <c r="C407" s="83" t="str">
        <f aca="false">IF($B407="","",YEAR($B407)*100+MONTH($B407))</f>
        <v/>
      </c>
      <c r="D407" s="84"/>
      <c r="E407" s="85"/>
      <c r="F407" s="85"/>
      <c r="G407" s="86"/>
      <c r="H407" s="87"/>
      <c r="I407" s="88"/>
      <c r="J407" s="89" t="str">
        <f aca="false">IF($B407="","",IF(N($H407)&lt;=0,"Montant ?",IF($D407="RECETTE",IF(COUNTIF(PARAMETRES!$E$5:$E$9,$E407)=0,"Catégorie ?","OK"),IF($D407="DEPENSE",IF(COUNTIF(PARAMETRES!$G$5:$G$20,$E407)=0,"Catégorie ?","OK"),"Type ?"))))</f>
        <v/>
      </c>
    </row>
    <row r="408" customFormat="false" ht="16.5" hidden="false" customHeight="true" outlineLevel="0" collapsed="false">
      <c r="A408" s="72" t="str">
        <f aca="false">IF($B408="","",ROW()-7)</f>
        <v/>
      </c>
      <c r="B408" s="73"/>
      <c r="C408" s="74" t="str">
        <f aca="false">IF($B408="","",YEAR($B408)*100+MONTH($B408))</f>
        <v/>
      </c>
      <c r="D408" s="75"/>
      <c r="E408" s="76"/>
      <c r="F408" s="76"/>
      <c r="G408" s="77"/>
      <c r="H408" s="78"/>
      <c r="I408" s="79"/>
      <c r="J408" s="80" t="str">
        <f aca="false">IF($B408="","",IF(N($H408)&lt;=0,"Montant ?",IF($D408="RECETTE",IF(COUNTIF(PARAMETRES!$E$5:$E$9,$E408)=0,"Catégorie ?","OK"),IF($D408="DEPENSE",IF(COUNTIF(PARAMETRES!$G$5:$G$20,$E408)=0,"Catégorie ?","OK"),"Type ?"))))</f>
        <v/>
      </c>
    </row>
    <row r="409" customFormat="false" ht="16.5" hidden="false" customHeight="true" outlineLevel="0" collapsed="false">
      <c r="A409" s="81" t="str">
        <f aca="false">IF($B409="","",ROW()-7)</f>
        <v/>
      </c>
      <c r="B409" s="82"/>
      <c r="C409" s="83" t="str">
        <f aca="false">IF($B409="","",YEAR($B409)*100+MONTH($B409))</f>
        <v/>
      </c>
      <c r="D409" s="84"/>
      <c r="E409" s="85"/>
      <c r="F409" s="85"/>
      <c r="G409" s="86"/>
      <c r="H409" s="87"/>
      <c r="I409" s="88"/>
      <c r="J409" s="89" t="str">
        <f aca="false">IF($B409="","",IF(N($H409)&lt;=0,"Montant ?",IF($D409="RECETTE",IF(COUNTIF(PARAMETRES!$E$5:$E$9,$E409)=0,"Catégorie ?","OK"),IF($D409="DEPENSE",IF(COUNTIF(PARAMETRES!$G$5:$G$20,$E409)=0,"Catégorie ?","OK"),"Type ?"))))</f>
        <v/>
      </c>
    </row>
    <row r="410" customFormat="false" ht="16.5" hidden="false" customHeight="true" outlineLevel="0" collapsed="false">
      <c r="A410" s="72" t="str">
        <f aca="false">IF($B410="","",ROW()-7)</f>
        <v/>
      </c>
      <c r="B410" s="73"/>
      <c r="C410" s="74" t="str">
        <f aca="false">IF($B410="","",YEAR($B410)*100+MONTH($B410))</f>
        <v/>
      </c>
      <c r="D410" s="75"/>
      <c r="E410" s="76"/>
      <c r="F410" s="76"/>
      <c r="G410" s="77"/>
      <c r="H410" s="78"/>
      <c r="I410" s="79"/>
      <c r="J410" s="80" t="str">
        <f aca="false">IF($B410="","",IF(N($H410)&lt;=0,"Montant ?",IF($D410="RECETTE",IF(COUNTIF(PARAMETRES!$E$5:$E$9,$E410)=0,"Catégorie ?","OK"),IF($D410="DEPENSE",IF(COUNTIF(PARAMETRES!$G$5:$G$20,$E410)=0,"Catégorie ?","OK"),"Type ?"))))</f>
        <v/>
      </c>
    </row>
    <row r="411" customFormat="false" ht="16.5" hidden="false" customHeight="true" outlineLevel="0" collapsed="false">
      <c r="A411" s="81" t="str">
        <f aca="false">IF($B411="","",ROW()-7)</f>
        <v/>
      </c>
      <c r="B411" s="82"/>
      <c r="C411" s="83" t="str">
        <f aca="false">IF($B411="","",YEAR($B411)*100+MONTH($B411))</f>
        <v/>
      </c>
      <c r="D411" s="84"/>
      <c r="E411" s="85"/>
      <c r="F411" s="85"/>
      <c r="G411" s="86"/>
      <c r="H411" s="87"/>
      <c r="I411" s="88"/>
      <c r="J411" s="89" t="str">
        <f aca="false">IF($B411="","",IF(N($H411)&lt;=0,"Montant ?",IF($D411="RECETTE",IF(COUNTIF(PARAMETRES!$E$5:$E$9,$E411)=0,"Catégorie ?","OK"),IF($D411="DEPENSE",IF(COUNTIF(PARAMETRES!$G$5:$G$20,$E411)=0,"Catégorie ?","OK"),"Type ?"))))</f>
        <v/>
      </c>
    </row>
    <row r="412" customFormat="false" ht="16.5" hidden="false" customHeight="true" outlineLevel="0" collapsed="false">
      <c r="A412" s="72" t="str">
        <f aca="false">IF($B412="","",ROW()-7)</f>
        <v/>
      </c>
      <c r="B412" s="73"/>
      <c r="C412" s="74" t="str">
        <f aca="false">IF($B412="","",YEAR($B412)*100+MONTH($B412))</f>
        <v/>
      </c>
      <c r="D412" s="75"/>
      <c r="E412" s="76"/>
      <c r="F412" s="76"/>
      <c r="G412" s="77"/>
      <c r="H412" s="78"/>
      <c r="I412" s="79"/>
      <c r="J412" s="80" t="str">
        <f aca="false">IF($B412="","",IF(N($H412)&lt;=0,"Montant ?",IF($D412="RECETTE",IF(COUNTIF(PARAMETRES!$E$5:$E$9,$E412)=0,"Catégorie ?","OK"),IF($D412="DEPENSE",IF(COUNTIF(PARAMETRES!$G$5:$G$20,$E412)=0,"Catégorie ?","OK"),"Type ?"))))</f>
        <v/>
      </c>
    </row>
    <row r="413" customFormat="false" ht="16.5" hidden="false" customHeight="true" outlineLevel="0" collapsed="false">
      <c r="A413" s="81" t="str">
        <f aca="false">IF($B413="","",ROW()-7)</f>
        <v/>
      </c>
      <c r="B413" s="82"/>
      <c r="C413" s="83" t="str">
        <f aca="false">IF($B413="","",YEAR($B413)*100+MONTH($B413))</f>
        <v/>
      </c>
      <c r="D413" s="84"/>
      <c r="E413" s="85"/>
      <c r="F413" s="85"/>
      <c r="G413" s="86"/>
      <c r="H413" s="87"/>
      <c r="I413" s="88"/>
      <c r="J413" s="89" t="str">
        <f aca="false">IF($B413="","",IF(N($H413)&lt;=0,"Montant ?",IF($D413="RECETTE",IF(COUNTIF(PARAMETRES!$E$5:$E$9,$E413)=0,"Catégorie ?","OK"),IF($D413="DEPENSE",IF(COUNTIF(PARAMETRES!$G$5:$G$20,$E413)=0,"Catégorie ?","OK"),"Type ?"))))</f>
        <v/>
      </c>
    </row>
    <row r="414" customFormat="false" ht="16.5" hidden="false" customHeight="true" outlineLevel="0" collapsed="false">
      <c r="A414" s="72" t="str">
        <f aca="false">IF($B414="","",ROW()-7)</f>
        <v/>
      </c>
      <c r="B414" s="73"/>
      <c r="C414" s="74" t="str">
        <f aca="false">IF($B414="","",YEAR($B414)*100+MONTH($B414))</f>
        <v/>
      </c>
      <c r="D414" s="75"/>
      <c r="E414" s="76"/>
      <c r="F414" s="76"/>
      <c r="G414" s="77"/>
      <c r="H414" s="78"/>
      <c r="I414" s="79"/>
      <c r="J414" s="80" t="str">
        <f aca="false">IF($B414="","",IF(N($H414)&lt;=0,"Montant ?",IF($D414="RECETTE",IF(COUNTIF(PARAMETRES!$E$5:$E$9,$E414)=0,"Catégorie ?","OK"),IF($D414="DEPENSE",IF(COUNTIF(PARAMETRES!$G$5:$G$20,$E414)=0,"Catégorie ?","OK"),"Type ?"))))</f>
        <v/>
      </c>
    </row>
    <row r="415" customFormat="false" ht="16.5" hidden="false" customHeight="true" outlineLevel="0" collapsed="false">
      <c r="A415" s="81" t="str">
        <f aca="false">IF($B415="","",ROW()-7)</f>
        <v/>
      </c>
      <c r="B415" s="82"/>
      <c r="C415" s="83" t="str">
        <f aca="false">IF($B415="","",YEAR($B415)*100+MONTH($B415))</f>
        <v/>
      </c>
      <c r="D415" s="84"/>
      <c r="E415" s="85"/>
      <c r="F415" s="85"/>
      <c r="G415" s="86"/>
      <c r="H415" s="87"/>
      <c r="I415" s="88"/>
      <c r="J415" s="89" t="str">
        <f aca="false">IF($B415="","",IF(N($H415)&lt;=0,"Montant ?",IF($D415="RECETTE",IF(COUNTIF(PARAMETRES!$E$5:$E$9,$E415)=0,"Catégorie ?","OK"),IF($D415="DEPENSE",IF(COUNTIF(PARAMETRES!$G$5:$G$20,$E415)=0,"Catégorie ?","OK"),"Type ?"))))</f>
        <v/>
      </c>
    </row>
    <row r="416" customFormat="false" ht="16.5" hidden="false" customHeight="true" outlineLevel="0" collapsed="false">
      <c r="A416" s="72" t="str">
        <f aca="false">IF($B416="","",ROW()-7)</f>
        <v/>
      </c>
      <c r="B416" s="73"/>
      <c r="C416" s="74" t="str">
        <f aca="false">IF($B416="","",YEAR($B416)*100+MONTH($B416))</f>
        <v/>
      </c>
      <c r="D416" s="75"/>
      <c r="E416" s="76"/>
      <c r="F416" s="76"/>
      <c r="G416" s="77"/>
      <c r="H416" s="78"/>
      <c r="I416" s="79"/>
      <c r="J416" s="80" t="str">
        <f aca="false">IF($B416="","",IF(N($H416)&lt;=0,"Montant ?",IF($D416="RECETTE",IF(COUNTIF(PARAMETRES!$E$5:$E$9,$E416)=0,"Catégorie ?","OK"),IF($D416="DEPENSE",IF(COUNTIF(PARAMETRES!$G$5:$G$20,$E416)=0,"Catégorie ?","OK"),"Type ?"))))</f>
        <v/>
      </c>
    </row>
    <row r="417" customFormat="false" ht="16.5" hidden="false" customHeight="true" outlineLevel="0" collapsed="false">
      <c r="A417" s="81" t="str">
        <f aca="false">IF($B417="","",ROW()-7)</f>
        <v/>
      </c>
      <c r="B417" s="82"/>
      <c r="C417" s="83" t="str">
        <f aca="false">IF($B417="","",YEAR($B417)*100+MONTH($B417))</f>
        <v/>
      </c>
      <c r="D417" s="84"/>
      <c r="E417" s="85"/>
      <c r="F417" s="85"/>
      <c r="G417" s="86"/>
      <c r="H417" s="87"/>
      <c r="I417" s="88"/>
      <c r="J417" s="89" t="str">
        <f aca="false">IF($B417="","",IF(N($H417)&lt;=0,"Montant ?",IF($D417="RECETTE",IF(COUNTIF(PARAMETRES!$E$5:$E$9,$E417)=0,"Catégorie ?","OK"),IF($D417="DEPENSE",IF(COUNTIF(PARAMETRES!$G$5:$G$20,$E417)=0,"Catégorie ?","OK"),"Type ?"))))</f>
        <v/>
      </c>
    </row>
    <row r="418" customFormat="false" ht="16.5" hidden="false" customHeight="true" outlineLevel="0" collapsed="false">
      <c r="A418" s="72" t="str">
        <f aca="false">IF($B418="","",ROW()-7)</f>
        <v/>
      </c>
      <c r="B418" s="73"/>
      <c r="C418" s="74" t="str">
        <f aca="false">IF($B418="","",YEAR($B418)*100+MONTH($B418))</f>
        <v/>
      </c>
      <c r="D418" s="75"/>
      <c r="E418" s="76"/>
      <c r="F418" s="76"/>
      <c r="G418" s="77"/>
      <c r="H418" s="78"/>
      <c r="I418" s="79"/>
      <c r="J418" s="80" t="str">
        <f aca="false">IF($B418="","",IF(N($H418)&lt;=0,"Montant ?",IF($D418="RECETTE",IF(COUNTIF(PARAMETRES!$E$5:$E$9,$E418)=0,"Catégorie ?","OK"),IF($D418="DEPENSE",IF(COUNTIF(PARAMETRES!$G$5:$G$20,$E418)=0,"Catégorie ?","OK"),"Type ?"))))</f>
        <v/>
      </c>
    </row>
    <row r="419" customFormat="false" ht="16.5" hidden="false" customHeight="true" outlineLevel="0" collapsed="false">
      <c r="A419" s="81" t="str">
        <f aca="false">IF($B419="","",ROW()-7)</f>
        <v/>
      </c>
      <c r="B419" s="82"/>
      <c r="C419" s="83" t="str">
        <f aca="false">IF($B419="","",YEAR($B419)*100+MONTH($B419))</f>
        <v/>
      </c>
      <c r="D419" s="84"/>
      <c r="E419" s="85"/>
      <c r="F419" s="85"/>
      <c r="G419" s="86"/>
      <c r="H419" s="87"/>
      <c r="I419" s="88"/>
      <c r="J419" s="89" t="str">
        <f aca="false">IF($B419="","",IF(N($H419)&lt;=0,"Montant ?",IF($D419="RECETTE",IF(COUNTIF(PARAMETRES!$E$5:$E$9,$E419)=0,"Catégorie ?","OK"),IF($D419="DEPENSE",IF(COUNTIF(PARAMETRES!$G$5:$G$20,$E419)=0,"Catégorie ?","OK"),"Type ?"))))</f>
        <v/>
      </c>
    </row>
    <row r="420" customFormat="false" ht="16.5" hidden="false" customHeight="true" outlineLevel="0" collapsed="false">
      <c r="A420" s="72" t="str">
        <f aca="false">IF($B420="","",ROW()-7)</f>
        <v/>
      </c>
      <c r="B420" s="73"/>
      <c r="C420" s="74" t="str">
        <f aca="false">IF($B420="","",YEAR($B420)*100+MONTH($B420))</f>
        <v/>
      </c>
      <c r="D420" s="75"/>
      <c r="E420" s="76"/>
      <c r="F420" s="76"/>
      <c r="G420" s="77"/>
      <c r="H420" s="78"/>
      <c r="I420" s="79"/>
      <c r="J420" s="80" t="str">
        <f aca="false">IF($B420="","",IF(N($H420)&lt;=0,"Montant ?",IF($D420="RECETTE",IF(COUNTIF(PARAMETRES!$E$5:$E$9,$E420)=0,"Catégorie ?","OK"),IF($D420="DEPENSE",IF(COUNTIF(PARAMETRES!$G$5:$G$20,$E420)=0,"Catégorie ?","OK"),"Type ?"))))</f>
        <v/>
      </c>
    </row>
    <row r="421" customFormat="false" ht="16.5" hidden="false" customHeight="true" outlineLevel="0" collapsed="false">
      <c r="A421" s="81" t="str">
        <f aca="false">IF($B421="","",ROW()-7)</f>
        <v/>
      </c>
      <c r="B421" s="82"/>
      <c r="C421" s="83" t="str">
        <f aca="false">IF($B421="","",YEAR($B421)*100+MONTH($B421))</f>
        <v/>
      </c>
      <c r="D421" s="84"/>
      <c r="E421" s="85"/>
      <c r="F421" s="85"/>
      <c r="G421" s="86"/>
      <c r="H421" s="87"/>
      <c r="I421" s="88"/>
      <c r="J421" s="89" t="str">
        <f aca="false">IF($B421="","",IF(N($H421)&lt;=0,"Montant ?",IF($D421="RECETTE",IF(COUNTIF(PARAMETRES!$E$5:$E$9,$E421)=0,"Catégorie ?","OK"),IF($D421="DEPENSE",IF(COUNTIF(PARAMETRES!$G$5:$G$20,$E421)=0,"Catégorie ?","OK"),"Type ?"))))</f>
        <v/>
      </c>
    </row>
    <row r="422" customFormat="false" ht="16.5" hidden="false" customHeight="true" outlineLevel="0" collapsed="false">
      <c r="A422" s="72" t="str">
        <f aca="false">IF($B422="","",ROW()-7)</f>
        <v/>
      </c>
      <c r="B422" s="73"/>
      <c r="C422" s="74" t="str">
        <f aca="false">IF($B422="","",YEAR($B422)*100+MONTH($B422))</f>
        <v/>
      </c>
      <c r="D422" s="75"/>
      <c r="E422" s="76"/>
      <c r="F422" s="76"/>
      <c r="G422" s="77"/>
      <c r="H422" s="78"/>
      <c r="I422" s="79"/>
      <c r="J422" s="80" t="str">
        <f aca="false">IF($B422="","",IF(N($H422)&lt;=0,"Montant ?",IF($D422="RECETTE",IF(COUNTIF(PARAMETRES!$E$5:$E$9,$E422)=0,"Catégorie ?","OK"),IF($D422="DEPENSE",IF(COUNTIF(PARAMETRES!$G$5:$G$20,$E422)=0,"Catégorie ?","OK"),"Type ?"))))</f>
        <v/>
      </c>
    </row>
    <row r="423" customFormat="false" ht="16.5" hidden="false" customHeight="true" outlineLevel="0" collapsed="false">
      <c r="A423" s="81" t="str">
        <f aca="false">IF($B423="","",ROW()-7)</f>
        <v/>
      </c>
      <c r="B423" s="82"/>
      <c r="C423" s="83" t="str">
        <f aca="false">IF($B423="","",YEAR($B423)*100+MONTH($B423))</f>
        <v/>
      </c>
      <c r="D423" s="84"/>
      <c r="E423" s="85"/>
      <c r="F423" s="85"/>
      <c r="G423" s="86"/>
      <c r="H423" s="87"/>
      <c r="I423" s="88"/>
      <c r="J423" s="89" t="str">
        <f aca="false">IF($B423="","",IF(N($H423)&lt;=0,"Montant ?",IF($D423="RECETTE",IF(COUNTIF(PARAMETRES!$E$5:$E$9,$E423)=0,"Catégorie ?","OK"),IF($D423="DEPENSE",IF(COUNTIF(PARAMETRES!$G$5:$G$20,$E423)=0,"Catégorie ?","OK"),"Type ?"))))</f>
        <v/>
      </c>
    </row>
    <row r="424" customFormat="false" ht="16.5" hidden="false" customHeight="true" outlineLevel="0" collapsed="false">
      <c r="A424" s="72" t="str">
        <f aca="false">IF($B424="","",ROW()-7)</f>
        <v/>
      </c>
      <c r="B424" s="73"/>
      <c r="C424" s="74" t="str">
        <f aca="false">IF($B424="","",YEAR($B424)*100+MONTH($B424))</f>
        <v/>
      </c>
      <c r="D424" s="75"/>
      <c r="E424" s="76"/>
      <c r="F424" s="76"/>
      <c r="G424" s="77"/>
      <c r="H424" s="78"/>
      <c r="I424" s="79"/>
      <c r="J424" s="80" t="str">
        <f aca="false">IF($B424="","",IF(N($H424)&lt;=0,"Montant ?",IF($D424="RECETTE",IF(COUNTIF(PARAMETRES!$E$5:$E$9,$E424)=0,"Catégorie ?","OK"),IF($D424="DEPENSE",IF(COUNTIF(PARAMETRES!$G$5:$G$20,$E424)=0,"Catégorie ?","OK"),"Type ?"))))</f>
        <v/>
      </c>
    </row>
    <row r="425" customFormat="false" ht="16.5" hidden="false" customHeight="true" outlineLevel="0" collapsed="false">
      <c r="A425" s="81" t="str">
        <f aca="false">IF($B425="","",ROW()-7)</f>
        <v/>
      </c>
      <c r="B425" s="82"/>
      <c r="C425" s="83" t="str">
        <f aca="false">IF($B425="","",YEAR($B425)*100+MONTH($B425))</f>
        <v/>
      </c>
      <c r="D425" s="84"/>
      <c r="E425" s="85"/>
      <c r="F425" s="85"/>
      <c r="G425" s="86"/>
      <c r="H425" s="87"/>
      <c r="I425" s="88"/>
      <c r="J425" s="89" t="str">
        <f aca="false">IF($B425="","",IF(N($H425)&lt;=0,"Montant ?",IF($D425="RECETTE",IF(COUNTIF(PARAMETRES!$E$5:$E$9,$E425)=0,"Catégorie ?","OK"),IF($D425="DEPENSE",IF(COUNTIF(PARAMETRES!$G$5:$G$20,$E425)=0,"Catégorie ?","OK"),"Type ?"))))</f>
        <v/>
      </c>
    </row>
    <row r="426" customFormat="false" ht="16.5" hidden="false" customHeight="true" outlineLevel="0" collapsed="false">
      <c r="A426" s="72" t="str">
        <f aca="false">IF($B426="","",ROW()-7)</f>
        <v/>
      </c>
      <c r="B426" s="73"/>
      <c r="C426" s="74" t="str">
        <f aca="false">IF($B426="","",YEAR($B426)*100+MONTH($B426))</f>
        <v/>
      </c>
      <c r="D426" s="75"/>
      <c r="E426" s="76"/>
      <c r="F426" s="76"/>
      <c r="G426" s="77"/>
      <c r="H426" s="78"/>
      <c r="I426" s="79"/>
      <c r="J426" s="80" t="str">
        <f aca="false">IF($B426="","",IF(N($H426)&lt;=0,"Montant ?",IF($D426="RECETTE",IF(COUNTIF(PARAMETRES!$E$5:$E$9,$E426)=0,"Catégorie ?","OK"),IF($D426="DEPENSE",IF(COUNTIF(PARAMETRES!$G$5:$G$20,$E426)=0,"Catégorie ?","OK"),"Type ?"))))</f>
        <v/>
      </c>
    </row>
    <row r="427" customFormat="false" ht="16.5" hidden="false" customHeight="true" outlineLevel="0" collapsed="false">
      <c r="A427" s="81" t="str">
        <f aca="false">IF($B427="","",ROW()-7)</f>
        <v/>
      </c>
      <c r="B427" s="82"/>
      <c r="C427" s="83" t="str">
        <f aca="false">IF($B427="","",YEAR($B427)*100+MONTH($B427))</f>
        <v/>
      </c>
      <c r="D427" s="84"/>
      <c r="E427" s="85"/>
      <c r="F427" s="85"/>
      <c r="G427" s="86"/>
      <c r="H427" s="87"/>
      <c r="I427" s="88"/>
      <c r="J427" s="89" t="str">
        <f aca="false">IF($B427="","",IF(N($H427)&lt;=0,"Montant ?",IF($D427="RECETTE",IF(COUNTIF(PARAMETRES!$E$5:$E$9,$E427)=0,"Catégorie ?","OK"),IF($D427="DEPENSE",IF(COUNTIF(PARAMETRES!$G$5:$G$20,$E427)=0,"Catégorie ?","OK"),"Type ?"))))</f>
        <v/>
      </c>
    </row>
    <row r="428" customFormat="false" ht="16.5" hidden="false" customHeight="true" outlineLevel="0" collapsed="false">
      <c r="A428" s="72" t="str">
        <f aca="false">IF($B428="","",ROW()-7)</f>
        <v/>
      </c>
      <c r="B428" s="73"/>
      <c r="C428" s="74" t="str">
        <f aca="false">IF($B428="","",YEAR($B428)*100+MONTH($B428))</f>
        <v/>
      </c>
      <c r="D428" s="75"/>
      <c r="E428" s="76"/>
      <c r="F428" s="76"/>
      <c r="G428" s="77"/>
      <c r="H428" s="78"/>
      <c r="I428" s="79"/>
      <c r="J428" s="80" t="str">
        <f aca="false">IF($B428="","",IF(N($H428)&lt;=0,"Montant ?",IF($D428="RECETTE",IF(COUNTIF(PARAMETRES!$E$5:$E$9,$E428)=0,"Catégorie ?","OK"),IF($D428="DEPENSE",IF(COUNTIF(PARAMETRES!$G$5:$G$20,$E428)=0,"Catégorie ?","OK"),"Type ?"))))</f>
        <v/>
      </c>
    </row>
    <row r="429" customFormat="false" ht="16.5" hidden="false" customHeight="true" outlineLevel="0" collapsed="false">
      <c r="A429" s="81" t="str">
        <f aca="false">IF($B429="","",ROW()-7)</f>
        <v/>
      </c>
      <c r="B429" s="82"/>
      <c r="C429" s="83" t="str">
        <f aca="false">IF($B429="","",YEAR($B429)*100+MONTH($B429))</f>
        <v/>
      </c>
      <c r="D429" s="84"/>
      <c r="E429" s="85"/>
      <c r="F429" s="85"/>
      <c r="G429" s="86"/>
      <c r="H429" s="87"/>
      <c r="I429" s="88"/>
      <c r="J429" s="89" t="str">
        <f aca="false">IF($B429="","",IF(N($H429)&lt;=0,"Montant ?",IF($D429="RECETTE",IF(COUNTIF(PARAMETRES!$E$5:$E$9,$E429)=0,"Catégorie ?","OK"),IF($D429="DEPENSE",IF(COUNTIF(PARAMETRES!$G$5:$G$20,$E429)=0,"Catégorie ?","OK"),"Type ?"))))</f>
        <v/>
      </c>
    </row>
    <row r="430" customFormat="false" ht="16.5" hidden="false" customHeight="true" outlineLevel="0" collapsed="false">
      <c r="A430" s="72" t="str">
        <f aca="false">IF($B430="","",ROW()-7)</f>
        <v/>
      </c>
      <c r="B430" s="73"/>
      <c r="C430" s="74" t="str">
        <f aca="false">IF($B430="","",YEAR($B430)*100+MONTH($B430))</f>
        <v/>
      </c>
      <c r="D430" s="75"/>
      <c r="E430" s="76"/>
      <c r="F430" s="76"/>
      <c r="G430" s="77"/>
      <c r="H430" s="78"/>
      <c r="I430" s="79"/>
      <c r="J430" s="80" t="str">
        <f aca="false">IF($B430="","",IF(N($H430)&lt;=0,"Montant ?",IF($D430="RECETTE",IF(COUNTIF(PARAMETRES!$E$5:$E$9,$E430)=0,"Catégorie ?","OK"),IF($D430="DEPENSE",IF(COUNTIF(PARAMETRES!$G$5:$G$20,$E430)=0,"Catégorie ?","OK"),"Type ?"))))</f>
        <v/>
      </c>
    </row>
    <row r="431" customFormat="false" ht="16.5" hidden="false" customHeight="true" outlineLevel="0" collapsed="false">
      <c r="A431" s="81" t="str">
        <f aca="false">IF($B431="","",ROW()-7)</f>
        <v/>
      </c>
      <c r="B431" s="82"/>
      <c r="C431" s="83" t="str">
        <f aca="false">IF($B431="","",YEAR($B431)*100+MONTH($B431))</f>
        <v/>
      </c>
      <c r="D431" s="84"/>
      <c r="E431" s="85"/>
      <c r="F431" s="85"/>
      <c r="G431" s="86"/>
      <c r="H431" s="87"/>
      <c r="I431" s="88"/>
      <c r="J431" s="89" t="str">
        <f aca="false">IF($B431="","",IF(N($H431)&lt;=0,"Montant ?",IF($D431="RECETTE",IF(COUNTIF(PARAMETRES!$E$5:$E$9,$E431)=0,"Catégorie ?","OK"),IF($D431="DEPENSE",IF(COUNTIF(PARAMETRES!$G$5:$G$20,$E431)=0,"Catégorie ?","OK"),"Type ?"))))</f>
        <v/>
      </c>
    </row>
    <row r="432" customFormat="false" ht="16.5" hidden="false" customHeight="true" outlineLevel="0" collapsed="false">
      <c r="A432" s="72" t="str">
        <f aca="false">IF($B432="","",ROW()-7)</f>
        <v/>
      </c>
      <c r="B432" s="73"/>
      <c r="C432" s="74" t="str">
        <f aca="false">IF($B432="","",YEAR($B432)*100+MONTH($B432))</f>
        <v/>
      </c>
      <c r="D432" s="75"/>
      <c r="E432" s="76"/>
      <c r="F432" s="76"/>
      <c r="G432" s="77"/>
      <c r="H432" s="78"/>
      <c r="I432" s="79"/>
      <c r="J432" s="80" t="str">
        <f aca="false">IF($B432="","",IF(N($H432)&lt;=0,"Montant ?",IF($D432="RECETTE",IF(COUNTIF(PARAMETRES!$E$5:$E$9,$E432)=0,"Catégorie ?","OK"),IF($D432="DEPENSE",IF(COUNTIF(PARAMETRES!$G$5:$G$20,$E432)=0,"Catégorie ?","OK"),"Type ?"))))</f>
        <v/>
      </c>
    </row>
    <row r="433" customFormat="false" ht="16.5" hidden="false" customHeight="true" outlineLevel="0" collapsed="false">
      <c r="A433" s="81" t="str">
        <f aca="false">IF($B433="","",ROW()-7)</f>
        <v/>
      </c>
      <c r="B433" s="82"/>
      <c r="C433" s="83" t="str">
        <f aca="false">IF($B433="","",YEAR($B433)*100+MONTH($B433))</f>
        <v/>
      </c>
      <c r="D433" s="84"/>
      <c r="E433" s="85"/>
      <c r="F433" s="85"/>
      <c r="G433" s="86"/>
      <c r="H433" s="87"/>
      <c r="I433" s="88"/>
      <c r="J433" s="89" t="str">
        <f aca="false">IF($B433="","",IF(N($H433)&lt;=0,"Montant ?",IF($D433="RECETTE",IF(COUNTIF(PARAMETRES!$E$5:$E$9,$E433)=0,"Catégorie ?","OK"),IF($D433="DEPENSE",IF(COUNTIF(PARAMETRES!$G$5:$G$20,$E433)=0,"Catégorie ?","OK"),"Type ?"))))</f>
        <v/>
      </c>
    </row>
    <row r="434" customFormat="false" ht="16.5" hidden="false" customHeight="true" outlineLevel="0" collapsed="false">
      <c r="A434" s="72" t="str">
        <f aca="false">IF($B434="","",ROW()-7)</f>
        <v/>
      </c>
      <c r="B434" s="73"/>
      <c r="C434" s="74" t="str">
        <f aca="false">IF($B434="","",YEAR($B434)*100+MONTH($B434))</f>
        <v/>
      </c>
      <c r="D434" s="75"/>
      <c r="E434" s="76"/>
      <c r="F434" s="76"/>
      <c r="G434" s="77"/>
      <c r="H434" s="78"/>
      <c r="I434" s="79"/>
      <c r="J434" s="80" t="str">
        <f aca="false">IF($B434="","",IF(N($H434)&lt;=0,"Montant ?",IF($D434="RECETTE",IF(COUNTIF(PARAMETRES!$E$5:$E$9,$E434)=0,"Catégorie ?","OK"),IF($D434="DEPENSE",IF(COUNTIF(PARAMETRES!$G$5:$G$20,$E434)=0,"Catégorie ?","OK"),"Type ?"))))</f>
        <v/>
      </c>
    </row>
    <row r="435" customFormat="false" ht="16.5" hidden="false" customHeight="true" outlineLevel="0" collapsed="false">
      <c r="A435" s="81" t="str">
        <f aca="false">IF($B435="","",ROW()-7)</f>
        <v/>
      </c>
      <c r="B435" s="82"/>
      <c r="C435" s="83" t="str">
        <f aca="false">IF($B435="","",YEAR($B435)*100+MONTH($B435))</f>
        <v/>
      </c>
      <c r="D435" s="84"/>
      <c r="E435" s="85"/>
      <c r="F435" s="85"/>
      <c r="G435" s="86"/>
      <c r="H435" s="87"/>
      <c r="I435" s="88"/>
      <c r="J435" s="89" t="str">
        <f aca="false">IF($B435="","",IF(N($H435)&lt;=0,"Montant ?",IF($D435="RECETTE",IF(COUNTIF(PARAMETRES!$E$5:$E$9,$E435)=0,"Catégorie ?","OK"),IF($D435="DEPENSE",IF(COUNTIF(PARAMETRES!$G$5:$G$20,$E435)=0,"Catégorie ?","OK"),"Type ?"))))</f>
        <v/>
      </c>
    </row>
    <row r="436" customFormat="false" ht="16.5" hidden="false" customHeight="true" outlineLevel="0" collapsed="false">
      <c r="A436" s="72" t="str">
        <f aca="false">IF($B436="","",ROW()-7)</f>
        <v/>
      </c>
      <c r="B436" s="73"/>
      <c r="C436" s="74" t="str">
        <f aca="false">IF($B436="","",YEAR($B436)*100+MONTH($B436))</f>
        <v/>
      </c>
      <c r="D436" s="75"/>
      <c r="E436" s="76"/>
      <c r="F436" s="76"/>
      <c r="G436" s="77"/>
      <c r="H436" s="78"/>
      <c r="I436" s="79"/>
      <c r="J436" s="80" t="str">
        <f aca="false">IF($B436="","",IF(N($H436)&lt;=0,"Montant ?",IF($D436="RECETTE",IF(COUNTIF(PARAMETRES!$E$5:$E$9,$E436)=0,"Catégorie ?","OK"),IF($D436="DEPENSE",IF(COUNTIF(PARAMETRES!$G$5:$G$20,$E436)=0,"Catégorie ?","OK"),"Type ?"))))</f>
        <v/>
      </c>
    </row>
    <row r="437" customFormat="false" ht="16.5" hidden="false" customHeight="true" outlineLevel="0" collapsed="false">
      <c r="A437" s="81" t="str">
        <f aca="false">IF($B437="","",ROW()-7)</f>
        <v/>
      </c>
      <c r="B437" s="82"/>
      <c r="C437" s="83" t="str">
        <f aca="false">IF($B437="","",YEAR($B437)*100+MONTH($B437))</f>
        <v/>
      </c>
      <c r="D437" s="84"/>
      <c r="E437" s="85"/>
      <c r="F437" s="85"/>
      <c r="G437" s="86"/>
      <c r="H437" s="87"/>
      <c r="I437" s="88"/>
      <c r="J437" s="89" t="str">
        <f aca="false">IF($B437="","",IF(N($H437)&lt;=0,"Montant ?",IF($D437="RECETTE",IF(COUNTIF(PARAMETRES!$E$5:$E$9,$E437)=0,"Catégorie ?","OK"),IF($D437="DEPENSE",IF(COUNTIF(PARAMETRES!$G$5:$G$20,$E437)=0,"Catégorie ?","OK"),"Type ?"))))</f>
        <v/>
      </c>
    </row>
    <row r="438" customFormat="false" ht="16.5" hidden="false" customHeight="true" outlineLevel="0" collapsed="false">
      <c r="A438" s="72" t="str">
        <f aca="false">IF($B438="","",ROW()-7)</f>
        <v/>
      </c>
      <c r="B438" s="73"/>
      <c r="C438" s="74" t="str">
        <f aca="false">IF($B438="","",YEAR($B438)*100+MONTH($B438))</f>
        <v/>
      </c>
      <c r="D438" s="75"/>
      <c r="E438" s="76"/>
      <c r="F438" s="76"/>
      <c r="G438" s="77"/>
      <c r="H438" s="78"/>
      <c r="I438" s="79"/>
      <c r="J438" s="80" t="str">
        <f aca="false">IF($B438="","",IF(N($H438)&lt;=0,"Montant ?",IF($D438="RECETTE",IF(COUNTIF(PARAMETRES!$E$5:$E$9,$E438)=0,"Catégorie ?","OK"),IF($D438="DEPENSE",IF(COUNTIF(PARAMETRES!$G$5:$G$20,$E438)=0,"Catégorie ?","OK"),"Type ?"))))</f>
        <v/>
      </c>
    </row>
    <row r="439" customFormat="false" ht="16.5" hidden="false" customHeight="true" outlineLevel="0" collapsed="false">
      <c r="A439" s="81" t="str">
        <f aca="false">IF($B439="","",ROW()-7)</f>
        <v/>
      </c>
      <c r="B439" s="82"/>
      <c r="C439" s="83" t="str">
        <f aca="false">IF($B439="","",YEAR($B439)*100+MONTH($B439))</f>
        <v/>
      </c>
      <c r="D439" s="84"/>
      <c r="E439" s="85"/>
      <c r="F439" s="85"/>
      <c r="G439" s="86"/>
      <c r="H439" s="87"/>
      <c r="I439" s="88"/>
      <c r="J439" s="89" t="str">
        <f aca="false">IF($B439="","",IF(N($H439)&lt;=0,"Montant ?",IF($D439="RECETTE",IF(COUNTIF(PARAMETRES!$E$5:$E$9,$E439)=0,"Catégorie ?","OK"),IF($D439="DEPENSE",IF(COUNTIF(PARAMETRES!$G$5:$G$20,$E439)=0,"Catégorie ?","OK"),"Type ?"))))</f>
        <v/>
      </c>
    </row>
    <row r="440" customFormat="false" ht="16.5" hidden="false" customHeight="true" outlineLevel="0" collapsed="false">
      <c r="A440" s="72" t="str">
        <f aca="false">IF($B440="","",ROW()-7)</f>
        <v/>
      </c>
      <c r="B440" s="73"/>
      <c r="C440" s="74" t="str">
        <f aca="false">IF($B440="","",YEAR($B440)*100+MONTH($B440))</f>
        <v/>
      </c>
      <c r="D440" s="75"/>
      <c r="E440" s="76"/>
      <c r="F440" s="76"/>
      <c r="G440" s="77"/>
      <c r="H440" s="78"/>
      <c r="I440" s="79"/>
      <c r="J440" s="80" t="str">
        <f aca="false">IF($B440="","",IF(N($H440)&lt;=0,"Montant ?",IF($D440="RECETTE",IF(COUNTIF(PARAMETRES!$E$5:$E$9,$E440)=0,"Catégorie ?","OK"),IF($D440="DEPENSE",IF(COUNTIF(PARAMETRES!$G$5:$G$20,$E440)=0,"Catégorie ?","OK"),"Type ?"))))</f>
        <v/>
      </c>
    </row>
    <row r="441" customFormat="false" ht="16.5" hidden="false" customHeight="true" outlineLevel="0" collapsed="false">
      <c r="A441" s="81" t="str">
        <f aca="false">IF($B441="","",ROW()-7)</f>
        <v/>
      </c>
      <c r="B441" s="82"/>
      <c r="C441" s="83" t="str">
        <f aca="false">IF($B441="","",YEAR($B441)*100+MONTH($B441))</f>
        <v/>
      </c>
      <c r="D441" s="84"/>
      <c r="E441" s="85"/>
      <c r="F441" s="85"/>
      <c r="G441" s="86"/>
      <c r="H441" s="87"/>
      <c r="I441" s="88"/>
      <c r="J441" s="89" t="str">
        <f aca="false">IF($B441="","",IF(N($H441)&lt;=0,"Montant ?",IF($D441="RECETTE",IF(COUNTIF(PARAMETRES!$E$5:$E$9,$E441)=0,"Catégorie ?","OK"),IF($D441="DEPENSE",IF(COUNTIF(PARAMETRES!$G$5:$G$20,$E441)=0,"Catégorie ?","OK"),"Type ?"))))</f>
        <v/>
      </c>
    </row>
    <row r="442" customFormat="false" ht="16.5" hidden="false" customHeight="true" outlineLevel="0" collapsed="false">
      <c r="A442" s="72" t="str">
        <f aca="false">IF($B442="","",ROW()-7)</f>
        <v/>
      </c>
      <c r="B442" s="73"/>
      <c r="C442" s="74" t="str">
        <f aca="false">IF($B442="","",YEAR($B442)*100+MONTH($B442))</f>
        <v/>
      </c>
      <c r="D442" s="75"/>
      <c r="E442" s="76"/>
      <c r="F442" s="76"/>
      <c r="G442" s="77"/>
      <c r="H442" s="78"/>
      <c r="I442" s="79"/>
      <c r="J442" s="80" t="str">
        <f aca="false">IF($B442="","",IF(N($H442)&lt;=0,"Montant ?",IF($D442="RECETTE",IF(COUNTIF(PARAMETRES!$E$5:$E$9,$E442)=0,"Catégorie ?","OK"),IF($D442="DEPENSE",IF(COUNTIF(PARAMETRES!$G$5:$G$20,$E442)=0,"Catégorie ?","OK"),"Type ?"))))</f>
        <v/>
      </c>
    </row>
    <row r="443" customFormat="false" ht="16.5" hidden="false" customHeight="true" outlineLevel="0" collapsed="false">
      <c r="A443" s="81" t="str">
        <f aca="false">IF($B443="","",ROW()-7)</f>
        <v/>
      </c>
      <c r="B443" s="82"/>
      <c r="C443" s="83" t="str">
        <f aca="false">IF($B443="","",YEAR($B443)*100+MONTH($B443))</f>
        <v/>
      </c>
      <c r="D443" s="84"/>
      <c r="E443" s="85"/>
      <c r="F443" s="85"/>
      <c r="G443" s="86"/>
      <c r="H443" s="87"/>
      <c r="I443" s="88"/>
      <c r="J443" s="89" t="str">
        <f aca="false">IF($B443="","",IF(N($H443)&lt;=0,"Montant ?",IF($D443="RECETTE",IF(COUNTIF(PARAMETRES!$E$5:$E$9,$E443)=0,"Catégorie ?","OK"),IF($D443="DEPENSE",IF(COUNTIF(PARAMETRES!$G$5:$G$20,$E443)=0,"Catégorie ?","OK"),"Type ?"))))</f>
        <v/>
      </c>
    </row>
    <row r="444" customFormat="false" ht="16.5" hidden="false" customHeight="true" outlineLevel="0" collapsed="false">
      <c r="A444" s="72" t="str">
        <f aca="false">IF($B444="","",ROW()-7)</f>
        <v/>
      </c>
      <c r="B444" s="73"/>
      <c r="C444" s="74" t="str">
        <f aca="false">IF($B444="","",YEAR($B444)*100+MONTH($B444))</f>
        <v/>
      </c>
      <c r="D444" s="75"/>
      <c r="E444" s="76"/>
      <c r="F444" s="76"/>
      <c r="G444" s="77"/>
      <c r="H444" s="78"/>
      <c r="I444" s="79"/>
      <c r="J444" s="80" t="str">
        <f aca="false">IF($B444="","",IF(N($H444)&lt;=0,"Montant ?",IF($D444="RECETTE",IF(COUNTIF(PARAMETRES!$E$5:$E$9,$E444)=0,"Catégorie ?","OK"),IF($D444="DEPENSE",IF(COUNTIF(PARAMETRES!$G$5:$G$20,$E444)=0,"Catégorie ?","OK"),"Type ?"))))</f>
        <v/>
      </c>
    </row>
    <row r="445" customFormat="false" ht="16.5" hidden="false" customHeight="true" outlineLevel="0" collapsed="false">
      <c r="A445" s="81" t="str">
        <f aca="false">IF($B445="","",ROW()-7)</f>
        <v/>
      </c>
      <c r="B445" s="82"/>
      <c r="C445" s="83" t="str">
        <f aca="false">IF($B445="","",YEAR($B445)*100+MONTH($B445))</f>
        <v/>
      </c>
      <c r="D445" s="84"/>
      <c r="E445" s="85"/>
      <c r="F445" s="85"/>
      <c r="G445" s="86"/>
      <c r="H445" s="87"/>
      <c r="I445" s="88"/>
      <c r="J445" s="89" t="str">
        <f aca="false">IF($B445="","",IF(N($H445)&lt;=0,"Montant ?",IF($D445="RECETTE",IF(COUNTIF(PARAMETRES!$E$5:$E$9,$E445)=0,"Catégorie ?","OK"),IF($D445="DEPENSE",IF(COUNTIF(PARAMETRES!$G$5:$G$20,$E445)=0,"Catégorie ?","OK"),"Type ?"))))</f>
        <v/>
      </c>
    </row>
    <row r="446" customFormat="false" ht="16.5" hidden="false" customHeight="true" outlineLevel="0" collapsed="false">
      <c r="A446" s="72" t="str">
        <f aca="false">IF($B446="","",ROW()-7)</f>
        <v/>
      </c>
      <c r="B446" s="73"/>
      <c r="C446" s="74" t="str">
        <f aca="false">IF($B446="","",YEAR($B446)*100+MONTH($B446))</f>
        <v/>
      </c>
      <c r="D446" s="75"/>
      <c r="E446" s="76"/>
      <c r="F446" s="76"/>
      <c r="G446" s="77"/>
      <c r="H446" s="78"/>
      <c r="I446" s="79"/>
      <c r="J446" s="80" t="str">
        <f aca="false">IF($B446="","",IF(N($H446)&lt;=0,"Montant ?",IF($D446="RECETTE",IF(COUNTIF(PARAMETRES!$E$5:$E$9,$E446)=0,"Catégorie ?","OK"),IF($D446="DEPENSE",IF(COUNTIF(PARAMETRES!$G$5:$G$20,$E446)=0,"Catégorie ?","OK"),"Type ?"))))</f>
        <v/>
      </c>
    </row>
    <row r="447" customFormat="false" ht="16.5" hidden="false" customHeight="true" outlineLevel="0" collapsed="false">
      <c r="A447" s="81" t="str">
        <f aca="false">IF($B447="","",ROW()-7)</f>
        <v/>
      </c>
      <c r="B447" s="82"/>
      <c r="C447" s="83" t="str">
        <f aca="false">IF($B447="","",YEAR($B447)*100+MONTH($B447))</f>
        <v/>
      </c>
      <c r="D447" s="84"/>
      <c r="E447" s="85"/>
      <c r="F447" s="85"/>
      <c r="G447" s="86"/>
      <c r="H447" s="87"/>
      <c r="I447" s="88"/>
      <c r="J447" s="89" t="str">
        <f aca="false">IF($B447="","",IF(N($H447)&lt;=0,"Montant ?",IF($D447="RECETTE",IF(COUNTIF(PARAMETRES!$E$5:$E$9,$E447)=0,"Catégorie ?","OK"),IF($D447="DEPENSE",IF(COUNTIF(PARAMETRES!$G$5:$G$20,$E447)=0,"Catégorie ?","OK"),"Type ?"))))</f>
        <v/>
      </c>
    </row>
    <row r="448" customFormat="false" ht="16.5" hidden="false" customHeight="true" outlineLevel="0" collapsed="false">
      <c r="A448" s="72" t="str">
        <f aca="false">IF($B448="","",ROW()-7)</f>
        <v/>
      </c>
      <c r="B448" s="73"/>
      <c r="C448" s="74" t="str">
        <f aca="false">IF($B448="","",YEAR($B448)*100+MONTH($B448))</f>
        <v/>
      </c>
      <c r="D448" s="75"/>
      <c r="E448" s="76"/>
      <c r="F448" s="76"/>
      <c r="G448" s="77"/>
      <c r="H448" s="78"/>
      <c r="I448" s="79"/>
      <c r="J448" s="80" t="str">
        <f aca="false">IF($B448="","",IF(N($H448)&lt;=0,"Montant ?",IF($D448="RECETTE",IF(COUNTIF(PARAMETRES!$E$5:$E$9,$E448)=0,"Catégorie ?","OK"),IF($D448="DEPENSE",IF(COUNTIF(PARAMETRES!$G$5:$G$20,$E448)=0,"Catégorie ?","OK"),"Type ?"))))</f>
        <v/>
      </c>
    </row>
    <row r="449" customFormat="false" ht="16.5" hidden="false" customHeight="true" outlineLevel="0" collapsed="false">
      <c r="A449" s="81" t="str">
        <f aca="false">IF($B449="","",ROW()-7)</f>
        <v/>
      </c>
      <c r="B449" s="82"/>
      <c r="C449" s="83" t="str">
        <f aca="false">IF($B449="","",YEAR($B449)*100+MONTH($B449))</f>
        <v/>
      </c>
      <c r="D449" s="84"/>
      <c r="E449" s="85"/>
      <c r="F449" s="85"/>
      <c r="G449" s="86"/>
      <c r="H449" s="87"/>
      <c r="I449" s="88"/>
      <c r="J449" s="89" t="str">
        <f aca="false">IF($B449="","",IF(N($H449)&lt;=0,"Montant ?",IF($D449="RECETTE",IF(COUNTIF(PARAMETRES!$E$5:$E$9,$E449)=0,"Catégorie ?","OK"),IF($D449="DEPENSE",IF(COUNTIF(PARAMETRES!$G$5:$G$20,$E449)=0,"Catégorie ?","OK"),"Type ?"))))</f>
        <v/>
      </c>
    </row>
    <row r="450" customFormat="false" ht="16.5" hidden="false" customHeight="true" outlineLevel="0" collapsed="false">
      <c r="A450" s="72" t="str">
        <f aca="false">IF($B450="","",ROW()-7)</f>
        <v/>
      </c>
      <c r="B450" s="73"/>
      <c r="C450" s="74" t="str">
        <f aca="false">IF($B450="","",YEAR($B450)*100+MONTH($B450))</f>
        <v/>
      </c>
      <c r="D450" s="75"/>
      <c r="E450" s="76"/>
      <c r="F450" s="76"/>
      <c r="G450" s="77"/>
      <c r="H450" s="78"/>
      <c r="I450" s="79"/>
      <c r="J450" s="80" t="str">
        <f aca="false">IF($B450="","",IF(N($H450)&lt;=0,"Montant ?",IF($D450="RECETTE",IF(COUNTIF(PARAMETRES!$E$5:$E$9,$E450)=0,"Catégorie ?","OK"),IF($D450="DEPENSE",IF(COUNTIF(PARAMETRES!$G$5:$G$20,$E450)=0,"Catégorie ?","OK"),"Type ?"))))</f>
        <v/>
      </c>
    </row>
    <row r="451" customFormat="false" ht="16.5" hidden="false" customHeight="true" outlineLevel="0" collapsed="false">
      <c r="A451" s="81" t="str">
        <f aca="false">IF($B451="","",ROW()-7)</f>
        <v/>
      </c>
      <c r="B451" s="82"/>
      <c r="C451" s="83" t="str">
        <f aca="false">IF($B451="","",YEAR($B451)*100+MONTH($B451))</f>
        <v/>
      </c>
      <c r="D451" s="84"/>
      <c r="E451" s="85"/>
      <c r="F451" s="85"/>
      <c r="G451" s="86"/>
      <c r="H451" s="87"/>
      <c r="I451" s="88"/>
      <c r="J451" s="89" t="str">
        <f aca="false">IF($B451="","",IF(N($H451)&lt;=0,"Montant ?",IF($D451="RECETTE",IF(COUNTIF(PARAMETRES!$E$5:$E$9,$E451)=0,"Catégorie ?","OK"),IF($D451="DEPENSE",IF(COUNTIF(PARAMETRES!$G$5:$G$20,$E451)=0,"Catégorie ?","OK"),"Type ?"))))</f>
        <v/>
      </c>
    </row>
    <row r="452" customFormat="false" ht="16.5" hidden="false" customHeight="true" outlineLevel="0" collapsed="false">
      <c r="A452" s="72" t="str">
        <f aca="false">IF($B452="","",ROW()-7)</f>
        <v/>
      </c>
      <c r="B452" s="73"/>
      <c r="C452" s="74" t="str">
        <f aca="false">IF($B452="","",YEAR($B452)*100+MONTH($B452))</f>
        <v/>
      </c>
      <c r="D452" s="75"/>
      <c r="E452" s="76"/>
      <c r="F452" s="76"/>
      <c r="G452" s="77"/>
      <c r="H452" s="78"/>
      <c r="I452" s="79"/>
      <c r="J452" s="80" t="str">
        <f aca="false">IF($B452="","",IF(N($H452)&lt;=0,"Montant ?",IF($D452="RECETTE",IF(COUNTIF(PARAMETRES!$E$5:$E$9,$E452)=0,"Catégorie ?","OK"),IF($D452="DEPENSE",IF(COUNTIF(PARAMETRES!$G$5:$G$20,$E452)=0,"Catégorie ?","OK"),"Type ?"))))</f>
        <v/>
      </c>
    </row>
    <row r="453" customFormat="false" ht="16.5" hidden="false" customHeight="true" outlineLevel="0" collapsed="false">
      <c r="A453" s="81" t="str">
        <f aca="false">IF($B453="","",ROW()-7)</f>
        <v/>
      </c>
      <c r="B453" s="82"/>
      <c r="C453" s="83" t="str">
        <f aca="false">IF($B453="","",YEAR($B453)*100+MONTH($B453))</f>
        <v/>
      </c>
      <c r="D453" s="84"/>
      <c r="E453" s="85"/>
      <c r="F453" s="85"/>
      <c r="G453" s="86"/>
      <c r="H453" s="87"/>
      <c r="I453" s="88"/>
      <c r="J453" s="89" t="str">
        <f aca="false">IF($B453="","",IF(N($H453)&lt;=0,"Montant ?",IF($D453="RECETTE",IF(COUNTIF(PARAMETRES!$E$5:$E$9,$E453)=0,"Catégorie ?","OK"),IF($D453="DEPENSE",IF(COUNTIF(PARAMETRES!$G$5:$G$20,$E453)=0,"Catégorie ?","OK"),"Type ?"))))</f>
        <v/>
      </c>
    </row>
    <row r="454" customFormat="false" ht="16.5" hidden="false" customHeight="true" outlineLevel="0" collapsed="false">
      <c r="A454" s="72" t="str">
        <f aca="false">IF($B454="","",ROW()-7)</f>
        <v/>
      </c>
      <c r="B454" s="73"/>
      <c r="C454" s="74" t="str">
        <f aca="false">IF($B454="","",YEAR($B454)*100+MONTH($B454))</f>
        <v/>
      </c>
      <c r="D454" s="75"/>
      <c r="E454" s="76"/>
      <c r="F454" s="76"/>
      <c r="G454" s="77"/>
      <c r="H454" s="78"/>
      <c r="I454" s="79"/>
      <c r="J454" s="80" t="str">
        <f aca="false">IF($B454="","",IF(N($H454)&lt;=0,"Montant ?",IF($D454="RECETTE",IF(COUNTIF(PARAMETRES!$E$5:$E$9,$E454)=0,"Catégorie ?","OK"),IF($D454="DEPENSE",IF(COUNTIF(PARAMETRES!$G$5:$G$20,$E454)=0,"Catégorie ?","OK"),"Type ?"))))</f>
        <v/>
      </c>
    </row>
    <row r="455" customFormat="false" ht="16.5" hidden="false" customHeight="true" outlineLevel="0" collapsed="false">
      <c r="A455" s="81" t="str">
        <f aca="false">IF($B455="","",ROW()-7)</f>
        <v/>
      </c>
      <c r="B455" s="82"/>
      <c r="C455" s="83" t="str">
        <f aca="false">IF($B455="","",YEAR($B455)*100+MONTH($B455))</f>
        <v/>
      </c>
      <c r="D455" s="84"/>
      <c r="E455" s="85"/>
      <c r="F455" s="85"/>
      <c r="G455" s="86"/>
      <c r="H455" s="87"/>
      <c r="I455" s="88"/>
      <c r="J455" s="89" t="str">
        <f aca="false">IF($B455="","",IF(N($H455)&lt;=0,"Montant ?",IF($D455="RECETTE",IF(COUNTIF(PARAMETRES!$E$5:$E$9,$E455)=0,"Catégorie ?","OK"),IF($D455="DEPENSE",IF(COUNTIF(PARAMETRES!$G$5:$G$20,$E455)=0,"Catégorie ?","OK"),"Type ?"))))</f>
        <v/>
      </c>
    </row>
    <row r="456" customFormat="false" ht="16.5" hidden="false" customHeight="true" outlineLevel="0" collapsed="false">
      <c r="A456" s="72" t="str">
        <f aca="false">IF($B456="","",ROW()-7)</f>
        <v/>
      </c>
      <c r="B456" s="73"/>
      <c r="C456" s="74" t="str">
        <f aca="false">IF($B456="","",YEAR($B456)*100+MONTH($B456))</f>
        <v/>
      </c>
      <c r="D456" s="75"/>
      <c r="E456" s="76"/>
      <c r="F456" s="76"/>
      <c r="G456" s="77"/>
      <c r="H456" s="78"/>
      <c r="I456" s="79"/>
      <c r="J456" s="80" t="str">
        <f aca="false">IF($B456="","",IF(N($H456)&lt;=0,"Montant ?",IF($D456="RECETTE",IF(COUNTIF(PARAMETRES!$E$5:$E$9,$E456)=0,"Catégorie ?","OK"),IF($D456="DEPENSE",IF(COUNTIF(PARAMETRES!$G$5:$G$20,$E456)=0,"Catégorie ?","OK"),"Type ?"))))</f>
        <v/>
      </c>
    </row>
    <row r="457" customFormat="false" ht="16.5" hidden="false" customHeight="true" outlineLevel="0" collapsed="false">
      <c r="A457" s="81" t="str">
        <f aca="false">IF($B457="","",ROW()-7)</f>
        <v/>
      </c>
      <c r="B457" s="82"/>
      <c r="C457" s="83" t="str">
        <f aca="false">IF($B457="","",YEAR($B457)*100+MONTH($B457))</f>
        <v/>
      </c>
      <c r="D457" s="84"/>
      <c r="E457" s="85"/>
      <c r="F457" s="85"/>
      <c r="G457" s="86"/>
      <c r="H457" s="87"/>
      <c r="I457" s="88"/>
      <c r="J457" s="89" t="str">
        <f aca="false">IF($B457="","",IF(N($H457)&lt;=0,"Montant ?",IF($D457="RECETTE",IF(COUNTIF(PARAMETRES!$E$5:$E$9,$E457)=0,"Catégorie ?","OK"),IF($D457="DEPENSE",IF(COUNTIF(PARAMETRES!$G$5:$G$20,$E457)=0,"Catégorie ?","OK"),"Type ?"))))</f>
        <v/>
      </c>
    </row>
    <row r="458" customFormat="false" ht="16.5" hidden="false" customHeight="true" outlineLevel="0" collapsed="false">
      <c r="A458" s="72" t="str">
        <f aca="false">IF($B458="","",ROW()-7)</f>
        <v/>
      </c>
      <c r="B458" s="73"/>
      <c r="C458" s="74" t="str">
        <f aca="false">IF($B458="","",YEAR($B458)*100+MONTH($B458))</f>
        <v/>
      </c>
      <c r="D458" s="75"/>
      <c r="E458" s="76"/>
      <c r="F458" s="76"/>
      <c r="G458" s="77"/>
      <c r="H458" s="78"/>
      <c r="I458" s="79"/>
      <c r="J458" s="80" t="str">
        <f aca="false">IF($B458="","",IF(N($H458)&lt;=0,"Montant ?",IF($D458="RECETTE",IF(COUNTIF(PARAMETRES!$E$5:$E$9,$E458)=0,"Catégorie ?","OK"),IF($D458="DEPENSE",IF(COUNTIF(PARAMETRES!$G$5:$G$20,$E458)=0,"Catégorie ?","OK"),"Type ?"))))</f>
        <v/>
      </c>
    </row>
    <row r="459" customFormat="false" ht="16.5" hidden="false" customHeight="true" outlineLevel="0" collapsed="false">
      <c r="A459" s="81" t="str">
        <f aca="false">IF($B459="","",ROW()-7)</f>
        <v/>
      </c>
      <c r="B459" s="82"/>
      <c r="C459" s="83" t="str">
        <f aca="false">IF($B459="","",YEAR($B459)*100+MONTH($B459))</f>
        <v/>
      </c>
      <c r="D459" s="84"/>
      <c r="E459" s="85"/>
      <c r="F459" s="85"/>
      <c r="G459" s="86"/>
      <c r="H459" s="87"/>
      <c r="I459" s="88"/>
      <c r="J459" s="89" t="str">
        <f aca="false">IF($B459="","",IF(N($H459)&lt;=0,"Montant ?",IF($D459="RECETTE",IF(COUNTIF(PARAMETRES!$E$5:$E$9,$E459)=0,"Catégorie ?","OK"),IF($D459="DEPENSE",IF(COUNTIF(PARAMETRES!$G$5:$G$20,$E459)=0,"Catégorie ?","OK"),"Type ?"))))</f>
        <v/>
      </c>
    </row>
    <row r="460" customFormat="false" ht="16.5" hidden="false" customHeight="true" outlineLevel="0" collapsed="false">
      <c r="A460" s="72" t="str">
        <f aca="false">IF($B460="","",ROW()-7)</f>
        <v/>
      </c>
      <c r="B460" s="73"/>
      <c r="C460" s="74" t="str">
        <f aca="false">IF($B460="","",YEAR($B460)*100+MONTH($B460))</f>
        <v/>
      </c>
      <c r="D460" s="75"/>
      <c r="E460" s="76"/>
      <c r="F460" s="76"/>
      <c r="G460" s="77"/>
      <c r="H460" s="78"/>
      <c r="I460" s="79"/>
      <c r="J460" s="80" t="str">
        <f aca="false">IF($B460="","",IF(N($H460)&lt;=0,"Montant ?",IF($D460="RECETTE",IF(COUNTIF(PARAMETRES!$E$5:$E$9,$E460)=0,"Catégorie ?","OK"),IF($D460="DEPENSE",IF(COUNTIF(PARAMETRES!$G$5:$G$20,$E460)=0,"Catégorie ?","OK"),"Type ?"))))</f>
        <v/>
      </c>
    </row>
    <row r="461" customFormat="false" ht="16.5" hidden="false" customHeight="true" outlineLevel="0" collapsed="false">
      <c r="A461" s="81" t="str">
        <f aca="false">IF($B461="","",ROW()-7)</f>
        <v/>
      </c>
      <c r="B461" s="82"/>
      <c r="C461" s="83" t="str">
        <f aca="false">IF($B461="","",YEAR($B461)*100+MONTH($B461))</f>
        <v/>
      </c>
      <c r="D461" s="84"/>
      <c r="E461" s="85"/>
      <c r="F461" s="85"/>
      <c r="G461" s="86"/>
      <c r="H461" s="87"/>
      <c r="I461" s="88"/>
      <c r="J461" s="89" t="str">
        <f aca="false">IF($B461="","",IF(N($H461)&lt;=0,"Montant ?",IF($D461="RECETTE",IF(COUNTIF(PARAMETRES!$E$5:$E$9,$E461)=0,"Catégorie ?","OK"),IF($D461="DEPENSE",IF(COUNTIF(PARAMETRES!$G$5:$G$20,$E461)=0,"Catégorie ?","OK"),"Type ?"))))</f>
        <v/>
      </c>
    </row>
    <row r="462" customFormat="false" ht="16.5" hidden="false" customHeight="true" outlineLevel="0" collapsed="false">
      <c r="A462" s="72" t="str">
        <f aca="false">IF($B462="","",ROW()-7)</f>
        <v/>
      </c>
      <c r="B462" s="73"/>
      <c r="C462" s="74" t="str">
        <f aca="false">IF($B462="","",YEAR($B462)*100+MONTH($B462))</f>
        <v/>
      </c>
      <c r="D462" s="75"/>
      <c r="E462" s="76"/>
      <c r="F462" s="76"/>
      <c r="G462" s="77"/>
      <c r="H462" s="78"/>
      <c r="I462" s="79"/>
      <c r="J462" s="80" t="str">
        <f aca="false">IF($B462="","",IF(N($H462)&lt;=0,"Montant ?",IF($D462="RECETTE",IF(COUNTIF(PARAMETRES!$E$5:$E$9,$E462)=0,"Catégorie ?","OK"),IF($D462="DEPENSE",IF(COUNTIF(PARAMETRES!$G$5:$G$20,$E462)=0,"Catégorie ?","OK"),"Type ?"))))</f>
        <v/>
      </c>
    </row>
    <row r="463" customFormat="false" ht="16.5" hidden="false" customHeight="true" outlineLevel="0" collapsed="false">
      <c r="A463" s="81" t="str">
        <f aca="false">IF($B463="","",ROW()-7)</f>
        <v/>
      </c>
      <c r="B463" s="82"/>
      <c r="C463" s="83" t="str">
        <f aca="false">IF($B463="","",YEAR($B463)*100+MONTH($B463))</f>
        <v/>
      </c>
      <c r="D463" s="84"/>
      <c r="E463" s="85"/>
      <c r="F463" s="85"/>
      <c r="G463" s="86"/>
      <c r="H463" s="87"/>
      <c r="I463" s="88"/>
      <c r="J463" s="89" t="str">
        <f aca="false">IF($B463="","",IF(N($H463)&lt;=0,"Montant ?",IF($D463="RECETTE",IF(COUNTIF(PARAMETRES!$E$5:$E$9,$E463)=0,"Catégorie ?","OK"),IF($D463="DEPENSE",IF(COUNTIF(PARAMETRES!$G$5:$G$20,$E463)=0,"Catégorie ?","OK"),"Type ?"))))</f>
        <v/>
      </c>
    </row>
    <row r="464" customFormat="false" ht="16.5" hidden="false" customHeight="true" outlineLevel="0" collapsed="false">
      <c r="A464" s="72" t="str">
        <f aca="false">IF($B464="","",ROW()-7)</f>
        <v/>
      </c>
      <c r="B464" s="73"/>
      <c r="C464" s="74" t="str">
        <f aca="false">IF($B464="","",YEAR($B464)*100+MONTH($B464))</f>
        <v/>
      </c>
      <c r="D464" s="75"/>
      <c r="E464" s="76"/>
      <c r="F464" s="76"/>
      <c r="G464" s="77"/>
      <c r="H464" s="78"/>
      <c r="I464" s="79"/>
      <c r="J464" s="80" t="str">
        <f aca="false">IF($B464="","",IF(N($H464)&lt;=0,"Montant ?",IF($D464="RECETTE",IF(COUNTIF(PARAMETRES!$E$5:$E$9,$E464)=0,"Catégorie ?","OK"),IF($D464="DEPENSE",IF(COUNTIF(PARAMETRES!$G$5:$G$20,$E464)=0,"Catégorie ?","OK"),"Type ?"))))</f>
        <v/>
      </c>
    </row>
    <row r="465" customFormat="false" ht="16.5" hidden="false" customHeight="true" outlineLevel="0" collapsed="false">
      <c r="A465" s="81" t="str">
        <f aca="false">IF($B465="","",ROW()-7)</f>
        <v/>
      </c>
      <c r="B465" s="82"/>
      <c r="C465" s="83" t="str">
        <f aca="false">IF($B465="","",YEAR($B465)*100+MONTH($B465))</f>
        <v/>
      </c>
      <c r="D465" s="84"/>
      <c r="E465" s="85"/>
      <c r="F465" s="85"/>
      <c r="G465" s="86"/>
      <c r="H465" s="87"/>
      <c r="I465" s="88"/>
      <c r="J465" s="89" t="str">
        <f aca="false">IF($B465="","",IF(N($H465)&lt;=0,"Montant ?",IF($D465="RECETTE",IF(COUNTIF(PARAMETRES!$E$5:$E$9,$E465)=0,"Catégorie ?","OK"),IF($D465="DEPENSE",IF(COUNTIF(PARAMETRES!$G$5:$G$20,$E465)=0,"Catégorie ?","OK"),"Type ?"))))</f>
        <v/>
      </c>
    </row>
    <row r="466" customFormat="false" ht="16.5" hidden="false" customHeight="true" outlineLevel="0" collapsed="false">
      <c r="A466" s="72" t="str">
        <f aca="false">IF($B466="","",ROW()-7)</f>
        <v/>
      </c>
      <c r="B466" s="73"/>
      <c r="C466" s="74" t="str">
        <f aca="false">IF($B466="","",YEAR($B466)*100+MONTH($B466))</f>
        <v/>
      </c>
      <c r="D466" s="75"/>
      <c r="E466" s="76"/>
      <c r="F466" s="76"/>
      <c r="G466" s="77"/>
      <c r="H466" s="78"/>
      <c r="I466" s="79"/>
      <c r="J466" s="80" t="str">
        <f aca="false">IF($B466="","",IF(N($H466)&lt;=0,"Montant ?",IF($D466="RECETTE",IF(COUNTIF(PARAMETRES!$E$5:$E$9,$E466)=0,"Catégorie ?","OK"),IF($D466="DEPENSE",IF(COUNTIF(PARAMETRES!$G$5:$G$20,$E466)=0,"Catégorie ?","OK"),"Type ?"))))</f>
        <v/>
      </c>
    </row>
    <row r="467" customFormat="false" ht="16.5" hidden="false" customHeight="true" outlineLevel="0" collapsed="false">
      <c r="A467" s="81" t="str">
        <f aca="false">IF($B467="","",ROW()-7)</f>
        <v/>
      </c>
      <c r="B467" s="82"/>
      <c r="C467" s="83" t="str">
        <f aca="false">IF($B467="","",YEAR($B467)*100+MONTH($B467))</f>
        <v/>
      </c>
      <c r="D467" s="84"/>
      <c r="E467" s="85"/>
      <c r="F467" s="85"/>
      <c r="G467" s="86"/>
      <c r="H467" s="87"/>
      <c r="I467" s="88"/>
      <c r="J467" s="89" t="str">
        <f aca="false">IF($B467="","",IF(N($H467)&lt;=0,"Montant ?",IF($D467="RECETTE",IF(COUNTIF(PARAMETRES!$E$5:$E$9,$E467)=0,"Catégorie ?","OK"),IF($D467="DEPENSE",IF(COUNTIF(PARAMETRES!$G$5:$G$20,$E467)=0,"Catégorie ?","OK"),"Type ?"))))</f>
        <v/>
      </c>
    </row>
    <row r="468" customFormat="false" ht="16.5" hidden="false" customHeight="true" outlineLevel="0" collapsed="false">
      <c r="A468" s="72" t="str">
        <f aca="false">IF($B468="","",ROW()-7)</f>
        <v/>
      </c>
      <c r="B468" s="73"/>
      <c r="C468" s="74" t="str">
        <f aca="false">IF($B468="","",YEAR($B468)*100+MONTH($B468))</f>
        <v/>
      </c>
      <c r="D468" s="75"/>
      <c r="E468" s="76"/>
      <c r="F468" s="76"/>
      <c r="G468" s="77"/>
      <c r="H468" s="78"/>
      <c r="I468" s="79"/>
      <c r="J468" s="80" t="str">
        <f aca="false">IF($B468="","",IF(N($H468)&lt;=0,"Montant ?",IF($D468="RECETTE",IF(COUNTIF(PARAMETRES!$E$5:$E$9,$E468)=0,"Catégorie ?","OK"),IF($D468="DEPENSE",IF(COUNTIF(PARAMETRES!$G$5:$G$20,$E468)=0,"Catégorie ?","OK"),"Type ?"))))</f>
        <v/>
      </c>
    </row>
    <row r="469" customFormat="false" ht="16.5" hidden="false" customHeight="true" outlineLevel="0" collapsed="false">
      <c r="A469" s="81" t="str">
        <f aca="false">IF($B469="","",ROW()-7)</f>
        <v/>
      </c>
      <c r="B469" s="82"/>
      <c r="C469" s="83" t="str">
        <f aca="false">IF($B469="","",YEAR($B469)*100+MONTH($B469))</f>
        <v/>
      </c>
      <c r="D469" s="84"/>
      <c r="E469" s="85"/>
      <c r="F469" s="85"/>
      <c r="G469" s="86"/>
      <c r="H469" s="87"/>
      <c r="I469" s="88"/>
      <c r="J469" s="89" t="str">
        <f aca="false">IF($B469="","",IF(N($H469)&lt;=0,"Montant ?",IF($D469="RECETTE",IF(COUNTIF(PARAMETRES!$E$5:$E$9,$E469)=0,"Catégorie ?","OK"),IF($D469="DEPENSE",IF(COUNTIF(PARAMETRES!$G$5:$G$20,$E469)=0,"Catégorie ?","OK"),"Type ?"))))</f>
        <v/>
      </c>
    </row>
    <row r="470" customFormat="false" ht="16.5" hidden="false" customHeight="true" outlineLevel="0" collapsed="false">
      <c r="A470" s="72" t="str">
        <f aca="false">IF($B470="","",ROW()-7)</f>
        <v/>
      </c>
      <c r="B470" s="73"/>
      <c r="C470" s="74" t="str">
        <f aca="false">IF($B470="","",YEAR($B470)*100+MONTH($B470))</f>
        <v/>
      </c>
      <c r="D470" s="75"/>
      <c r="E470" s="76"/>
      <c r="F470" s="76"/>
      <c r="G470" s="77"/>
      <c r="H470" s="78"/>
      <c r="I470" s="79"/>
      <c r="J470" s="80" t="str">
        <f aca="false">IF($B470="","",IF(N($H470)&lt;=0,"Montant ?",IF($D470="RECETTE",IF(COUNTIF(PARAMETRES!$E$5:$E$9,$E470)=0,"Catégorie ?","OK"),IF($D470="DEPENSE",IF(COUNTIF(PARAMETRES!$G$5:$G$20,$E470)=0,"Catégorie ?","OK"),"Type ?"))))</f>
        <v/>
      </c>
    </row>
    <row r="471" customFormat="false" ht="16.5" hidden="false" customHeight="true" outlineLevel="0" collapsed="false">
      <c r="A471" s="81" t="str">
        <f aca="false">IF($B471="","",ROW()-7)</f>
        <v/>
      </c>
      <c r="B471" s="82"/>
      <c r="C471" s="83" t="str">
        <f aca="false">IF($B471="","",YEAR($B471)*100+MONTH($B471))</f>
        <v/>
      </c>
      <c r="D471" s="84"/>
      <c r="E471" s="85"/>
      <c r="F471" s="85"/>
      <c r="G471" s="86"/>
      <c r="H471" s="87"/>
      <c r="I471" s="88"/>
      <c r="J471" s="89" t="str">
        <f aca="false">IF($B471="","",IF(N($H471)&lt;=0,"Montant ?",IF($D471="RECETTE",IF(COUNTIF(PARAMETRES!$E$5:$E$9,$E471)=0,"Catégorie ?","OK"),IF($D471="DEPENSE",IF(COUNTIF(PARAMETRES!$G$5:$G$20,$E471)=0,"Catégorie ?","OK"),"Type ?"))))</f>
        <v/>
      </c>
    </row>
    <row r="472" customFormat="false" ht="16.5" hidden="false" customHeight="true" outlineLevel="0" collapsed="false">
      <c r="A472" s="72" t="str">
        <f aca="false">IF($B472="","",ROW()-7)</f>
        <v/>
      </c>
      <c r="B472" s="73"/>
      <c r="C472" s="74" t="str">
        <f aca="false">IF($B472="","",YEAR($B472)*100+MONTH($B472))</f>
        <v/>
      </c>
      <c r="D472" s="75"/>
      <c r="E472" s="76"/>
      <c r="F472" s="76"/>
      <c r="G472" s="77"/>
      <c r="H472" s="78"/>
      <c r="I472" s="79"/>
      <c r="J472" s="80" t="str">
        <f aca="false">IF($B472="","",IF(N($H472)&lt;=0,"Montant ?",IF($D472="RECETTE",IF(COUNTIF(PARAMETRES!$E$5:$E$9,$E472)=0,"Catégorie ?","OK"),IF($D472="DEPENSE",IF(COUNTIF(PARAMETRES!$G$5:$G$20,$E472)=0,"Catégorie ?","OK"),"Type ?"))))</f>
        <v/>
      </c>
    </row>
    <row r="473" customFormat="false" ht="16.5" hidden="false" customHeight="true" outlineLevel="0" collapsed="false">
      <c r="A473" s="81" t="str">
        <f aca="false">IF($B473="","",ROW()-7)</f>
        <v/>
      </c>
      <c r="B473" s="82"/>
      <c r="C473" s="83" t="str">
        <f aca="false">IF($B473="","",YEAR($B473)*100+MONTH($B473))</f>
        <v/>
      </c>
      <c r="D473" s="84"/>
      <c r="E473" s="85"/>
      <c r="F473" s="85"/>
      <c r="G473" s="86"/>
      <c r="H473" s="87"/>
      <c r="I473" s="88"/>
      <c r="J473" s="89" t="str">
        <f aca="false">IF($B473="","",IF(N($H473)&lt;=0,"Montant ?",IF($D473="RECETTE",IF(COUNTIF(PARAMETRES!$E$5:$E$9,$E473)=0,"Catégorie ?","OK"),IF($D473="DEPENSE",IF(COUNTIF(PARAMETRES!$G$5:$G$20,$E473)=0,"Catégorie ?","OK"),"Type ?"))))</f>
        <v/>
      </c>
    </row>
    <row r="474" customFormat="false" ht="16.5" hidden="false" customHeight="true" outlineLevel="0" collapsed="false">
      <c r="A474" s="72" t="str">
        <f aca="false">IF($B474="","",ROW()-7)</f>
        <v/>
      </c>
      <c r="B474" s="73"/>
      <c r="C474" s="74" t="str">
        <f aca="false">IF($B474="","",YEAR($B474)*100+MONTH($B474))</f>
        <v/>
      </c>
      <c r="D474" s="75"/>
      <c r="E474" s="76"/>
      <c r="F474" s="76"/>
      <c r="G474" s="77"/>
      <c r="H474" s="78"/>
      <c r="I474" s="79"/>
      <c r="J474" s="80" t="str">
        <f aca="false">IF($B474="","",IF(N($H474)&lt;=0,"Montant ?",IF($D474="RECETTE",IF(COUNTIF(PARAMETRES!$E$5:$E$9,$E474)=0,"Catégorie ?","OK"),IF($D474="DEPENSE",IF(COUNTIF(PARAMETRES!$G$5:$G$20,$E474)=0,"Catégorie ?","OK"),"Type ?"))))</f>
        <v/>
      </c>
    </row>
    <row r="475" customFormat="false" ht="16.5" hidden="false" customHeight="true" outlineLevel="0" collapsed="false">
      <c r="A475" s="81" t="str">
        <f aca="false">IF($B475="","",ROW()-7)</f>
        <v/>
      </c>
      <c r="B475" s="82"/>
      <c r="C475" s="83" t="str">
        <f aca="false">IF($B475="","",YEAR($B475)*100+MONTH($B475))</f>
        <v/>
      </c>
      <c r="D475" s="84"/>
      <c r="E475" s="85"/>
      <c r="F475" s="85"/>
      <c r="G475" s="86"/>
      <c r="H475" s="87"/>
      <c r="I475" s="88"/>
      <c r="J475" s="89" t="str">
        <f aca="false">IF($B475="","",IF(N($H475)&lt;=0,"Montant ?",IF($D475="RECETTE",IF(COUNTIF(PARAMETRES!$E$5:$E$9,$E475)=0,"Catégorie ?","OK"),IF($D475="DEPENSE",IF(COUNTIF(PARAMETRES!$G$5:$G$20,$E475)=0,"Catégorie ?","OK"),"Type ?"))))</f>
        <v/>
      </c>
    </row>
    <row r="476" customFormat="false" ht="16.5" hidden="false" customHeight="true" outlineLevel="0" collapsed="false">
      <c r="A476" s="72" t="str">
        <f aca="false">IF($B476="","",ROW()-7)</f>
        <v/>
      </c>
      <c r="B476" s="73"/>
      <c r="C476" s="74" t="str">
        <f aca="false">IF($B476="","",YEAR($B476)*100+MONTH($B476))</f>
        <v/>
      </c>
      <c r="D476" s="75"/>
      <c r="E476" s="76"/>
      <c r="F476" s="76"/>
      <c r="G476" s="77"/>
      <c r="H476" s="78"/>
      <c r="I476" s="79"/>
      <c r="J476" s="80" t="str">
        <f aca="false">IF($B476="","",IF(N($H476)&lt;=0,"Montant ?",IF($D476="RECETTE",IF(COUNTIF(PARAMETRES!$E$5:$E$9,$E476)=0,"Catégorie ?","OK"),IF($D476="DEPENSE",IF(COUNTIF(PARAMETRES!$G$5:$G$20,$E476)=0,"Catégorie ?","OK"),"Type ?"))))</f>
        <v/>
      </c>
    </row>
    <row r="477" customFormat="false" ht="16.5" hidden="false" customHeight="true" outlineLevel="0" collapsed="false">
      <c r="A477" s="81" t="str">
        <f aca="false">IF($B477="","",ROW()-7)</f>
        <v/>
      </c>
      <c r="B477" s="82"/>
      <c r="C477" s="83" t="str">
        <f aca="false">IF($B477="","",YEAR($B477)*100+MONTH($B477))</f>
        <v/>
      </c>
      <c r="D477" s="84"/>
      <c r="E477" s="85"/>
      <c r="F477" s="85"/>
      <c r="G477" s="86"/>
      <c r="H477" s="87"/>
      <c r="I477" s="88"/>
      <c r="J477" s="89" t="str">
        <f aca="false">IF($B477="","",IF(N($H477)&lt;=0,"Montant ?",IF($D477="RECETTE",IF(COUNTIF(PARAMETRES!$E$5:$E$9,$E477)=0,"Catégorie ?","OK"),IF($D477="DEPENSE",IF(COUNTIF(PARAMETRES!$G$5:$G$20,$E477)=0,"Catégorie ?","OK"),"Type ?"))))</f>
        <v/>
      </c>
    </row>
    <row r="478" customFormat="false" ht="16.5" hidden="false" customHeight="true" outlineLevel="0" collapsed="false">
      <c r="A478" s="72" t="str">
        <f aca="false">IF($B478="","",ROW()-7)</f>
        <v/>
      </c>
      <c r="B478" s="73"/>
      <c r="C478" s="74" t="str">
        <f aca="false">IF($B478="","",YEAR($B478)*100+MONTH($B478))</f>
        <v/>
      </c>
      <c r="D478" s="75"/>
      <c r="E478" s="76"/>
      <c r="F478" s="76"/>
      <c r="G478" s="77"/>
      <c r="H478" s="78"/>
      <c r="I478" s="79"/>
      <c r="J478" s="80" t="str">
        <f aca="false">IF($B478="","",IF(N($H478)&lt;=0,"Montant ?",IF($D478="RECETTE",IF(COUNTIF(PARAMETRES!$E$5:$E$9,$E478)=0,"Catégorie ?","OK"),IF($D478="DEPENSE",IF(COUNTIF(PARAMETRES!$G$5:$G$20,$E478)=0,"Catégorie ?","OK"),"Type ?"))))</f>
        <v/>
      </c>
    </row>
    <row r="479" customFormat="false" ht="16.5" hidden="false" customHeight="true" outlineLevel="0" collapsed="false">
      <c r="A479" s="81" t="str">
        <f aca="false">IF($B479="","",ROW()-7)</f>
        <v/>
      </c>
      <c r="B479" s="82"/>
      <c r="C479" s="83" t="str">
        <f aca="false">IF($B479="","",YEAR($B479)*100+MONTH($B479))</f>
        <v/>
      </c>
      <c r="D479" s="84"/>
      <c r="E479" s="85"/>
      <c r="F479" s="85"/>
      <c r="G479" s="86"/>
      <c r="H479" s="87"/>
      <c r="I479" s="88"/>
      <c r="J479" s="89" t="str">
        <f aca="false">IF($B479="","",IF(N($H479)&lt;=0,"Montant ?",IF($D479="RECETTE",IF(COUNTIF(PARAMETRES!$E$5:$E$9,$E479)=0,"Catégorie ?","OK"),IF($D479="DEPENSE",IF(COUNTIF(PARAMETRES!$G$5:$G$20,$E479)=0,"Catégorie ?","OK"),"Type ?"))))</f>
        <v/>
      </c>
    </row>
    <row r="480" customFormat="false" ht="16.5" hidden="false" customHeight="true" outlineLevel="0" collapsed="false">
      <c r="A480" s="72" t="str">
        <f aca="false">IF($B480="","",ROW()-7)</f>
        <v/>
      </c>
      <c r="B480" s="73"/>
      <c r="C480" s="74" t="str">
        <f aca="false">IF($B480="","",YEAR($B480)*100+MONTH($B480))</f>
        <v/>
      </c>
      <c r="D480" s="75"/>
      <c r="E480" s="76"/>
      <c r="F480" s="76"/>
      <c r="G480" s="77"/>
      <c r="H480" s="78"/>
      <c r="I480" s="79"/>
      <c r="J480" s="80" t="str">
        <f aca="false">IF($B480="","",IF(N($H480)&lt;=0,"Montant ?",IF($D480="RECETTE",IF(COUNTIF(PARAMETRES!$E$5:$E$9,$E480)=0,"Catégorie ?","OK"),IF($D480="DEPENSE",IF(COUNTIF(PARAMETRES!$G$5:$G$20,$E480)=0,"Catégorie ?","OK"),"Type ?"))))</f>
        <v/>
      </c>
    </row>
    <row r="481" customFormat="false" ht="16.5" hidden="false" customHeight="true" outlineLevel="0" collapsed="false">
      <c r="A481" s="81" t="str">
        <f aca="false">IF($B481="","",ROW()-7)</f>
        <v/>
      </c>
      <c r="B481" s="82"/>
      <c r="C481" s="83" t="str">
        <f aca="false">IF($B481="","",YEAR($B481)*100+MONTH($B481))</f>
        <v/>
      </c>
      <c r="D481" s="84"/>
      <c r="E481" s="85"/>
      <c r="F481" s="85"/>
      <c r="G481" s="86"/>
      <c r="H481" s="87"/>
      <c r="I481" s="88"/>
      <c r="J481" s="89" t="str">
        <f aca="false">IF($B481="","",IF(N($H481)&lt;=0,"Montant ?",IF($D481="RECETTE",IF(COUNTIF(PARAMETRES!$E$5:$E$9,$E481)=0,"Catégorie ?","OK"),IF($D481="DEPENSE",IF(COUNTIF(PARAMETRES!$G$5:$G$20,$E481)=0,"Catégorie ?","OK"),"Type ?"))))</f>
        <v/>
      </c>
    </row>
    <row r="482" customFormat="false" ht="16.5" hidden="false" customHeight="true" outlineLevel="0" collapsed="false">
      <c r="A482" s="72" t="str">
        <f aca="false">IF($B482="","",ROW()-7)</f>
        <v/>
      </c>
      <c r="B482" s="73"/>
      <c r="C482" s="74" t="str">
        <f aca="false">IF($B482="","",YEAR($B482)*100+MONTH($B482))</f>
        <v/>
      </c>
      <c r="D482" s="75"/>
      <c r="E482" s="76"/>
      <c r="F482" s="76"/>
      <c r="G482" s="77"/>
      <c r="H482" s="78"/>
      <c r="I482" s="79"/>
      <c r="J482" s="80" t="str">
        <f aca="false">IF($B482="","",IF(N($H482)&lt;=0,"Montant ?",IF($D482="RECETTE",IF(COUNTIF(PARAMETRES!$E$5:$E$9,$E482)=0,"Catégorie ?","OK"),IF($D482="DEPENSE",IF(COUNTIF(PARAMETRES!$G$5:$G$20,$E482)=0,"Catégorie ?","OK"),"Type ?"))))</f>
        <v/>
      </c>
    </row>
    <row r="483" customFormat="false" ht="16.5" hidden="false" customHeight="true" outlineLevel="0" collapsed="false">
      <c r="A483" s="81" t="str">
        <f aca="false">IF($B483="","",ROW()-7)</f>
        <v/>
      </c>
      <c r="B483" s="82"/>
      <c r="C483" s="83" t="str">
        <f aca="false">IF($B483="","",YEAR($B483)*100+MONTH($B483))</f>
        <v/>
      </c>
      <c r="D483" s="84"/>
      <c r="E483" s="85"/>
      <c r="F483" s="85"/>
      <c r="G483" s="86"/>
      <c r="H483" s="87"/>
      <c r="I483" s="88"/>
      <c r="J483" s="89" t="str">
        <f aca="false">IF($B483="","",IF(N($H483)&lt;=0,"Montant ?",IF($D483="RECETTE",IF(COUNTIF(PARAMETRES!$E$5:$E$9,$E483)=0,"Catégorie ?","OK"),IF($D483="DEPENSE",IF(COUNTIF(PARAMETRES!$G$5:$G$20,$E483)=0,"Catégorie ?","OK"),"Type ?"))))</f>
        <v/>
      </c>
    </row>
    <row r="484" customFormat="false" ht="16.5" hidden="false" customHeight="true" outlineLevel="0" collapsed="false">
      <c r="A484" s="72" t="str">
        <f aca="false">IF($B484="","",ROW()-7)</f>
        <v/>
      </c>
      <c r="B484" s="73"/>
      <c r="C484" s="74" t="str">
        <f aca="false">IF($B484="","",YEAR($B484)*100+MONTH($B484))</f>
        <v/>
      </c>
      <c r="D484" s="75"/>
      <c r="E484" s="76"/>
      <c r="F484" s="76"/>
      <c r="G484" s="77"/>
      <c r="H484" s="78"/>
      <c r="I484" s="79"/>
      <c r="J484" s="80" t="str">
        <f aca="false">IF($B484="","",IF(N($H484)&lt;=0,"Montant ?",IF($D484="RECETTE",IF(COUNTIF(PARAMETRES!$E$5:$E$9,$E484)=0,"Catégorie ?","OK"),IF($D484="DEPENSE",IF(COUNTIF(PARAMETRES!$G$5:$G$20,$E484)=0,"Catégorie ?","OK"),"Type ?"))))</f>
        <v/>
      </c>
    </row>
    <row r="485" customFormat="false" ht="16.5" hidden="false" customHeight="true" outlineLevel="0" collapsed="false">
      <c r="A485" s="81" t="str">
        <f aca="false">IF($B485="","",ROW()-7)</f>
        <v/>
      </c>
      <c r="B485" s="82"/>
      <c r="C485" s="83" t="str">
        <f aca="false">IF($B485="","",YEAR($B485)*100+MONTH($B485))</f>
        <v/>
      </c>
      <c r="D485" s="84"/>
      <c r="E485" s="85"/>
      <c r="F485" s="85"/>
      <c r="G485" s="86"/>
      <c r="H485" s="87"/>
      <c r="I485" s="88"/>
      <c r="J485" s="89" t="str">
        <f aca="false">IF($B485="","",IF(N($H485)&lt;=0,"Montant ?",IF($D485="RECETTE",IF(COUNTIF(PARAMETRES!$E$5:$E$9,$E485)=0,"Catégorie ?","OK"),IF($D485="DEPENSE",IF(COUNTIF(PARAMETRES!$G$5:$G$20,$E485)=0,"Catégorie ?","OK"),"Type ?"))))</f>
        <v/>
      </c>
    </row>
    <row r="486" customFormat="false" ht="16.5" hidden="false" customHeight="true" outlineLevel="0" collapsed="false">
      <c r="A486" s="72" t="str">
        <f aca="false">IF($B486="","",ROW()-7)</f>
        <v/>
      </c>
      <c r="B486" s="73"/>
      <c r="C486" s="74" t="str">
        <f aca="false">IF($B486="","",YEAR($B486)*100+MONTH($B486))</f>
        <v/>
      </c>
      <c r="D486" s="75"/>
      <c r="E486" s="76"/>
      <c r="F486" s="76"/>
      <c r="G486" s="77"/>
      <c r="H486" s="78"/>
      <c r="I486" s="79"/>
      <c r="J486" s="80" t="str">
        <f aca="false">IF($B486="","",IF(N($H486)&lt;=0,"Montant ?",IF($D486="RECETTE",IF(COUNTIF(PARAMETRES!$E$5:$E$9,$E486)=0,"Catégorie ?","OK"),IF($D486="DEPENSE",IF(COUNTIF(PARAMETRES!$G$5:$G$20,$E486)=0,"Catégorie ?","OK"),"Type ?"))))</f>
        <v/>
      </c>
    </row>
    <row r="487" customFormat="false" ht="16.5" hidden="false" customHeight="true" outlineLevel="0" collapsed="false">
      <c r="A487" s="81" t="str">
        <f aca="false">IF($B487="","",ROW()-7)</f>
        <v/>
      </c>
      <c r="B487" s="82"/>
      <c r="C487" s="83" t="str">
        <f aca="false">IF($B487="","",YEAR($B487)*100+MONTH($B487))</f>
        <v/>
      </c>
      <c r="D487" s="84"/>
      <c r="E487" s="85"/>
      <c r="F487" s="85"/>
      <c r="G487" s="86"/>
      <c r="H487" s="87"/>
      <c r="I487" s="88"/>
      <c r="J487" s="89" t="str">
        <f aca="false">IF($B487="","",IF(N($H487)&lt;=0,"Montant ?",IF($D487="RECETTE",IF(COUNTIF(PARAMETRES!$E$5:$E$9,$E487)=0,"Catégorie ?","OK"),IF($D487="DEPENSE",IF(COUNTIF(PARAMETRES!$G$5:$G$20,$E487)=0,"Catégorie ?","OK"),"Type ?"))))</f>
        <v/>
      </c>
    </row>
    <row r="488" customFormat="false" ht="16.5" hidden="false" customHeight="true" outlineLevel="0" collapsed="false">
      <c r="A488" s="72" t="str">
        <f aca="false">IF($B488="","",ROW()-7)</f>
        <v/>
      </c>
      <c r="B488" s="73"/>
      <c r="C488" s="74" t="str">
        <f aca="false">IF($B488="","",YEAR($B488)*100+MONTH($B488))</f>
        <v/>
      </c>
      <c r="D488" s="75"/>
      <c r="E488" s="76"/>
      <c r="F488" s="76"/>
      <c r="G488" s="77"/>
      <c r="H488" s="78"/>
      <c r="I488" s="79"/>
      <c r="J488" s="80" t="str">
        <f aca="false">IF($B488="","",IF(N($H488)&lt;=0,"Montant ?",IF($D488="RECETTE",IF(COUNTIF(PARAMETRES!$E$5:$E$9,$E488)=0,"Catégorie ?","OK"),IF($D488="DEPENSE",IF(COUNTIF(PARAMETRES!$G$5:$G$20,$E488)=0,"Catégorie ?","OK"),"Type ?"))))</f>
        <v/>
      </c>
    </row>
    <row r="489" customFormat="false" ht="16.5" hidden="false" customHeight="true" outlineLevel="0" collapsed="false">
      <c r="A489" s="81" t="str">
        <f aca="false">IF($B489="","",ROW()-7)</f>
        <v/>
      </c>
      <c r="B489" s="82"/>
      <c r="C489" s="83" t="str">
        <f aca="false">IF($B489="","",YEAR($B489)*100+MONTH($B489))</f>
        <v/>
      </c>
      <c r="D489" s="84"/>
      <c r="E489" s="85"/>
      <c r="F489" s="85"/>
      <c r="G489" s="86"/>
      <c r="H489" s="87"/>
      <c r="I489" s="88"/>
      <c r="J489" s="89" t="str">
        <f aca="false">IF($B489="","",IF(N($H489)&lt;=0,"Montant ?",IF($D489="RECETTE",IF(COUNTIF(PARAMETRES!$E$5:$E$9,$E489)=0,"Catégorie ?","OK"),IF($D489="DEPENSE",IF(COUNTIF(PARAMETRES!$G$5:$G$20,$E489)=0,"Catégorie ?","OK"),"Type ?"))))</f>
        <v/>
      </c>
    </row>
    <row r="490" customFormat="false" ht="16.5" hidden="false" customHeight="true" outlineLevel="0" collapsed="false">
      <c r="A490" s="72" t="str">
        <f aca="false">IF($B490="","",ROW()-7)</f>
        <v/>
      </c>
      <c r="B490" s="73"/>
      <c r="C490" s="74" t="str">
        <f aca="false">IF($B490="","",YEAR($B490)*100+MONTH($B490))</f>
        <v/>
      </c>
      <c r="D490" s="75"/>
      <c r="E490" s="76"/>
      <c r="F490" s="76"/>
      <c r="G490" s="77"/>
      <c r="H490" s="78"/>
      <c r="I490" s="79"/>
      <c r="J490" s="80" t="str">
        <f aca="false">IF($B490="","",IF(N($H490)&lt;=0,"Montant ?",IF($D490="RECETTE",IF(COUNTIF(PARAMETRES!$E$5:$E$9,$E490)=0,"Catégorie ?","OK"),IF($D490="DEPENSE",IF(COUNTIF(PARAMETRES!$G$5:$G$20,$E490)=0,"Catégorie ?","OK"),"Type ?"))))</f>
        <v/>
      </c>
    </row>
    <row r="491" customFormat="false" ht="16.5" hidden="false" customHeight="true" outlineLevel="0" collapsed="false">
      <c r="A491" s="81" t="str">
        <f aca="false">IF($B491="","",ROW()-7)</f>
        <v/>
      </c>
      <c r="B491" s="82"/>
      <c r="C491" s="83" t="str">
        <f aca="false">IF($B491="","",YEAR($B491)*100+MONTH($B491))</f>
        <v/>
      </c>
      <c r="D491" s="84"/>
      <c r="E491" s="85"/>
      <c r="F491" s="85"/>
      <c r="G491" s="86"/>
      <c r="H491" s="87"/>
      <c r="I491" s="88"/>
      <c r="J491" s="89" t="str">
        <f aca="false">IF($B491="","",IF(N($H491)&lt;=0,"Montant ?",IF($D491="RECETTE",IF(COUNTIF(PARAMETRES!$E$5:$E$9,$E491)=0,"Catégorie ?","OK"),IF($D491="DEPENSE",IF(COUNTIF(PARAMETRES!$G$5:$G$20,$E491)=0,"Catégorie ?","OK"),"Type ?"))))</f>
        <v/>
      </c>
    </row>
    <row r="492" customFormat="false" ht="16.5" hidden="false" customHeight="true" outlineLevel="0" collapsed="false">
      <c r="A492" s="72" t="str">
        <f aca="false">IF($B492="","",ROW()-7)</f>
        <v/>
      </c>
      <c r="B492" s="73"/>
      <c r="C492" s="74" t="str">
        <f aca="false">IF($B492="","",YEAR($B492)*100+MONTH($B492))</f>
        <v/>
      </c>
      <c r="D492" s="75"/>
      <c r="E492" s="76"/>
      <c r="F492" s="76"/>
      <c r="G492" s="77"/>
      <c r="H492" s="78"/>
      <c r="I492" s="79"/>
      <c r="J492" s="80" t="str">
        <f aca="false">IF($B492="","",IF(N($H492)&lt;=0,"Montant ?",IF($D492="RECETTE",IF(COUNTIF(PARAMETRES!$E$5:$E$9,$E492)=0,"Catégorie ?","OK"),IF($D492="DEPENSE",IF(COUNTIF(PARAMETRES!$G$5:$G$20,$E492)=0,"Catégorie ?","OK"),"Type ?"))))</f>
        <v/>
      </c>
    </row>
    <row r="493" customFormat="false" ht="16.5" hidden="false" customHeight="true" outlineLevel="0" collapsed="false">
      <c r="A493" s="81" t="str">
        <f aca="false">IF($B493="","",ROW()-7)</f>
        <v/>
      </c>
      <c r="B493" s="82"/>
      <c r="C493" s="83" t="str">
        <f aca="false">IF($B493="","",YEAR($B493)*100+MONTH($B493))</f>
        <v/>
      </c>
      <c r="D493" s="84"/>
      <c r="E493" s="85"/>
      <c r="F493" s="85"/>
      <c r="G493" s="86"/>
      <c r="H493" s="87"/>
      <c r="I493" s="88"/>
      <c r="J493" s="89" t="str">
        <f aca="false">IF($B493="","",IF(N($H493)&lt;=0,"Montant ?",IF($D493="RECETTE",IF(COUNTIF(PARAMETRES!$E$5:$E$9,$E493)=0,"Catégorie ?","OK"),IF($D493="DEPENSE",IF(COUNTIF(PARAMETRES!$G$5:$G$20,$E493)=0,"Catégorie ?","OK"),"Type ?"))))</f>
        <v/>
      </c>
    </row>
    <row r="494" customFormat="false" ht="16.5" hidden="false" customHeight="true" outlineLevel="0" collapsed="false">
      <c r="A494" s="72" t="str">
        <f aca="false">IF($B494="","",ROW()-7)</f>
        <v/>
      </c>
      <c r="B494" s="73"/>
      <c r="C494" s="74" t="str">
        <f aca="false">IF($B494="","",YEAR($B494)*100+MONTH($B494))</f>
        <v/>
      </c>
      <c r="D494" s="75"/>
      <c r="E494" s="76"/>
      <c r="F494" s="76"/>
      <c r="G494" s="77"/>
      <c r="H494" s="78"/>
      <c r="I494" s="79"/>
      <c r="J494" s="80" t="str">
        <f aca="false">IF($B494="","",IF(N($H494)&lt;=0,"Montant ?",IF($D494="RECETTE",IF(COUNTIF(PARAMETRES!$E$5:$E$9,$E494)=0,"Catégorie ?","OK"),IF($D494="DEPENSE",IF(COUNTIF(PARAMETRES!$G$5:$G$20,$E494)=0,"Catégorie ?","OK"),"Type ?"))))</f>
        <v/>
      </c>
    </row>
    <row r="495" customFormat="false" ht="16.5" hidden="false" customHeight="true" outlineLevel="0" collapsed="false">
      <c r="A495" s="81" t="str">
        <f aca="false">IF($B495="","",ROW()-7)</f>
        <v/>
      </c>
      <c r="B495" s="82"/>
      <c r="C495" s="83" t="str">
        <f aca="false">IF($B495="","",YEAR($B495)*100+MONTH($B495))</f>
        <v/>
      </c>
      <c r="D495" s="84"/>
      <c r="E495" s="85"/>
      <c r="F495" s="85"/>
      <c r="G495" s="86"/>
      <c r="H495" s="87"/>
      <c r="I495" s="88"/>
      <c r="J495" s="89" t="str">
        <f aca="false">IF($B495="","",IF(N($H495)&lt;=0,"Montant ?",IF($D495="RECETTE",IF(COUNTIF(PARAMETRES!$E$5:$E$9,$E495)=0,"Catégorie ?","OK"),IF($D495="DEPENSE",IF(COUNTIF(PARAMETRES!$G$5:$G$20,$E495)=0,"Catégorie ?","OK"),"Type ?"))))</f>
        <v/>
      </c>
    </row>
    <row r="496" customFormat="false" ht="16.5" hidden="false" customHeight="true" outlineLevel="0" collapsed="false">
      <c r="A496" s="72" t="str">
        <f aca="false">IF($B496="","",ROW()-7)</f>
        <v/>
      </c>
      <c r="B496" s="73"/>
      <c r="C496" s="74" t="str">
        <f aca="false">IF($B496="","",YEAR($B496)*100+MONTH($B496))</f>
        <v/>
      </c>
      <c r="D496" s="75"/>
      <c r="E496" s="76"/>
      <c r="F496" s="76"/>
      <c r="G496" s="77"/>
      <c r="H496" s="78"/>
      <c r="I496" s="79"/>
      <c r="J496" s="80" t="str">
        <f aca="false">IF($B496="","",IF(N($H496)&lt;=0,"Montant ?",IF($D496="RECETTE",IF(COUNTIF(PARAMETRES!$E$5:$E$9,$E496)=0,"Catégorie ?","OK"),IF($D496="DEPENSE",IF(COUNTIF(PARAMETRES!$G$5:$G$20,$E496)=0,"Catégorie ?","OK"),"Type ?"))))</f>
        <v/>
      </c>
    </row>
    <row r="497" customFormat="false" ht="16.5" hidden="false" customHeight="true" outlineLevel="0" collapsed="false">
      <c r="A497" s="81" t="str">
        <f aca="false">IF($B497="","",ROW()-7)</f>
        <v/>
      </c>
      <c r="B497" s="82"/>
      <c r="C497" s="83" t="str">
        <f aca="false">IF($B497="","",YEAR($B497)*100+MONTH($B497))</f>
        <v/>
      </c>
      <c r="D497" s="84"/>
      <c r="E497" s="85"/>
      <c r="F497" s="85"/>
      <c r="G497" s="86"/>
      <c r="H497" s="87"/>
      <c r="I497" s="88"/>
      <c r="J497" s="89" t="str">
        <f aca="false">IF($B497="","",IF(N($H497)&lt;=0,"Montant ?",IF($D497="RECETTE",IF(COUNTIF(PARAMETRES!$E$5:$E$9,$E497)=0,"Catégorie ?","OK"),IF($D497="DEPENSE",IF(COUNTIF(PARAMETRES!$G$5:$G$20,$E497)=0,"Catégorie ?","OK"),"Type ?"))))</f>
        <v/>
      </c>
    </row>
    <row r="498" customFormat="false" ht="16.5" hidden="false" customHeight="true" outlineLevel="0" collapsed="false">
      <c r="A498" s="72" t="str">
        <f aca="false">IF($B498="","",ROW()-7)</f>
        <v/>
      </c>
      <c r="B498" s="73"/>
      <c r="C498" s="74" t="str">
        <f aca="false">IF($B498="","",YEAR($B498)*100+MONTH($B498))</f>
        <v/>
      </c>
      <c r="D498" s="75"/>
      <c r="E498" s="76"/>
      <c r="F498" s="76"/>
      <c r="G498" s="77"/>
      <c r="H498" s="78"/>
      <c r="I498" s="79"/>
      <c r="J498" s="80" t="str">
        <f aca="false">IF($B498="","",IF(N($H498)&lt;=0,"Montant ?",IF($D498="RECETTE",IF(COUNTIF(PARAMETRES!$E$5:$E$9,$E498)=0,"Catégorie ?","OK"),IF($D498="DEPENSE",IF(COUNTIF(PARAMETRES!$G$5:$G$20,$E498)=0,"Catégorie ?","OK"),"Type ?"))))</f>
        <v/>
      </c>
    </row>
    <row r="499" customFormat="false" ht="16.5" hidden="false" customHeight="true" outlineLevel="0" collapsed="false">
      <c r="A499" s="81" t="str">
        <f aca="false">IF($B499="","",ROW()-7)</f>
        <v/>
      </c>
      <c r="B499" s="82"/>
      <c r="C499" s="83" t="str">
        <f aca="false">IF($B499="","",YEAR($B499)*100+MONTH($B499))</f>
        <v/>
      </c>
      <c r="D499" s="84"/>
      <c r="E499" s="85"/>
      <c r="F499" s="85"/>
      <c r="G499" s="86"/>
      <c r="H499" s="87"/>
      <c r="I499" s="88"/>
      <c r="J499" s="89" t="str">
        <f aca="false">IF($B499="","",IF(N($H499)&lt;=0,"Montant ?",IF($D499="RECETTE",IF(COUNTIF(PARAMETRES!$E$5:$E$9,$E499)=0,"Catégorie ?","OK"),IF($D499="DEPENSE",IF(COUNTIF(PARAMETRES!$G$5:$G$20,$E499)=0,"Catégorie ?","OK"),"Type ?"))))</f>
        <v/>
      </c>
    </row>
    <row r="500" customFormat="false" ht="16.5" hidden="false" customHeight="true" outlineLevel="0" collapsed="false">
      <c r="A500" s="72" t="str">
        <f aca="false">IF($B500="","",ROW()-7)</f>
        <v/>
      </c>
      <c r="B500" s="73"/>
      <c r="C500" s="74" t="str">
        <f aca="false">IF($B500="","",YEAR($B500)*100+MONTH($B500))</f>
        <v/>
      </c>
      <c r="D500" s="75"/>
      <c r="E500" s="76"/>
      <c r="F500" s="76"/>
      <c r="G500" s="77"/>
      <c r="H500" s="78"/>
      <c r="I500" s="79"/>
      <c r="J500" s="80" t="str">
        <f aca="false">IF($B500="","",IF(N($H500)&lt;=0,"Montant ?",IF($D500="RECETTE",IF(COUNTIF(PARAMETRES!$E$5:$E$9,$E500)=0,"Catégorie ?","OK"),IF($D500="DEPENSE",IF(COUNTIF(PARAMETRES!$G$5:$G$20,$E500)=0,"Catégorie ?","OK"),"Type ?"))))</f>
        <v/>
      </c>
    </row>
    <row r="501" customFormat="false" ht="16.5" hidden="false" customHeight="true" outlineLevel="0" collapsed="false">
      <c r="A501" s="81" t="str">
        <f aca="false">IF($B501="","",ROW()-7)</f>
        <v/>
      </c>
      <c r="B501" s="82"/>
      <c r="C501" s="83" t="str">
        <f aca="false">IF($B501="","",YEAR($B501)*100+MONTH($B501))</f>
        <v/>
      </c>
      <c r="D501" s="84"/>
      <c r="E501" s="85"/>
      <c r="F501" s="85"/>
      <c r="G501" s="86"/>
      <c r="H501" s="87"/>
      <c r="I501" s="88"/>
      <c r="J501" s="89" t="str">
        <f aca="false">IF($B501="","",IF(N($H501)&lt;=0,"Montant ?",IF($D501="RECETTE",IF(COUNTIF(PARAMETRES!$E$5:$E$9,$E501)=0,"Catégorie ?","OK"),IF($D501="DEPENSE",IF(COUNTIF(PARAMETRES!$G$5:$G$20,$E501)=0,"Catégorie ?","OK"),"Type ?"))))</f>
        <v/>
      </c>
    </row>
    <row r="502" customFormat="false" ht="16.5" hidden="false" customHeight="true" outlineLevel="0" collapsed="false">
      <c r="A502" s="72" t="str">
        <f aca="false">IF($B502="","",ROW()-7)</f>
        <v/>
      </c>
      <c r="B502" s="73"/>
      <c r="C502" s="74" t="str">
        <f aca="false">IF($B502="","",YEAR($B502)*100+MONTH($B502))</f>
        <v/>
      </c>
      <c r="D502" s="75"/>
      <c r="E502" s="76"/>
      <c r="F502" s="76"/>
      <c r="G502" s="77"/>
      <c r="H502" s="78"/>
      <c r="I502" s="79"/>
      <c r="J502" s="80" t="str">
        <f aca="false">IF($B502="","",IF(N($H502)&lt;=0,"Montant ?",IF($D502="RECETTE",IF(COUNTIF(PARAMETRES!$E$5:$E$9,$E502)=0,"Catégorie ?","OK"),IF($D502="DEPENSE",IF(COUNTIF(PARAMETRES!$G$5:$G$20,$E502)=0,"Catégorie ?","OK"),"Type ?"))))</f>
        <v/>
      </c>
    </row>
    <row r="503" customFormat="false" ht="16.5" hidden="false" customHeight="true" outlineLevel="0" collapsed="false">
      <c r="A503" s="81" t="str">
        <f aca="false">IF($B503="","",ROW()-7)</f>
        <v/>
      </c>
      <c r="B503" s="82"/>
      <c r="C503" s="83" t="str">
        <f aca="false">IF($B503="","",YEAR($B503)*100+MONTH($B503))</f>
        <v/>
      </c>
      <c r="D503" s="84"/>
      <c r="E503" s="85"/>
      <c r="F503" s="85"/>
      <c r="G503" s="86"/>
      <c r="H503" s="87"/>
      <c r="I503" s="88"/>
      <c r="J503" s="89" t="str">
        <f aca="false">IF($B503="","",IF(N($H503)&lt;=0,"Montant ?",IF($D503="RECETTE",IF(COUNTIF(PARAMETRES!$E$5:$E$9,$E503)=0,"Catégorie ?","OK"),IF($D503="DEPENSE",IF(COUNTIF(PARAMETRES!$G$5:$G$20,$E503)=0,"Catégorie ?","OK"),"Type ?"))))</f>
        <v/>
      </c>
    </row>
    <row r="504" customFormat="false" ht="16.5" hidden="false" customHeight="true" outlineLevel="0" collapsed="false">
      <c r="A504" s="72" t="str">
        <f aca="false">IF($B504="","",ROW()-7)</f>
        <v/>
      </c>
      <c r="B504" s="73"/>
      <c r="C504" s="74" t="str">
        <f aca="false">IF($B504="","",YEAR($B504)*100+MONTH($B504))</f>
        <v/>
      </c>
      <c r="D504" s="75"/>
      <c r="E504" s="76"/>
      <c r="F504" s="76"/>
      <c r="G504" s="77"/>
      <c r="H504" s="78"/>
      <c r="I504" s="79"/>
      <c r="J504" s="80" t="str">
        <f aca="false">IF($B504="","",IF(N($H504)&lt;=0,"Montant ?",IF($D504="RECETTE",IF(COUNTIF(PARAMETRES!$E$5:$E$9,$E504)=0,"Catégorie ?","OK"),IF($D504="DEPENSE",IF(COUNTIF(PARAMETRES!$G$5:$G$20,$E504)=0,"Catégorie ?","OK"),"Type ?"))))</f>
        <v/>
      </c>
    </row>
    <row r="505" customFormat="false" ht="16.5" hidden="false" customHeight="true" outlineLevel="0" collapsed="false">
      <c r="A505" s="81" t="str">
        <f aca="false">IF($B505="","",ROW()-7)</f>
        <v/>
      </c>
      <c r="B505" s="82"/>
      <c r="C505" s="83" t="str">
        <f aca="false">IF($B505="","",YEAR($B505)*100+MONTH($B505))</f>
        <v/>
      </c>
      <c r="D505" s="84"/>
      <c r="E505" s="85"/>
      <c r="F505" s="85"/>
      <c r="G505" s="86"/>
      <c r="H505" s="87"/>
      <c r="I505" s="88"/>
      <c r="J505" s="89" t="str">
        <f aca="false">IF($B505="","",IF(N($H505)&lt;=0,"Montant ?",IF($D505="RECETTE",IF(COUNTIF(PARAMETRES!$E$5:$E$9,$E505)=0,"Catégorie ?","OK"),IF($D505="DEPENSE",IF(COUNTIF(PARAMETRES!$G$5:$G$20,$E505)=0,"Catégorie ?","OK"),"Type ?"))))</f>
        <v/>
      </c>
    </row>
    <row r="506" customFormat="false" ht="16.5" hidden="false" customHeight="true" outlineLevel="0" collapsed="false">
      <c r="A506" s="72" t="str">
        <f aca="false">IF($B506="","",ROW()-7)</f>
        <v/>
      </c>
      <c r="B506" s="73"/>
      <c r="C506" s="74" t="str">
        <f aca="false">IF($B506="","",YEAR($B506)*100+MONTH($B506))</f>
        <v/>
      </c>
      <c r="D506" s="75"/>
      <c r="E506" s="76"/>
      <c r="F506" s="76"/>
      <c r="G506" s="77"/>
      <c r="H506" s="78"/>
      <c r="I506" s="79"/>
      <c r="J506" s="80" t="str">
        <f aca="false">IF($B506="","",IF(N($H506)&lt;=0,"Montant ?",IF($D506="RECETTE",IF(COUNTIF(PARAMETRES!$E$5:$E$9,$E506)=0,"Catégorie ?","OK"),IF($D506="DEPENSE",IF(COUNTIF(PARAMETRES!$G$5:$G$20,$E506)=0,"Catégorie ?","OK"),"Type ?"))))</f>
        <v/>
      </c>
    </row>
    <row r="507" customFormat="false" ht="16.5" hidden="false" customHeight="true" outlineLevel="0" collapsed="false">
      <c r="A507" s="81" t="str">
        <f aca="false">IF($B507="","",ROW()-7)</f>
        <v/>
      </c>
      <c r="B507" s="82"/>
      <c r="C507" s="83" t="str">
        <f aca="false">IF($B507="","",YEAR($B507)*100+MONTH($B507))</f>
        <v/>
      </c>
      <c r="D507" s="84"/>
      <c r="E507" s="85"/>
      <c r="F507" s="85"/>
      <c r="G507" s="86"/>
      <c r="H507" s="87"/>
      <c r="I507" s="88"/>
      <c r="J507" s="89" t="str">
        <f aca="false">IF($B507="","",IF(N($H507)&lt;=0,"Montant ?",IF($D507="RECETTE",IF(COUNTIF(PARAMETRES!$E$5:$E$9,$E507)=0,"Catégorie ?","OK"),IF($D507="DEPENSE",IF(COUNTIF(PARAMETRES!$G$5:$G$20,$E507)=0,"Catégorie ?","OK"),"Type ?"))))</f>
        <v/>
      </c>
    </row>
    <row r="508" customFormat="false" ht="16.5" hidden="false" customHeight="true" outlineLevel="0" collapsed="false">
      <c r="A508" s="72" t="str">
        <f aca="false">IF($B508="","",ROW()-7)</f>
        <v/>
      </c>
      <c r="B508" s="73"/>
      <c r="C508" s="74" t="str">
        <f aca="false">IF($B508="","",YEAR($B508)*100+MONTH($B508))</f>
        <v/>
      </c>
      <c r="D508" s="75"/>
      <c r="E508" s="76"/>
      <c r="F508" s="76"/>
      <c r="G508" s="77"/>
      <c r="H508" s="78"/>
      <c r="I508" s="79"/>
      <c r="J508" s="80" t="str">
        <f aca="false">IF($B508="","",IF(N($H508)&lt;=0,"Montant ?",IF($D508="RECETTE",IF(COUNTIF(PARAMETRES!$E$5:$E$9,$E508)=0,"Catégorie ?","OK"),IF($D508="DEPENSE",IF(COUNTIF(PARAMETRES!$G$5:$G$20,$E508)=0,"Catégorie ?","OK"),"Type ?"))))</f>
        <v/>
      </c>
    </row>
    <row r="509" customFormat="false" ht="16.5" hidden="false" customHeight="true" outlineLevel="0" collapsed="false">
      <c r="A509" s="81" t="str">
        <f aca="false">IF($B509="","",ROW()-7)</f>
        <v/>
      </c>
      <c r="B509" s="82"/>
      <c r="C509" s="83" t="str">
        <f aca="false">IF($B509="","",YEAR($B509)*100+MONTH($B509))</f>
        <v/>
      </c>
      <c r="D509" s="84"/>
      <c r="E509" s="85"/>
      <c r="F509" s="85"/>
      <c r="G509" s="86"/>
      <c r="H509" s="87"/>
      <c r="I509" s="88"/>
      <c r="J509" s="89" t="str">
        <f aca="false">IF($B509="","",IF(N($H509)&lt;=0,"Montant ?",IF($D509="RECETTE",IF(COUNTIF(PARAMETRES!$E$5:$E$9,$E509)=0,"Catégorie ?","OK"),IF($D509="DEPENSE",IF(COUNTIF(PARAMETRES!$G$5:$G$20,$E509)=0,"Catégorie ?","OK"),"Type ?"))))</f>
        <v/>
      </c>
    </row>
    <row r="510" customFormat="false" ht="16.5" hidden="false" customHeight="true" outlineLevel="0" collapsed="false">
      <c r="A510" s="72" t="str">
        <f aca="false">IF($B510="","",ROW()-7)</f>
        <v/>
      </c>
      <c r="B510" s="73"/>
      <c r="C510" s="74" t="str">
        <f aca="false">IF($B510="","",YEAR($B510)*100+MONTH($B510))</f>
        <v/>
      </c>
      <c r="D510" s="75"/>
      <c r="E510" s="76"/>
      <c r="F510" s="76"/>
      <c r="G510" s="77"/>
      <c r="H510" s="78"/>
      <c r="I510" s="79"/>
      <c r="J510" s="80" t="str">
        <f aca="false">IF($B510="","",IF(N($H510)&lt;=0,"Montant ?",IF($D510="RECETTE",IF(COUNTIF(PARAMETRES!$E$5:$E$9,$E510)=0,"Catégorie ?","OK"),IF($D510="DEPENSE",IF(COUNTIF(PARAMETRES!$G$5:$G$20,$E510)=0,"Catégorie ?","OK"),"Type ?"))))</f>
        <v/>
      </c>
    </row>
    <row r="511" customFormat="false" ht="16.5" hidden="false" customHeight="true" outlineLevel="0" collapsed="false">
      <c r="A511" s="81" t="str">
        <f aca="false">IF($B511="","",ROW()-7)</f>
        <v/>
      </c>
      <c r="B511" s="82"/>
      <c r="C511" s="83" t="str">
        <f aca="false">IF($B511="","",YEAR($B511)*100+MONTH($B511))</f>
        <v/>
      </c>
      <c r="D511" s="84"/>
      <c r="E511" s="85"/>
      <c r="F511" s="85"/>
      <c r="G511" s="86"/>
      <c r="H511" s="87"/>
      <c r="I511" s="88"/>
      <c r="J511" s="89" t="str">
        <f aca="false">IF($B511="","",IF(N($H511)&lt;=0,"Montant ?",IF($D511="RECETTE",IF(COUNTIF(PARAMETRES!$E$5:$E$9,$E511)=0,"Catégorie ?","OK"),IF($D511="DEPENSE",IF(COUNTIF(PARAMETRES!$G$5:$G$20,$E511)=0,"Catégorie ?","OK"),"Type ?"))))</f>
        <v/>
      </c>
    </row>
    <row r="512" customFormat="false" ht="16.5" hidden="false" customHeight="true" outlineLevel="0" collapsed="false">
      <c r="A512" s="72" t="str">
        <f aca="false">IF($B512="","",ROW()-7)</f>
        <v/>
      </c>
      <c r="B512" s="73"/>
      <c r="C512" s="74" t="str">
        <f aca="false">IF($B512="","",YEAR($B512)*100+MONTH($B512))</f>
        <v/>
      </c>
      <c r="D512" s="75"/>
      <c r="E512" s="76"/>
      <c r="F512" s="76"/>
      <c r="G512" s="77"/>
      <c r="H512" s="78"/>
      <c r="I512" s="79"/>
      <c r="J512" s="80" t="str">
        <f aca="false">IF($B512="","",IF(N($H512)&lt;=0,"Montant ?",IF($D512="RECETTE",IF(COUNTIF(PARAMETRES!$E$5:$E$9,$E512)=0,"Catégorie ?","OK"),IF($D512="DEPENSE",IF(COUNTIF(PARAMETRES!$G$5:$G$20,$E512)=0,"Catégorie ?","OK"),"Type ?"))))</f>
        <v/>
      </c>
    </row>
    <row r="513" customFormat="false" ht="16.5" hidden="false" customHeight="true" outlineLevel="0" collapsed="false">
      <c r="A513" s="81" t="str">
        <f aca="false">IF($B513="","",ROW()-7)</f>
        <v/>
      </c>
      <c r="B513" s="82"/>
      <c r="C513" s="83" t="str">
        <f aca="false">IF($B513="","",YEAR($B513)*100+MONTH($B513))</f>
        <v/>
      </c>
      <c r="D513" s="84"/>
      <c r="E513" s="85"/>
      <c r="F513" s="85"/>
      <c r="G513" s="86"/>
      <c r="H513" s="87"/>
      <c r="I513" s="88"/>
      <c r="J513" s="89" t="str">
        <f aca="false">IF($B513="","",IF(N($H513)&lt;=0,"Montant ?",IF($D513="RECETTE",IF(COUNTIF(PARAMETRES!$E$5:$E$9,$E513)=0,"Catégorie ?","OK"),IF($D513="DEPENSE",IF(COUNTIF(PARAMETRES!$G$5:$G$20,$E513)=0,"Catégorie ?","OK"),"Type ?"))))</f>
        <v/>
      </c>
    </row>
    <row r="514" customFormat="false" ht="16.5" hidden="false" customHeight="true" outlineLevel="0" collapsed="false">
      <c r="A514" s="72" t="str">
        <f aca="false">IF($B514="","",ROW()-7)</f>
        <v/>
      </c>
      <c r="B514" s="73"/>
      <c r="C514" s="74" t="str">
        <f aca="false">IF($B514="","",YEAR($B514)*100+MONTH($B514))</f>
        <v/>
      </c>
      <c r="D514" s="75"/>
      <c r="E514" s="76"/>
      <c r="F514" s="76"/>
      <c r="G514" s="77"/>
      <c r="H514" s="78"/>
      <c r="I514" s="79"/>
      <c r="J514" s="80" t="str">
        <f aca="false">IF($B514="","",IF(N($H514)&lt;=0,"Montant ?",IF($D514="RECETTE",IF(COUNTIF(PARAMETRES!$E$5:$E$9,$E514)=0,"Catégorie ?","OK"),IF($D514="DEPENSE",IF(COUNTIF(PARAMETRES!$G$5:$G$20,$E514)=0,"Catégorie ?","OK"),"Type ?"))))</f>
        <v/>
      </c>
    </row>
    <row r="515" customFormat="false" ht="16.5" hidden="false" customHeight="true" outlineLevel="0" collapsed="false">
      <c r="A515" s="81" t="str">
        <f aca="false">IF($B515="","",ROW()-7)</f>
        <v/>
      </c>
      <c r="B515" s="82"/>
      <c r="C515" s="83" t="str">
        <f aca="false">IF($B515="","",YEAR($B515)*100+MONTH($B515))</f>
        <v/>
      </c>
      <c r="D515" s="84"/>
      <c r="E515" s="85"/>
      <c r="F515" s="85"/>
      <c r="G515" s="86"/>
      <c r="H515" s="87"/>
      <c r="I515" s="88"/>
      <c r="J515" s="89" t="str">
        <f aca="false">IF($B515="","",IF(N($H515)&lt;=0,"Montant ?",IF($D515="RECETTE",IF(COUNTIF(PARAMETRES!$E$5:$E$9,$E515)=0,"Catégorie ?","OK"),IF($D515="DEPENSE",IF(COUNTIF(PARAMETRES!$G$5:$G$20,$E515)=0,"Catégorie ?","OK"),"Type ?"))))</f>
        <v/>
      </c>
    </row>
    <row r="516" customFormat="false" ht="16.5" hidden="false" customHeight="true" outlineLevel="0" collapsed="false">
      <c r="A516" s="72" t="str">
        <f aca="false">IF($B516="","",ROW()-7)</f>
        <v/>
      </c>
      <c r="B516" s="73"/>
      <c r="C516" s="74" t="str">
        <f aca="false">IF($B516="","",YEAR($B516)*100+MONTH($B516))</f>
        <v/>
      </c>
      <c r="D516" s="75"/>
      <c r="E516" s="76"/>
      <c r="F516" s="76"/>
      <c r="G516" s="77"/>
      <c r="H516" s="78"/>
      <c r="I516" s="79"/>
      <c r="J516" s="80" t="str">
        <f aca="false">IF($B516="","",IF(N($H516)&lt;=0,"Montant ?",IF($D516="RECETTE",IF(COUNTIF(PARAMETRES!$E$5:$E$9,$E516)=0,"Catégorie ?","OK"),IF($D516="DEPENSE",IF(COUNTIF(PARAMETRES!$G$5:$G$20,$E516)=0,"Catégorie ?","OK"),"Type ?"))))</f>
        <v/>
      </c>
    </row>
    <row r="517" customFormat="false" ht="16.5" hidden="false" customHeight="true" outlineLevel="0" collapsed="false">
      <c r="A517" s="81" t="str">
        <f aca="false">IF($B517="","",ROW()-7)</f>
        <v/>
      </c>
      <c r="B517" s="82"/>
      <c r="C517" s="83" t="str">
        <f aca="false">IF($B517="","",YEAR($B517)*100+MONTH($B517))</f>
        <v/>
      </c>
      <c r="D517" s="84"/>
      <c r="E517" s="85"/>
      <c r="F517" s="85"/>
      <c r="G517" s="86"/>
      <c r="H517" s="87"/>
      <c r="I517" s="88"/>
      <c r="J517" s="89" t="str">
        <f aca="false">IF($B517="","",IF(N($H517)&lt;=0,"Montant ?",IF($D517="RECETTE",IF(COUNTIF(PARAMETRES!$E$5:$E$9,$E517)=0,"Catégorie ?","OK"),IF($D517="DEPENSE",IF(COUNTIF(PARAMETRES!$G$5:$G$20,$E517)=0,"Catégorie ?","OK"),"Type ?"))))</f>
        <v/>
      </c>
    </row>
    <row r="518" customFormat="false" ht="16.5" hidden="false" customHeight="true" outlineLevel="0" collapsed="false">
      <c r="A518" s="72" t="str">
        <f aca="false">IF($B518="","",ROW()-7)</f>
        <v/>
      </c>
      <c r="B518" s="73"/>
      <c r="C518" s="74" t="str">
        <f aca="false">IF($B518="","",YEAR($B518)*100+MONTH($B518))</f>
        <v/>
      </c>
      <c r="D518" s="75"/>
      <c r="E518" s="76"/>
      <c r="F518" s="76"/>
      <c r="G518" s="77"/>
      <c r="H518" s="78"/>
      <c r="I518" s="79"/>
      <c r="J518" s="80" t="str">
        <f aca="false">IF($B518="","",IF(N($H518)&lt;=0,"Montant ?",IF($D518="RECETTE",IF(COUNTIF(PARAMETRES!$E$5:$E$9,$E518)=0,"Catégorie ?","OK"),IF($D518="DEPENSE",IF(COUNTIF(PARAMETRES!$G$5:$G$20,$E518)=0,"Catégorie ?","OK"),"Type ?"))))</f>
        <v/>
      </c>
    </row>
    <row r="519" customFormat="false" ht="16.5" hidden="false" customHeight="true" outlineLevel="0" collapsed="false">
      <c r="A519" s="81" t="str">
        <f aca="false">IF($B519="","",ROW()-7)</f>
        <v/>
      </c>
      <c r="B519" s="82"/>
      <c r="C519" s="83" t="str">
        <f aca="false">IF($B519="","",YEAR($B519)*100+MONTH($B519))</f>
        <v/>
      </c>
      <c r="D519" s="84"/>
      <c r="E519" s="85"/>
      <c r="F519" s="85"/>
      <c r="G519" s="86"/>
      <c r="H519" s="87"/>
      <c r="I519" s="88"/>
      <c r="J519" s="89" t="str">
        <f aca="false">IF($B519="","",IF(N($H519)&lt;=0,"Montant ?",IF($D519="RECETTE",IF(COUNTIF(PARAMETRES!$E$5:$E$9,$E519)=0,"Catégorie ?","OK"),IF($D519="DEPENSE",IF(COUNTIF(PARAMETRES!$G$5:$G$20,$E519)=0,"Catégorie ?","OK"),"Type ?"))))</f>
        <v/>
      </c>
    </row>
    <row r="520" customFormat="false" ht="16.5" hidden="false" customHeight="true" outlineLevel="0" collapsed="false">
      <c r="A520" s="72" t="str">
        <f aca="false">IF($B520="","",ROW()-7)</f>
        <v/>
      </c>
      <c r="B520" s="73"/>
      <c r="C520" s="74" t="str">
        <f aca="false">IF($B520="","",YEAR($B520)*100+MONTH($B520))</f>
        <v/>
      </c>
      <c r="D520" s="75"/>
      <c r="E520" s="76"/>
      <c r="F520" s="76"/>
      <c r="G520" s="77"/>
      <c r="H520" s="78"/>
      <c r="I520" s="79"/>
      <c r="J520" s="80" t="str">
        <f aca="false">IF($B520="","",IF(N($H520)&lt;=0,"Montant ?",IF($D520="RECETTE",IF(COUNTIF(PARAMETRES!$E$5:$E$9,$E520)=0,"Catégorie ?","OK"),IF($D520="DEPENSE",IF(COUNTIF(PARAMETRES!$G$5:$G$20,$E520)=0,"Catégorie ?","OK"),"Type ?"))))</f>
        <v/>
      </c>
    </row>
    <row r="521" customFormat="false" ht="16.5" hidden="false" customHeight="true" outlineLevel="0" collapsed="false">
      <c r="A521" s="81" t="str">
        <f aca="false">IF($B521="","",ROW()-7)</f>
        <v/>
      </c>
      <c r="B521" s="82"/>
      <c r="C521" s="83" t="str">
        <f aca="false">IF($B521="","",YEAR($B521)*100+MONTH($B521))</f>
        <v/>
      </c>
      <c r="D521" s="84"/>
      <c r="E521" s="85"/>
      <c r="F521" s="85"/>
      <c r="G521" s="86"/>
      <c r="H521" s="87"/>
      <c r="I521" s="88"/>
      <c r="J521" s="89" t="str">
        <f aca="false">IF($B521="","",IF(N($H521)&lt;=0,"Montant ?",IF($D521="RECETTE",IF(COUNTIF(PARAMETRES!$E$5:$E$9,$E521)=0,"Catégorie ?","OK"),IF($D521="DEPENSE",IF(COUNTIF(PARAMETRES!$G$5:$G$20,$E521)=0,"Catégorie ?","OK"),"Type ?"))))</f>
        <v/>
      </c>
    </row>
    <row r="522" customFormat="false" ht="16.5" hidden="false" customHeight="true" outlineLevel="0" collapsed="false">
      <c r="A522" s="72" t="str">
        <f aca="false">IF($B522="","",ROW()-7)</f>
        <v/>
      </c>
      <c r="B522" s="73"/>
      <c r="C522" s="74" t="str">
        <f aca="false">IF($B522="","",YEAR($B522)*100+MONTH($B522))</f>
        <v/>
      </c>
      <c r="D522" s="75"/>
      <c r="E522" s="76"/>
      <c r="F522" s="76"/>
      <c r="G522" s="77"/>
      <c r="H522" s="78"/>
      <c r="I522" s="79"/>
      <c r="J522" s="80" t="str">
        <f aca="false">IF($B522="","",IF(N($H522)&lt;=0,"Montant ?",IF($D522="RECETTE",IF(COUNTIF(PARAMETRES!$E$5:$E$9,$E522)=0,"Catégorie ?","OK"),IF($D522="DEPENSE",IF(COUNTIF(PARAMETRES!$G$5:$G$20,$E522)=0,"Catégorie ?","OK"),"Type ?"))))</f>
        <v/>
      </c>
    </row>
    <row r="523" customFormat="false" ht="16.5" hidden="false" customHeight="true" outlineLevel="0" collapsed="false">
      <c r="A523" s="81" t="str">
        <f aca="false">IF($B523="","",ROW()-7)</f>
        <v/>
      </c>
      <c r="B523" s="82"/>
      <c r="C523" s="83" t="str">
        <f aca="false">IF($B523="","",YEAR($B523)*100+MONTH($B523))</f>
        <v/>
      </c>
      <c r="D523" s="84"/>
      <c r="E523" s="85"/>
      <c r="F523" s="85"/>
      <c r="G523" s="86"/>
      <c r="H523" s="87"/>
      <c r="I523" s="88"/>
      <c r="J523" s="89" t="str">
        <f aca="false">IF($B523="","",IF(N($H523)&lt;=0,"Montant ?",IF($D523="RECETTE",IF(COUNTIF(PARAMETRES!$E$5:$E$9,$E523)=0,"Catégorie ?","OK"),IF($D523="DEPENSE",IF(COUNTIF(PARAMETRES!$G$5:$G$20,$E523)=0,"Catégorie ?","OK"),"Type ?"))))</f>
        <v/>
      </c>
    </row>
    <row r="524" customFormat="false" ht="16.5" hidden="false" customHeight="true" outlineLevel="0" collapsed="false">
      <c r="A524" s="72" t="str">
        <f aca="false">IF($B524="","",ROW()-7)</f>
        <v/>
      </c>
      <c r="B524" s="73"/>
      <c r="C524" s="74" t="str">
        <f aca="false">IF($B524="","",YEAR($B524)*100+MONTH($B524))</f>
        <v/>
      </c>
      <c r="D524" s="75"/>
      <c r="E524" s="76"/>
      <c r="F524" s="76"/>
      <c r="G524" s="77"/>
      <c r="H524" s="78"/>
      <c r="I524" s="79"/>
      <c r="J524" s="80" t="str">
        <f aca="false">IF($B524="","",IF(N($H524)&lt;=0,"Montant ?",IF($D524="RECETTE",IF(COUNTIF(PARAMETRES!$E$5:$E$9,$E524)=0,"Catégorie ?","OK"),IF($D524="DEPENSE",IF(COUNTIF(PARAMETRES!$G$5:$G$20,$E524)=0,"Catégorie ?","OK"),"Type ?"))))</f>
        <v/>
      </c>
    </row>
    <row r="525" customFormat="false" ht="16.5" hidden="false" customHeight="true" outlineLevel="0" collapsed="false">
      <c r="A525" s="81" t="str">
        <f aca="false">IF($B525="","",ROW()-7)</f>
        <v/>
      </c>
      <c r="B525" s="82"/>
      <c r="C525" s="83" t="str">
        <f aca="false">IF($B525="","",YEAR($B525)*100+MONTH($B525))</f>
        <v/>
      </c>
      <c r="D525" s="84"/>
      <c r="E525" s="85"/>
      <c r="F525" s="85"/>
      <c r="G525" s="86"/>
      <c r="H525" s="87"/>
      <c r="I525" s="88"/>
      <c r="J525" s="89" t="str">
        <f aca="false">IF($B525="","",IF(N($H525)&lt;=0,"Montant ?",IF($D525="RECETTE",IF(COUNTIF(PARAMETRES!$E$5:$E$9,$E525)=0,"Catégorie ?","OK"),IF($D525="DEPENSE",IF(COUNTIF(PARAMETRES!$G$5:$G$20,$E525)=0,"Catégorie ?","OK"),"Type ?"))))</f>
        <v/>
      </c>
    </row>
    <row r="526" customFormat="false" ht="16.5" hidden="false" customHeight="true" outlineLevel="0" collapsed="false">
      <c r="A526" s="72" t="str">
        <f aca="false">IF($B526="","",ROW()-7)</f>
        <v/>
      </c>
      <c r="B526" s="73"/>
      <c r="C526" s="74" t="str">
        <f aca="false">IF($B526="","",YEAR($B526)*100+MONTH($B526))</f>
        <v/>
      </c>
      <c r="D526" s="75"/>
      <c r="E526" s="76"/>
      <c r="F526" s="76"/>
      <c r="G526" s="77"/>
      <c r="H526" s="78"/>
      <c r="I526" s="79"/>
      <c r="J526" s="80" t="str">
        <f aca="false">IF($B526="","",IF(N($H526)&lt;=0,"Montant ?",IF($D526="RECETTE",IF(COUNTIF(PARAMETRES!$E$5:$E$9,$E526)=0,"Catégorie ?","OK"),IF($D526="DEPENSE",IF(COUNTIF(PARAMETRES!$G$5:$G$20,$E526)=0,"Catégorie ?","OK"),"Type ?"))))</f>
        <v/>
      </c>
    </row>
    <row r="527" customFormat="false" ht="16.5" hidden="false" customHeight="true" outlineLevel="0" collapsed="false">
      <c r="A527" s="81" t="str">
        <f aca="false">IF($B527="","",ROW()-7)</f>
        <v/>
      </c>
      <c r="B527" s="82"/>
      <c r="C527" s="83" t="str">
        <f aca="false">IF($B527="","",YEAR($B527)*100+MONTH($B527))</f>
        <v/>
      </c>
      <c r="D527" s="84"/>
      <c r="E527" s="85"/>
      <c r="F527" s="85"/>
      <c r="G527" s="86"/>
      <c r="H527" s="87"/>
      <c r="I527" s="88"/>
      <c r="J527" s="89" t="str">
        <f aca="false">IF($B527="","",IF(N($H527)&lt;=0,"Montant ?",IF($D527="RECETTE",IF(COUNTIF(PARAMETRES!$E$5:$E$9,$E527)=0,"Catégorie ?","OK"),IF($D527="DEPENSE",IF(COUNTIF(PARAMETRES!$G$5:$G$20,$E527)=0,"Catégorie ?","OK"),"Type ?"))))</f>
        <v/>
      </c>
    </row>
    <row r="528" customFormat="false" ht="16.5" hidden="false" customHeight="true" outlineLevel="0" collapsed="false">
      <c r="A528" s="72" t="str">
        <f aca="false">IF($B528="","",ROW()-7)</f>
        <v/>
      </c>
      <c r="B528" s="73"/>
      <c r="C528" s="74" t="str">
        <f aca="false">IF($B528="","",YEAR($B528)*100+MONTH($B528))</f>
        <v/>
      </c>
      <c r="D528" s="75"/>
      <c r="E528" s="76"/>
      <c r="F528" s="76"/>
      <c r="G528" s="77"/>
      <c r="H528" s="78"/>
      <c r="I528" s="79"/>
      <c r="J528" s="80" t="str">
        <f aca="false">IF($B528="","",IF(N($H528)&lt;=0,"Montant ?",IF($D528="RECETTE",IF(COUNTIF(PARAMETRES!$E$5:$E$9,$E528)=0,"Catégorie ?","OK"),IF($D528="DEPENSE",IF(COUNTIF(PARAMETRES!$G$5:$G$20,$E528)=0,"Catégorie ?","OK"),"Type ?"))))</f>
        <v/>
      </c>
    </row>
    <row r="529" customFormat="false" ht="16.5" hidden="false" customHeight="true" outlineLevel="0" collapsed="false">
      <c r="A529" s="81" t="str">
        <f aca="false">IF($B529="","",ROW()-7)</f>
        <v/>
      </c>
      <c r="B529" s="82"/>
      <c r="C529" s="83" t="str">
        <f aca="false">IF($B529="","",YEAR($B529)*100+MONTH($B529))</f>
        <v/>
      </c>
      <c r="D529" s="84"/>
      <c r="E529" s="85"/>
      <c r="F529" s="85"/>
      <c r="G529" s="86"/>
      <c r="H529" s="87"/>
      <c r="I529" s="88"/>
      <c r="J529" s="89" t="str">
        <f aca="false">IF($B529="","",IF(N($H529)&lt;=0,"Montant ?",IF($D529="RECETTE",IF(COUNTIF(PARAMETRES!$E$5:$E$9,$E529)=0,"Catégorie ?","OK"),IF($D529="DEPENSE",IF(COUNTIF(PARAMETRES!$G$5:$G$20,$E529)=0,"Catégorie ?","OK"),"Type ?"))))</f>
        <v/>
      </c>
    </row>
    <row r="530" customFormat="false" ht="16.5" hidden="false" customHeight="true" outlineLevel="0" collapsed="false">
      <c r="A530" s="72" t="str">
        <f aca="false">IF($B530="","",ROW()-7)</f>
        <v/>
      </c>
      <c r="B530" s="73"/>
      <c r="C530" s="74" t="str">
        <f aca="false">IF($B530="","",YEAR($B530)*100+MONTH($B530))</f>
        <v/>
      </c>
      <c r="D530" s="75"/>
      <c r="E530" s="76"/>
      <c r="F530" s="76"/>
      <c r="G530" s="77"/>
      <c r="H530" s="78"/>
      <c r="I530" s="79"/>
      <c r="J530" s="80" t="str">
        <f aca="false">IF($B530="","",IF(N($H530)&lt;=0,"Montant ?",IF($D530="RECETTE",IF(COUNTIF(PARAMETRES!$E$5:$E$9,$E530)=0,"Catégorie ?","OK"),IF($D530="DEPENSE",IF(COUNTIF(PARAMETRES!$G$5:$G$20,$E530)=0,"Catégorie ?","OK"),"Type ?"))))</f>
        <v/>
      </c>
    </row>
    <row r="531" customFormat="false" ht="16.5" hidden="false" customHeight="true" outlineLevel="0" collapsed="false">
      <c r="A531" s="81" t="str">
        <f aca="false">IF($B531="","",ROW()-7)</f>
        <v/>
      </c>
      <c r="B531" s="82"/>
      <c r="C531" s="83" t="str">
        <f aca="false">IF($B531="","",YEAR($B531)*100+MONTH($B531))</f>
        <v/>
      </c>
      <c r="D531" s="84"/>
      <c r="E531" s="85"/>
      <c r="F531" s="85"/>
      <c r="G531" s="86"/>
      <c r="H531" s="87"/>
      <c r="I531" s="88"/>
      <c r="J531" s="89" t="str">
        <f aca="false">IF($B531="","",IF(N($H531)&lt;=0,"Montant ?",IF($D531="RECETTE",IF(COUNTIF(PARAMETRES!$E$5:$E$9,$E531)=0,"Catégorie ?","OK"),IF($D531="DEPENSE",IF(COUNTIF(PARAMETRES!$G$5:$G$20,$E531)=0,"Catégorie ?","OK"),"Type ?"))))</f>
        <v/>
      </c>
    </row>
    <row r="532" customFormat="false" ht="16.5" hidden="false" customHeight="true" outlineLevel="0" collapsed="false">
      <c r="A532" s="72" t="str">
        <f aca="false">IF($B532="","",ROW()-7)</f>
        <v/>
      </c>
      <c r="B532" s="73"/>
      <c r="C532" s="74" t="str">
        <f aca="false">IF($B532="","",YEAR($B532)*100+MONTH($B532))</f>
        <v/>
      </c>
      <c r="D532" s="75"/>
      <c r="E532" s="76"/>
      <c r="F532" s="76"/>
      <c r="G532" s="77"/>
      <c r="H532" s="78"/>
      <c r="I532" s="79"/>
      <c r="J532" s="80" t="str">
        <f aca="false">IF($B532="","",IF(N($H532)&lt;=0,"Montant ?",IF($D532="RECETTE",IF(COUNTIF(PARAMETRES!$E$5:$E$9,$E532)=0,"Catégorie ?","OK"),IF($D532="DEPENSE",IF(COUNTIF(PARAMETRES!$G$5:$G$20,$E532)=0,"Catégorie ?","OK"),"Type ?"))))</f>
        <v/>
      </c>
    </row>
    <row r="533" customFormat="false" ht="16.5" hidden="false" customHeight="true" outlineLevel="0" collapsed="false">
      <c r="A533" s="81" t="str">
        <f aca="false">IF($B533="","",ROW()-7)</f>
        <v/>
      </c>
      <c r="B533" s="82"/>
      <c r="C533" s="83" t="str">
        <f aca="false">IF($B533="","",YEAR($B533)*100+MONTH($B533))</f>
        <v/>
      </c>
      <c r="D533" s="84"/>
      <c r="E533" s="85"/>
      <c r="F533" s="85"/>
      <c r="G533" s="86"/>
      <c r="H533" s="87"/>
      <c r="I533" s="88"/>
      <c r="J533" s="89" t="str">
        <f aca="false">IF($B533="","",IF(N($H533)&lt;=0,"Montant ?",IF($D533="RECETTE",IF(COUNTIF(PARAMETRES!$E$5:$E$9,$E533)=0,"Catégorie ?","OK"),IF($D533="DEPENSE",IF(COUNTIF(PARAMETRES!$G$5:$G$20,$E533)=0,"Catégorie ?","OK"),"Type ?"))))</f>
        <v/>
      </c>
    </row>
    <row r="534" customFormat="false" ht="16.5" hidden="false" customHeight="true" outlineLevel="0" collapsed="false">
      <c r="A534" s="72" t="str">
        <f aca="false">IF($B534="","",ROW()-7)</f>
        <v/>
      </c>
      <c r="B534" s="73"/>
      <c r="C534" s="74" t="str">
        <f aca="false">IF($B534="","",YEAR($B534)*100+MONTH($B534))</f>
        <v/>
      </c>
      <c r="D534" s="75"/>
      <c r="E534" s="76"/>
      <c r="F534" s="76"/>
      <c r="G534" s="77"/>
      <c r="H534" s="78"/>
      <c r="I534" s="79"/>
      <c r="J534" s="80" t="str">
        <f aca="false">IF($B534="","",IF(N($H534)&lt;=0,"Montant ?",IF($D534="RECETTE",IF(COUNTIF(PARAMETRES!$E$5:$E$9,$E534)=0,"Catégorie ?","OK"),IF($D534="DEPENSE",IF(COUNTIF(PARAMETRES!$G$5:$G$20,$E534)=0,"Catégorie ?","OK"),"Type ?"))))</f>
        <v/>
      </c>
    </row>
    <row r="535" customFormat="false" ht="16.5" hidden="false" customHeight="true" outlineLevel="0" collapsed="false">
      <c r="A535" s="81" t="str">
        <f aca="false">IF($B535="","",ROW()-7)</f>
        <v/>
      </c>
      <c r="B535" s="82"/>
      <c r="C535" s="83" t="str">
        <f aca="false">IF($B535="","",YEAR($B535)*100+MONTH($B535))</f>
        <v/>
      </c>
      <c r="D535" s="84"/>
      <c r="E535" s="85"/>
      <c r="F535" s="85"/>
      <c r="G535" s="86"/>
      <c r="H535" s="87"/>
      <c r="I535" s="88"/>
      <c r="J535" s="89" t="str">
        <f aca="false">IF($B535="","",IF(N($H535)&lt;=0,"Montant ?",IF($D535="RECETTE",IF(COUNTIF(PARAMETRES!$E$5:$E$9,$E535)=0,"Catégorie ?","OK"),IF($D535="DEPENSE",IF(COUNTIF(PARAMETRES!$G$5:$G$20,$E535)=0,"Catégorie ?","OK"),"Type ?"))))</f>
        <v/>
      </c>
    </row>
    <row r="536" customFormat="false" ht="16.5" hidden="false" customHeight="true" outlineLevel="0" collapsed="false">
      <c r="A536" s="72" t="str">
        <f aca="false">IF($B536="","",ROW()-7)</f>
        <v/>
      </c>
      <c r="B536" s="73"/>
      <c r="C536" s="74" t="str">
        <f aca="false">IF($B536="","",YEAR($B536)*100+MONTH($B536))</f>
        <v/>
      </c>
      <c r="D536" s="75"/>
      <c r="E536" s="76"/>
      <c r="F536" s="76"/>
      <c r="G536" s="77"/>
      <c r="H536" s="78"/>
      <c r="I536" s="79"/>
      <c r="J536" s="80" t="str">
        <f aca="false">IF($B536="","",IF(N($H536)&lt;=0,"Montant ?",IF($D536="RECETTE",IF(COUNTIF(PARAMETRES!$E$5:$E$9,$E536)=0,"Catégorie ?","OK"),IF($D536="DEPENSE",IF(COUNTIF(PARAMETRES!$G$5:$G$20,$E536)=0,"Catégorie ?","OK"),"Type ?"))))</f>
        <v/>
      </c>
    </row>
    <row r="537" customFormat="false" ht="16.5" hidden="false" customHeight="true" outlineLevel="0" collapsed="false">
      <c r="A537" s="81" t="str">
        <f aca="false">IF($B537="","",ROW()-7)</f>
        <v/>
      </c>
      <c r="B537" s="82"/>
      <c r="C537" s="83" t="str">
        <f aca="false">IF($B537="","",YEAR($B537)*100+MONTH($B537))</f>
        <v/>
      </c>
      <c r="D537" s="84"/>
      <c r="E537" s="85"/>
      <c r="F537" s="85"/>
      <c r="G537" s="86"/>
      <c r="H537" s="87"/>
      <c r="I537" s="88"/>
      <c r="J537" s="89" t="str">
        <f aca="false">IF($B537="","",IF(N($H537)&lt;=0,"Montant ?",IF($D537="RECETTE",IF(COUNTIF(PARAMETRES!$E$5:$E$9,$E537)=0,"Catégorie ?","OK"),IF($D537="DEPENSE",IF(COUNTIF(PARAMETRES!$G$5:$G$20,$E537)=0,"Catégorie ?","OK"),"Type ?"))))</f>
        <v/>
      </c>
    </row>
    <row r="538" customFormat="false" ht="16.5" hidden="false" customHeight="true" outlineLevel="0" collapsed="false">
      <c r="A538" s="72" t="str">
        <f aca="false">IF($B538="","",ROW()-7)</f>
        <v/>
      </c>
      <c r="B538" s="73"/>
      <c r="C538" s="74" t="str">
        <f aca="false">IF($B538="","",YEAR($B538)*100+MONTH($B538))</f>
        <v/>
      </c>
      <c r="D538" s="75"/>
      <c r="E538" s="76"/>
      <c r="F538" s="76"/>
      <c r="G538" s="77"/>
      <c r="H538" s="78"/>
      <c r="I538" s="79"/>
      <c r="J538" s="80" t="str">
        <f aca="false">IF($B538="","",IF(N($H538)&lt;=0,"Montant ?",IF($D538="RECETTE",IF(COUNTIF(PARAMETRES!$E$5:$E$9,$E538)=0,"Catégorie ?","OK"),IF($D538="DEPENSE",IF(COUNTIF(PARAMETRES!$G$5:$G$20,$E538)=0,"Catégorie ?","OK"),"Type ?"))))</f>
        <v/>
      </c>
    </row>
    <row r="539" customFormat="false" ht="16.5" hidden="false" customHeight="true" outlineLevel="0" collapsed="false">
      <c r="A539" s="81" t="str">
        <f aca="false">IF($B539="","",ROW()-7)</f>
        <v/>
      </c>
      <c r="B539" s="82"/>
      <c r="C539" s="83" t="str">
        <f aca="false">IF($B539="","",YEAR($B539)*100+MONTH($B539))</f>
        <v/>
      </c>
      <c r="D539" s="84"/>
      <c r="E539" s="85"/>
      <c r="F539" s="85"/>
      <c r="G539" s="86"/>
      <c r="H539" s="87"/>
      <c r="I539" s="88"/>
      <c r="J539" s="89" t="str">
        <f aca="false">IF($B539="","",IF(N($H539)&lt;=0,"Montant ?",IF($D539="RECETTE",IF(COUNTIF(PARAMETRES!$E$5:$E$9,$E539)=0,"Catégorie ?","OK"),IF($D539="DEPENSE",IF(COUNTIF(PARAMETRES!$G$5:$G$20,$E539)=0,"Catégorie ?","OK"),"Type ?"))))</f>
        <v/>
      </c>
    </row>
    <row r="540" customFormat="false" ht="16.5" hidden="false" customHeight="true" outlineLevel="0" collapsed="false">
      <c r="A540" s="72" t="str">
        <f aca="false">IF($B540="","",ROW()-7)</f>
        <v/>
      </c>
      <c r="B540" s="73"/>
      <c r="C540" s="74" t="str">
        <f aca="false">IF($B540="","",YEAR($B540)*100+MONTH($B540))</f>
        <v/>
      </c>
      <c r="D540" s="75"/>
      <c r="E540" s="76"/>
      <c r="F540" s="76"/>
      <c r="G540" s="77"/>
      <c r="H540" s="78"/>
      <c r="I540" s="79"/>
      <c r="J540" s="80" t="str">
        <f aca="false">IF($B540="","",IF(N($H540)&lt;=0,"Montant ?",IF($D540="RECETTE",IF(COUNTIF(PARAMETRES!$E$5:$E$9,$E540)=0,"Catégorie ?","OK"),IF($D540="DEPENSE",IF(COUNTIF(PARAMETRES!$G$5:$G$20,$E540)=0,"Catégorie ?","OK"),"Type ?"))))</f>
        <v/>
      </c>
    </row>
    <row r="541" customFormat="false" ht="16.5" hidden="false" customHeight="true" outlineLevel="0" collapsed="false">
      <c r="A541" s="81" t="str">
        <f aca="false">IF($B541="","",ROW()-7)</f>
        <v/>
      </c>
      <c r="B541" s="82"/>
      <c r="C541" s="83" t="str">
        <f aca="false">IF($B541="","",YEAR($B541)*100+MONTH($B541))</f>
        <v/>
      </c>
      <c r="D541" s="84"/>
      <c r="E541" s="85"/>
      <c r="F541" s="85"/>
      <c r="G541" s="86"/>
      <c r="H541" s="87"/>
      <c r="I541" s="88"/>
      <c r="J541" s="89" t="str">
        <f aca="false">IF($B541="","",IF(N($H541)&lt;=0,"Montant ?",IF($D541="RECETTE",IF(COUNTIF(PARAMETRES!$E$5:$E$9,$E541)=0,"Catégorie ?","OK"),IF($D541="DEPENSE",IF(COUNTIF(PARAMETRES!$G$5:$G$20,$E541)=0,"Catégorie ?","OK"),"Type ?"))))</f>
        <v/>
      </c>
    </row>
    <row r="542" customFormat="false" ht="16.5" hidden="false" customHeight="true" outlineLevel="0" collapsed="false">
      <c r="A542" s="72" t="str">
        <f aca="false">IF($B542="","",ROW()-7)</f>
        <v/>
      </c>
      <c r="B542" s="73"/>
      <c r="C542" s="74" t="str">
        <f aca="false">IF($B542="","",YEAR($B542)*100+MONTH($B542))</f>
        <v/>
      </c>
      <c r="D542" s="75"/>
      <c r="E542" s="76"/>
      <c r="F542" s="76"/>
      <c r="G542" s="77"/>
      <c r="H542" s="78"/>
      <c r="I542" s="79"/>
      <c r="J542" s="80" t="str">
        <f aca="false">IF($B542="","",IF(N($H542)&lt;=0,"Montant ?",IF($D542="RECETTE",IF(COUNTIF(PARAMETRES!$E$5:$E$9,$E542)=0,"Catégorie ?","OK"),IF($D542="DEPENSE",IF(COUNTIF(PARAMETRES!$G$5:$G$20,$E542)=0,"Catégorie ?","OK"),"Type ?"))))</f>
        <v/>
      </c>
    </row>
    <row r="543" customFormat="false" ht="16.5" hidden="false" customHeight="true" outlineLevel="0" collapsed="false">
      <c r="A543" s="81" t="str">
        <f aca="false">IF($B543="","",ROW()-7)</f>
        <v/>
      </c>
      <c r="B543" s="82"/>
      <c r="C543" s="83" t="str">
        <f aca="false">IF($B543="","",YEAR($B543)*100+MONTH($B543))</f>
        <v/>
      </c>
      <c r="D543" s="84"/>
      <c r="E543" s="85"/>
      <c r="F543" s="85"/>
      <c r="G543" s="86"/>
      <c r="H543" s="87"/>
      <c r="I543" s="88"/>
      <c r="J543" s="89" t="str">
        <f aca="false">IF($B543="","",IF(N($H543)&lt;=0,"Montant ?",IF($D543="RECETTE",IF(COUNTIF(PARAMETRES!$E$5:$E$9,$E543)=0,"Catégorie ?","OK"),IF($D543="DEPENSE",IF(COUNTIF(PARAMETRES!$G$5:$G$20,$E543)=0,"Catégorie ?","OK"),"Type ?"))))</f>
        <v/>
      </c>
    </row>
    <row r="544" customFormat="false" ht="16.5" hidden="false" customHeight="true" outlineLevel="0" collapsed="false">
      <c r="A544" s="72" t="str">
        <f aca="false">IF($B544="","",ROW()-7)</f>
        <v/>
      </c>
      <c r="B544" s="73"/>
      <c r="C544" s="74" t="str">
        <f aca="false">IF($B544="","",YEAR($B544)*100+MONTH($B544))</f>
        <v/>
      </c>
      <c r="D544" s="75"/>
      <c r="E544" s="76"/>
      <c r="F544" s="76"/>
      <c r="G544" s="77"/>
      <c r="H544" s="78"/>
      <c r="I544" s="79"/>
      <c r="J544" s="80" t="str">
        <f aca="false">IF($B544="","",IF(N($H544)&lt;=0,"Montant ?",IF($D544="RECETTE",IF(COUNTIF(PARAMETRES!$E$5:$E$9,$E544)=0,"Catégorie ?","OK"),IF($D544="DEPENSE",IF(COUNTIF(PARAMETRES!$G$5:$G$20,$E544)=0,"Catégorie ?","OK"),"Type ?"))))</f>
        <v/>
      </c>
    </row>
    <row r="545" customFormat="false" ht="16.5" hidden="false" customHeight="true" outlineLevel="0" collapsed="false">
      <c r="A545" s="81" t="str">
        <f aca="false">IF($B545="","",ROW()-7)</f>
        <v/>
      </c>
      <c r="B545" s="82"/>
      <c r="C545" s="83" t="str">
        <f aca="false">IF($B545="","",YEAR($B545)*100+MONTH($B545))</f>
        <v/>
      </c>
      <c r="D545" s="84"/>
      <c r="E545" s="85"/>
      <c r="F545" s="85"/>
      <c r="G545" s="86"/>
      <c r="H545" s="87"/>
      <c r="I545" s="88"/>
      <c r="J545" s="89" t="str">
        <f aca="false">IF($B545="","",IF(N($H545)&lt;=0,"Montant ?",IF($D545="RECETTE",IF(COUNTIF(PARAMETRES!$E$5:$E$9,$E545)=0,"Catégorie ?","OK"),IF($D545="DEPENSE",IF(COUNTIF(PARAMETRES!$G$5:$G$20,$E545)=0,"Catégorie ?","OK"),"Type ?"))))</f>
        <v/>
      </c>
    </row>
    <row r="546" customFormat="false" ht="16.5" hidden="false" customHeight="true" outlineLevel="0" collapsed="false">
      <c r="A546" s="72" t="str">
        <f aca="false">IF($B546="","",ROW()-7)</f>
        <v/>
      </c>
      <c r="B546" s="73"/>
      <c r="C546" s="74" t="str">
        <f aca="false">IF($B546="","",YEAR($B546)*100+MONTH($B546))</f>
        <v/>
      </c>
      <c r="D546" s="75"/>
      <c r="E546" s="76"/>
      <c r="F546" s="76"/>
      <c r="G546" s="77"/>
      <c r="H546" s="78"/>
      <c r="I546" s="79"/>
      <c r="J546" s="80" t="str">
        <f aca="false">IF($B546="","",IF(N($H546)&lt;=0,"Montant ?",IF($D546="RECETTE",IF(COUNTIF(PARAMETRES!$E$5:$E$9,$E546)=0,"Catégorie ?","OK"),IF($D546="DEPENSE",IF(COUNTIF(PARAMETRES!$G$5:$G$20,$E546)=0,"Catégorie ?","OK"),"Type ?"))))</f>
        <v/>
      </c>
    </row>
    <row r="547" customFormat="false" ht="16.5" hidden="false" customHeight="true" outlineLevel="0" collapsed="false">
      <c r="A547" s="81" t="str">
        <f aca="false">IF($B547="","",ROW()-7)</f>
        <v/>
      </c>
      <c r="B547" s="82"/>
      <c r="C547" s="83" t="str">
        <f aca="false">IF($B547="","",YEAR($B547)*100+MONTH($B547))</f>
        <v/>
      </c>
      <c r="D547" s="84"/>
      <c r="E547" s="85"/>
      <c r="F547" s="85"/>
      <c r="G547" s="86"/>
      <c r="H547" s="87"/>
      <c r="I547" s="88"/>
      <c r="J547" s="89" t="str">
        <f aca="false">IF($B547="","",IF(N($H547)&lt;=0,"Montant ?",IF($D547="RECETTE",IF(COUNTIF(PARAMETRES!$E$5:$E$9,$E547)=0,"Catégorie ?","OK"),IF($D547="DEPENSE",IF(COUNTIF(PARAMETRES!$G$5:$G$20,$E547)=0,"Catégorie ?","OK"),"Type ?"))))</f>
        <v/>
      </c>
    </row>
    <row r="548" customFormat="false" ht="16.5" hidden="false" customHeight="true" outlineLevel="0" collapsed="false">
      <c r="A548" s="72" t="str">
        <f aca="false">IF($B548="","",ROW()-7)</f>
        <v/>
      </c>
      <c r="B548" s="73"/>
      <c r="C548" s="74" t="str">
        <f aca="false">IF($B548="","",YEAR($B548)*100+MONTH($B548))</f>
        <v/>
      </c>
      <c r="D548" s="75"/>
      <c r="E548" s="76"/>
      <c r="F548" s="76"/>
      <c r="G548" s="77"/>
      <c r="H548" s="78"/>
      <c r="I548" s="79"/>
      <c r="J548" s="80" t="str">
        <f aca="false">IF($B548="","",IF(N($H548)&lt;=0,"Montant ?",IF($D548="RECETTE",IF(COUNTIF(PARAMETRES!$E$5:$E$9,$E548)=0,"Catégorie ?","OK"),IF($D548="DEPENSE",IF(COUNTIF(PARAMETRES!$G$5:$G$20,$E548)=0,"Catégorie ?","OK"),"Type ?"))))</f>
        <v/>
      </c>
    </row>
    <row r="549" customFormat="false" ht="16.5" hidden="false" customHeight="true" outlineLevel="0" collapsed="false">
      <c r="A549" s="81" t="str">
        <f aca="false">IF($B549="","",ROW()-7)</f>
        <v/>
      </c>
      <c r="B549" s="82"/>
      <c r="C549" s="83" t="str">
        <f aca="false">IF($B549="","",YEAR($B549)*100+MONTH($B549))</f>
        <v/>
      </c>
      <c r="D549" s="84"/>
      <c r="E549" s="85"/>
      <c r="F549" s="85"/>
      <c r="G549" s="86"/>
      <c r="H549" s="87"/>
      <c r="I549" s="88"/>
      <c r="J549" s="89" t="str">
        <f aca="false">IF($B549="","",IF(N($H549)&lt;=0,"Montant ?",IF($D549="RECETTE",IF(COUNTIF(PARAMETRES!$E$5:$E$9,$E549)=0,"Catégorie ?","OK"),IF($D549="DEPENSE",IF(COUNTIF(PARAMETRES!$G$5:$G$20,$E549)=0,"Catégorie ?","OK"),"Type ?"))))</f>
        <v/>
      </c>
    </row>
    <row r="550" customFormat="false" ht="16.5" hidden="false" customHeight="true" outlineLevel="0" collapsed="false">
      <c r="A550" s="72" t="str">
        <f aca="false">IF($B550="","",ROW()-7)</f>
        <v/>
      </c>
      <c r="B550" s="73"/>
      <c r="C550" s="74" t="str">
        <f aca="false">IF($B550="","",YEAR($B550)*100+MONTH($B550))</f>
        <v/>
      </c>
      <c r="D550" s="75"/>
      <c r="E550" s="76"/>
      <c r="F550" s="76"/>
      <c r="G550" s="77"/>
      <c r="H550" s="78"/>
      <c r="I550" s="79"/>
      <c r="J550" s="80" t="str">
        <f aca="false">IF($B550="","",IF(N($H550)&lt;=0,"Montant ?",IF($D550="RECETTE",IF(COUNTIF(PARAMETRES!$E$5:$E$9,$E550)=0,"Catégorie ?","OK"),IF($D550="DEPENSE",IF(COUNTIF(PARAMETRES!$G$5:$G$20,$E550)=0,"Catégorie ?","OK"),"Type ?"))))</f>
        <v/>
      </c>
    </row>
    <row r="551" customFormat="false" ht="16.5" hidden="false" customHeight="true" outlineLevel="0" collapsed="false">
      <c r="A551" s="81" t="str">
        <f aca="false">IF($B551="","",ROW()-7)</f>
        <v/>
      </c>
      <c r="B551" s="82"/>
      <c r="C551" s="83" t="str">
        <f aca="false">IF($B551="","",YEAR($B551)*100+MONTH($B551))</f>
        <v/>
      </c>
      <c r="D551" s="84"/>
      <c r="E551" s="85"/>
      <c r="F551" s="85"/>
      <c r="G551" s="86"/>
      <c r="H551" s="87"/>
      <c r="I551" s="88"/>
      <c r="J551" s="89" t="str">
        <f aca="false">IF($B551="","",IF(N($H551)&lt;=0,"Montant ?",IF($D551="RECETTE",IF(COUNTIF(PARAMETRES!$E$5:$E$9,$E551)=0,"Catégorie ?","OK"),IF($D551="DEPENSE",IF(COUNTIF(PARAMETRES!$G$5:$G$20,$E551)=0,"Catégorie ?","OK"),"Type ?"))))</f>
        <v/>
      </c>
    </row>
    <row r="552" customFormat="false" ht="16.5" hidden="false" customHeight="true" outlineLevel="0" collapsed="false">
      <c r="A552" s="72" t="str">
        <f aca="false">IF($B552="","",ROW()-7)</f>
        <v/>
      </c>
      <c r="B552" s="73"/>
      <c r="C552" s="74" t="str">
        <f aca="false">IF($B552="","",YEAR($B552)*100+MONTH($B552))</f>
        <v/>
      </c>
      <c r="D552" s="75"/>
      <c r="E552" s="76"/>
      <c r="F552" s="76"/>
      <c r="G552" s="77"/>
      <c r="H552" s="78"/>
      <c r="I552" s="79"/>
      <c r="J552" s="80" t="str">
        <f aca="false">IF($B552="","",IF(N($H552)&lt;=0,"Montant ?",IF($D552="RECETTE",IF(COUNTIF(PARAMETRES!$E$5:$E$9,$E552)=0,"Catégorie ?","OK"),IF($D552="DEPENSE",IF(COUNTIF(PARAMETRES!$G$5:$G$20,$E552)=0,"Catégorie ?","OK"),"Type ?"))))</f>
        <v/>
      </c>
    </row>
    <row r="553" customFormat="false" ht="16.5" hidden="false" customHeight="true" outlineLevel="0" collapsed="false">
      <c r="A553" s="81" t="str">
        <f aca="false">IF($B553="","",ROW()-7)</f>
        <v/>
      </c>
      <c r="B553" s="82"/>
      <c r="C553" s="83" t="str">
        <f aca="false">IF($B553="","",YEAR($B553)*100+MONTH($B553))</f>
        <v/>
      </c>
      <c r="D553" s="84"/>
      <c r="E553" s="85"/>
      <c r="F553" s="85"/>
      <c r="G553" s="86"/>
      <c r="H553" s="87"/>
      <c r="I553" s="88"/>
      <c r="J553" s="89" t="str">
        <f aca="false">IF($B553="","",IF(N($H553)&lt;=0,"Montant ?",IF($D553="RECETTE",IF(COUNTIF(PARAMETRES!$E$5:$E$9,$E553)=0,"Catégorie ?","OK"),IF($D553="DEPENSE",IF(COUNTIF(PARAMETRES!$G$5:$G$20,$E553)=0,"Catégorie ?","OK"),"Type ?"))))</f>
        <v/>
      </c>
    </row>
    <row r="554" customFormat="false" ht="16.5" hidden="false" customHeight="true" outlineLevel="0" collapsed="false">
      <c r="A554" s="72" t="str">
        <f aca="false">IF($B554="","",ROW()-7)</f>
        <v/>
      </c>
      <c r="B554" s="73"/>
      <c r="C554" s="74" t="str">
        <f aca="false">IF($B554="","",YEAR($B554)*100+MONTH($B554))</f>
        <v/>
      </c>
      <c r="D554" s="75"/>
      <c r="E554" s="76"/>
      <c r="F554" s="76"/>
      <c r="G554" s="77"/>
      <c r="H554" s="78"/>
      <c r="I554" s="79"/>
      <c r="J554" s="80" t="str">
        <f aca="false">IF($B554="","",IF(N($H554)&lt;=0,"Montant ?",IF($D554="RECETTE",IF(COUNTIF(PARAMETRES!$E$5:$E$9,$E554)=0,"Catégorie ?","OK"),IF($D554="DEPENSE",IF(COUNTIF(PARAMETRES!$G$5:$G$20,$E554)=0,"Catégorie ?","OK"),"Type ?"))))</f>
        <v/>
      </c>
    </row>
    <row r="555" customFormat="false" ht="16.5" hidden="false" customHeight="true" outlineLevel="0" collapsed="false">
      <c r="A555" s="81" t="str">
        <f aca="false">IF($B555="","",ROW()-7)</f>
        <v/>
      </c>
      <c r="B555" s="82"/>
      <c r="C555" s="83" t="str">
        <f aca="false">IF($B555="","",YEAR($B555)*100+MONTH($B555))</f>
        <v/>
      </c>
      <c r="D555" s="84"/>
      <c r="E555" s="85"/>
      <c r="F555" s="85"/>
      <c r="G555" s="86"/>
      <c r="H555" s="87"/>
      <c r="I555" s="88"/>
      <c r="J555" s="89" t="str">
        <f aca="false">IF($B555="","",IF(N($H555)&lt;=0,"Montant ?",IF($D555="RECETTE",IF(COUNTIF(PARAMETRES!$E$5:$E$9,$E555)=0,"Catégorie ?","OK"),IF($D555="DEPENSE",IF(COUNTIF(PARAMETRES!$G$5:$G$20,$E555)=0,"Catégorie ?","OK"),"Type ?"))))</f>
        <v/>
      </c>
    </row>
    <row r="556" customFormat="false" ht="16.5" hidden="false" customHeight="true" outlineLevel="0" collapsed="false">
      <c r="A556" s="72" t="str">
        <f aca="false">IF($B556="","",ROW()-7)</f>
        <v/>
      </c>
      <c r="B556" s="73"/>
      <c r="C556" s="74" t="str">
        <f aca="false">IF($B556="","",YEAR($B556)*100+MONTH($B556))</f>
        <v/>
      </c>
      <c r="D556" s="75"/>
      <c r="E556" s="76"/>
      <c r="F556" s="76"/>
      <c r="G556" s="77"/>
      <c r="H556" s="78"/>
      <c r="I556" s="79"/>
      <c r="J556" s="80" t="str">
        <f aca="false">IF($B556="","",IF(N($H556)&lt;=0,"Montant ?",IF($D556="RECETTE",IF(COUNTIF(PARAMETRES!$E$5:$E$9,$E556)=0,"Catégorie ?","OK"),IF($D556="DEPENSE",IF(COUNTIF(PARAMETRES!$G$5:$G$20,$E556)=0,"Catégorie ?","OK"),"Type ?"))))</f>
        <v/>
      </c>
    </row>
    <row r="557" customFormat="false" ht="16.5" hidden="false" customHeight="true" outlineLevel="0" collapsed="false">
      <c r="A557" s="81" t="str">
        <f aca="false">IF($B557="","",ROW()-7)</f>
        <v/>
      </c>
      <c r="B557" s="82"/>
      <c r="C557" s="83" t="str">
        <f aca="false">IF($B557="","",YEAR($B557)*100+MONTH($B557))</f>
        <v/>
      </c>
      <c r="D557" s="84"/>
      <c r="E557" s="85"/>
      <c r="F557" s="85"/>
      <c r="G557" s="86"/>
      <c r="H557" s="87"/>
      <c r="I557" s="88"/>
      <c r="J557" s="89" t="str">
        <f aca="false">IF($B557="","",IF(N($H557)&lt;=0,"Montant ?",IF($D557="RECETTE",IF(COUNTIF(PARAMETRES!$E$5:$E$9,$E557)=0,"Catégorie ?","OK"),IF($D557="DEPENSE",IF(COUNTIF(PARAMETRES!$G$5:$G$20,$E557)=0,"Catégorie ?","OK"),"Type ?"))))</f>
        <v/>
      </c>
    </row>
    <row r="558" customFormat="false" ht="16.5" hidden="false" customHeight="true" outlineLevel="0" collapsed="false">
      <c r="A558" s="72" t="str">
        <f aca="false">IF($B558="","",ROW()-7)</f>
        <v/>
      </c>
      <c r="B558" s="73"/>
      <c r="C558" s="74" t="str">
        <f aca="false">IF($B558="","",YEAR($B558)*100+MONTH($B558))</f>
        <v/>
      </c>
      <c r="D558" s="75"/>
      <c r="E558" s="76"/>
      <c r="F558" s="76"/>
      <c r="G558" s="77"/>
      <c r="H558" s="78"/>
      <c r="I558" s="79"/>
      <c r="J558" s="80" t="str">
        <f aca="false">IF($B558="","",IF(N($H558)&lt;=0,"Montant ?",IF($D558="RECETTE",IF(COUNTIF(PARAMETRES!$E$5:$E$9,$E558)=0,"Catégorie ?","OK"),IF($D558="DEPENSE",IF(COUNTIF(PARAMETRES!$G$5:$G$20,$E558)=0,"Catégorie ?","OK"),"Type ?"))))</f>
        <v/>
      </c>
    </row>
    <row r="559" customFormat="false" ht="16.5" hidden="false" customHeight="true" outlineLevel="0" collapsed="false">
      <c r="A559" s="81" t="str">
        <f aca="false">IF($B559="","",ROW()-7)</f>
        <v/>
      </c>
      <c r="B559" s="82"/>
      <c r="C559" s="83" t="str">
        <f aca="false">IF($B559="","",YEAR($B559)*100+MONTH($B559))</f>
        <v/>
      </c>
      <c r="D559" s="84"/>
      <c r="E559" s="85"/>
      <c r="F559" s="85"/>
      <c r="G559" s="86"/>
      <c r="H559" s="87"/>
      <c r="I559" s="88"/>
      <c r="J559" s="89" t="str">
        <f aca="false">IF($B559="","",IF(N($H559)&lt;=0,"Montant ?",IF($D559="RECETTE",IF(COUNTIF(PARAMETRES!$E$5:$E$9,$E559)=0,"Catégorie ?","OK"),IF($D559="DEPENSE",IF(COUNTIF(PARAMETRES!$G$5:$G$20,$E559)=0,"Catégorie ?","OK"),"Type ?"))))</f>
        <v/>
      </c>
    </row>
    <row r="560" customFormat="false" ht="16.5" hidden="false" customHeight="true" outlineLevel="0" collapsed="false">
      <c r="A560" s="72" t="str">
        <f aca="false">IF($B560="","",ROW()-7)</f>
        <v/>
      </c>
      <c r="B560" s="73"/>
      <c r="C560" s="74" t="str">
        <f aca="false">IF($B560="","",YEAR($B560)*100+MONTH($B560))</f>
        <v/>
      </c>
      <c r="D560" s="75"/>
      <c r="E560" s="76"/>
      <c r="F560" s="76"/>
      <c r="G560" s="77"/>
      <c r="H560" s="78"/>
      <c r="I560" s="79"/>
      <c r="J560" s="80" t="str">
        <f aca="false">IF($B560="","",IF(N($H560)&lt;=0,"Montant ?",IF($D560="RECETTE",IF(COUNTIF(PARAMETRES!$E$5:$E$9,$E560)=0,"Catégorie ?","OK"),IF($D560="DEPENSE",IF(COUNTIF(PARAMETRES!$G$5:$G$20,$E560)=0,"Catégorie ?","OK"),"Type ?"))))</f>
        <v/>
      </c>
    </row>
    <row r="561" customFormat="false" ht="16.5" hidden="false" customHeight="true" outlineLevel="0" collapsed="false">
      <c r="A561" s="81" t="str">
        <f aca="false">IF($B561="","",ROW()-7)</f>
        <v/>
      </c>
      <c r="B561" s="82"/>
      <c r="C561" s="83" t="str">
        <f aca="false">IF($B561="","",YEAR($B561)*100+MONTH($B561))</f>
        <v/>
      </c>
      <c r="D561" s="84"/>
      <c r="E561" s="85"/>
      <c r="F561" s="85"/>
      <c r="G561" s="86"/>
      <c r="H561" s="87"/>
      <c r="I561" s="88"/>
      <c r="J561" s="89" t="str">
        <f aca="false">IF($B561="","",IF(N($H561)&lt;=0,"Montant ?",IF($D561="RECETTE",IF(COUNTIF(PARAMETRES!$E$5:$E$9,$E561)=0,"Catégorie ?","OK"),IF($D561="DEPENSE",IF(COUNTIF(PARAMETRES!$G$5:$G$20,$E561)=0,"Catégorie ?","OK"),"Type ?"))))</f>
        <v/>
      </c>
    </row>
    <row r="562" customFormat="false" ht="16.5" hidden="false" customHeight="true" outlineLevel="0" collapsed="false">
      <c r="A562" s="72" t="str">
        <f aca="false">IF($B562="","",ROW()-7)</f>
        <v/>
      </c>
      <c r="B562" s="73"/>
      <c r="C562" s="74" t="str">
        <f aca="false">IF($B562="","",YEAR($B562)*100+MONTH($B562))</f>
        <v/>
      </c>
      <c r="D562" s="75"/>
      <c r="E562" s="76"/>
      <c r="F562" s="76"/>
      <c r="G562" s="77"/>
      <c r="H562" s="78"/>
      <c r="I562" s="79"/>
      <c r="J562" s="80" t="str">
        <f aca="false">IF($B562="","",IF(N($H562)&lt;=0,"Montant ?",IF($D562="RECETTE",IF(COUNTIF(PARAMETRES!$E$5:$E$9,$E562)=0,"Catégorie ?","OK"),IF($D562="DEPENSE",IF(COUNTIF(PARAMETRES!$G$5:$G$20,$E562)=0,"Catégorie ?","OK"),"Type ?"))))</f>
        <v/>
      </c>
    </row>
    <row r="563" customFormat="false" ht="16.5" hidden="false" customHeight="true" outlineLevel="0" collapsed="false">
      <c r="A563" s="81" t="str">
        <f aca="false">IF($B563="","",ROW()-7)</f>
        <v/>
      </c>
      <c r="B563" s="82"/>
      <c r="C563" s="83" t="str">
        <f aca="false">IF($B563="","",YEAR($B563)*100+MONTH($B563))</f>
        <v/>
      </c>
      <c r="D563" s="84"/>
      <c r="E563" s="85"/>
      <c r="F563" s="85"/>
      <c r="G563" s="86"/>
      <c r="H563" s="87"/>
      <c r="I563" s="88"/>
      <c r="J563" s="89" t="str">
        <f aca="false">IF($B563="","",IF(N($H563)&lt;=0,"Montant ?",IF($D563="RECETTE",IF(COUNTIF(PARAMETRES!$E$5:$E$9,$E563)=0,"Catégorie ?","OK"),IF($D563="DEPENSE",IF(COUNTIF(PARAMETRES!$G$5:$G$20,$E563)=0,"Catégorie ?","OK"),"Type ?"))))</f>
        <v/>
      </c>
    </row>
    <row r="564" customFormat="false" ht="16.5" hidden="false" customHeight="true" outlineLevel="0" collapsed="false">
      <c r="A564" s="72" t="str">
        <f aca="false">IF($B564="","",ROW()-7)</f>
        <v/>
      </c>
      <c r="B564" s="73"/>
      <c r="C564" s="74" t="str">
        <f aca="false">IF($B564="","",YEAR($B564)*100+MONTH($B564))</f>
        <v/>
      </c>
      <c r="D564" s="75"/>
      <c r="E564" s="76"/>
      <c r="F564" s="76"/>
      <c r="G564" s="77"/>
      <c r="H564" s="78"/>
      <c r="I564" s="79"/>
      <c r="J564" s="80" t="str">
        <f aca="false">IF($B564="","",IF(N($H564)&lt;=0,"Montant ?",IF($D564="RECETTE",IF(COUNTIF(PARAMETRES!$E$5:$E$9,$E564)=0,"Catégorie ?","OK"),IF($D564="DEPENSE",IF(COUNTIF(PARAMETRES!$G$5:$G$20,$E564)=0,"Catégorie ?","OK"),"Type ?"))))</f>
        <v/>
      </c>
    </row>
    <row r="565" customFormat="false" ht="16.5" hidden="false" customHeight="true" outlineLevel="0" collapsed="false">
      <c r="A565" s="81" t="str">
        <f aca="false">IF($B565="","",ROW()-7)</f>
        <v/>
      </c>
      <c r="B565" s="82"/>
      <c r="C565" s="83" t="str">
        <f aca="false">IF($B565="","",YEAR($B565)*100+MONTH($B565))</f>
        <v/>
      </c>
      <c r="D565" s="84"/>
      <c r="E565" s="85"/>
      <c r="F565" s="85"/>
      <c r="G565" s="86"/>
      <c r="H565" s="87"/>
      <c r="I565" s="88"/>
      <c r="J565" s="89" t="str">
        <f aca="false">IF($B565="","",IF(N($H565)&lt;=0,"Montant ?",IF($D565="RECETTE",IF(COUNTIF(PARAMETRES!$E$5:$E$9,$E565)=0,"Catégorie ?","OK"),IF($D565="DEPENSE",IF(COUNTIF(PARAMETRES!$G$5:$G$20,$E565)=0,"Catégorie ?","OK"),"Type ?"))))</f>
        <v/>
      </c>
    </row>
    <row r="566" customFormat="false" ht="16.5" hidden="false" customHeight="true" outlineLevel="0" collapsed="false">
      <c r="A566" s="72" t="str">
        <f aca="false">IF($B566="","",ROW()-7)</f>
        <v/>
      </c>
      <c r="B566" s="73"/>
      <c r="C566" s="74" t="str">
        <f aca="false">IF($B566="","",YEAR($B566)*100+MONTH($B566))</f>
        <v/>
      </c>
      <c r="D566" s="75"/>
      <c r="E566" s="76"/>
      <c r="F566" s="76"/>
      <c r="G566" s="77"/>
      <c r="H566" s="78"/>
      <c r="I566" s="79"/>
      <c r="J566" s="80" t="str">
        <f aca="false">IF($B566="","",IF(N($H566)&lt;=0,"Montant ?",IF($D566="RECETTE",IF(COUNTIF(PARAMETRES!$E$5:$E$9,$E566)=0,"Catégorie ?","OK"),IF($D566="DEPENSE",IF(COUNTIF(PARAMETRES!$G$5:$G$20,$E566)=0,"Catégorie ?","OK"),"Type ?"))))</f>
        <v/>
      </c>
    </row>
    <row r="567" customFormat="false" ht="16.5" hidden="false" customHeight="true" outlineLevel="0" collapsed="false">
      <c r="A567" s="81" t="str">
        <f aca="false">IF($B567="","",ROW()-7)</f>
        <v/>
      </c>
      <c r="B567" s="82"/>
      <c r="C567" s="83" t="str">
        <f aca="false">IF($B567="","",YEAR($B567)*100+MONTH($B567))</f>
        <v/>
      </c>
      <c r="D567" s="84"/>
      <c r="E567" s="85"/>
      <c r="F567" s="85"/>
      <c r="G567" s="86"/>
      <c r="H567" s="87"/>
      <c r="I567" s="88"/>
      <c r="J567" s="89" t="str">
        <f aca="false">IF($B567="","",IF(N($H567)&lt;=0,"Montant ?",IF($D567="RECETTE",IF(COUNTIF(PARAMETRES!$E$5:$E$9,$E567)=0,"Catégorie ?","OK"),IF($D567="DEPENSE",IF(COUNTIF(PARAMETRES!$G$5:$G$20,$E567)=0,"Catégorie ?","OK"),"Type ?"))))</f>
        <v/>
      </c>
    </row>
    <row r="568" customFormat="false" ht="16.5" hidden="false" customHeight="true" outlineLevel="0" collapsed="false">
      <c r="A568" s="72" t="str">
        <f aca="false">IF($B568="","",ROW()-7)</f>
        <v/>
      </c>
      <c r="B568" s="73"/>
      <c r="C568" s="74" t="str">
        <f aca="false">IF($B568="","",YEAR($B568)*100+MONTH($B568))</f>
        <v/>
      </c>
      <c r="D568" s="75"/>
      <c r="E568" s="76"/>
      <c r="F568" s="76"/>
      <c r="G568" s="77"/>
      <c r="H568" s="78"/>
      <c r="I568" s="79"/>
      <c r="J568" s="80" t="str">
        <f aca="false">IF($B568="","",IF(N($H568)&lt;=0,"Montant ?",IF($D568="RECETTE",IF(COUNTIF(PARAMETRES!$E$5:$E$9,$E568)=0,"Catégorie ?","OK"),IF($D568="DEPENSE",IF(COUNTIF(PARAMETRES!$G$5:$G$20,$E568)=0,"Catégorie ?","OK"),"Type ?"))))</f>
        <v/>
      </c>
    </row>
    <row r="569" customFormat="false" ht="16.5" hidden="false" customHeight="true" outlineLevel="0" collapsed="false">
      <c r="A569" s="81" t="str">
        <f aca="false">IF($B569="","",ROW()-7)</f>
        <v/>
      </c>
      <c r="B569" s="82"/>
      <c r="C569" s="83" t="str">
        <f aca="false">IF($B569="","",YEAR($B569)*100+MONTH($B569))</f>
        <v/>
      </c>
      <c r="D569" s="84"/>
      <c r="E569" s="85"/>
      <c r="F569" s="85"/>
      <c r="G569" s="86"/>
      <c r="H569" s="87"/>
      <c r="I569" s="88"/>
      <c r="J569" s="89" t="str">
        <f aca="false">IF($B569="","",IF(N($H569)&lt;=0,"Montant ?",IF($D569="RECETTE",IF(COUNTIF(PARAMETRES!$E$5:$E$9,$E569)=0,"Catégorie ?","OK"),IF($D569="DEPENSE",IF(COUNTIF(PARAMETRES!$G$5:$G$20,$E569)=0,"Catégorie ?","OK"),"Type ?"))))</f>
        <v/>
      </c>
    </row>
    <row r="570" customFormat="false" ht="16.5" hidden="false" customHeight="true" outlineLevel="0" collapsed="false">
      <c r="A570" s="72" t="str">
        <f aca="false">IF($B570="","",ROW()-7)</f>
        <v/>
      </c>
      <c r="B570" s="73"/>
      <c r="C570" s="74" t="str">
        <f aca="false">IF($B570="","",YEAR($B570)*100+MONTH($B570))</f>
        <v/>
      </c>
      <c r="D570" s="75"/>
      <c r="E570" s="76"/>
      <c r="F570" s="76"/>
      <c r="G570" s="77"/>
      <c r="H570" s="78"/>
      <c r="I570" s="79"/>
      <c r="J570" s="80" t="str">
        <f aca="false">IF($B570="","",IF(N($H570)&lt;=0,"Montant ?",IF($D570="RECETTE",IF(COUNTIF(PARAMETRES!$E$5:$E$9,$E570)=0,"Catégorie ?","OK"),IF($D570="DEPENSE",IF(COUNTIF(PARAMETRES!$G$5:$G$20,$E570)=0,"Catégorie ?","OK"),"Type ?"))))</f>
        <v/>
      </c>
    </row>
    <row r="571" customFormat="false" ht="16.5" hidden="false" customHeight="true" outlineLevel="0" collapsed="false">
      <c r="A571" s="81" t="str">
        <f aca="false">IF($B571="","",ROW()-7)</f>
        <v/>
      </c>
      <c r="B571" s="82"/>
      <c r="C571" s="83" t="str">
        <f aca="false">IF($B571="","",YEAR($B571)*100+MONTH($B571))</f>
        <v/>
      </c>
      <c r="D571" s="84"/>
      <c r="E571" s="85"/>
      <c r="F571" s="85"/>
      <c r="G571" s="86"/>
      <c r="H571" s="87"/>
      <c r="I571" s="88"/>
      <c r="J571" s="89" t="str">
        <f aca="false">IF($B571="","",IF(N($H571)&lt;=0,"Montant ?",IF($D571="RECETTE",IF(COUNTIF(PARAMETRES!$E$5:$E$9,$E571)=0,"Catégorie ?","OK"),IF($D571="DEPENSE",IF(COUNTIF(PARAMETRES!$G$5:$G$20,$E571)=0,"Catégorie ?","OK"),"Type ?"))))</f>
        <v/>
      </c>
    </row>
    <row r="572" customFormat="false" ht="16.5" hidden="false" customHeight="true" outlineLevel="0" collapsed="false">
      <c r="A572" s="72" t="str">
        <f aca="false">IF($B572="","",ROW()-7)</f>
        <v/>
      </c>
      <c r="B572" s="73"/>
      <c r="C572" s="74" t="str">
        <f aca="false">IF($B572="","",YEAR($B572)*100+MONTH($B572))</f>
        <v/>
      </c>
      <c r="D572" s="75"/>
      <c r="E572" s="76"/>
      <c r="F572" s="76"/>
      <c r="G572" s="77"/>
      <c r="H572" s="78"/>
      <c r="I572" s="79"/>
      <c r="J572" s="80" t="str">
        <f aca="false">IF($B572="","",IF(N($H572)&lt;=0,"Montant ?",IF($D572="RECETTE",IF(COUNTIF(PARAMETRES!$E$5:$E$9,$E572)=0,"Catégorie ?","OK"),IF($D572="DEPENSE",IF(COUNTIF(PARAMETRES!$G$5:$G$20,$E572)=0,"Catégorie ?","OK"),"Type ?"))))</f>
        <v/>
      </c>
    </row>
    <row r="573" customFormat="false" ht="16.5" hidden="false" customHeight="true" outlineLevel="0" collapsed="false">
      <c r="A573" s="81" t="str">
        <f aca="false">IF($B573="","",ROW()-7)</f>
        <v/>
      </c>
      <c r="B573" s="82"/>
      <c r="C573" s="83" t="str">
        <f aca="false">IF($B573="","",YEAR($B573)*100+MONTH($B573))</f>
        <v/>
      </c>
      <c r="D573" s="84"/>
      <c r="E573" s="85"/>
      <c r="F573" s="85"/>
      <c r="G573" s="86"/>
      <c r="H573" s="87"/>
      <c r="I573" s="88"/>
      <c r="J573" s="89" t="str">
        <f aca="false">IF($B573="","",IF(N($H573)&lt;=0,"Montant ?",IF($D573="RECETTE",IF(COUNTIF(PARAMETRES!$E$5:$E$9,$E573)=0,"Catégorie ?","OK"),IF($D573="DEPENSE",IF(COUNTIF(PARAMETRES!$G$5:$G$20,$E573)=0,"Catégorie ?","OK"),"Type ?"))))</f>
        <v/>
      </c>
    </row>
    <row r="574" customFormat="false" ht="16.5" hidden="false" customHeight="true" outlineLevel="0" collapsed="false">
      <c r="A574" s="72" t="str">
        <f aca="false">IF($B574="","",ROW()-7)</f>
        <v/>
      </c>
      <c r="B574" s="73"/>
      <c r="C574" s="74" t="str">
        <f aca="false">IF($B574="","",YEAR($B574)*100+MONTH($B574))</f>
        <v/>
      </c>
      <c r="D574" s="75"/>
      <c r="E574" s="76"/>
      <c r="F574" s="76"/>
      <c r="G574" s="77"/>
      <c r="H574" s="78"/>
      <c r="I574" s="79"/>
      <c r="J574" s="80" t="str">
        <f aca="false">IF($B574="","",IF(N($H574)&lt;=0,"Montant ?",IF($D574="RECETTE",IF(COUNTIF(PARAMETRES!$E$5:$E$9,$E574)=0,"Catégorie ?","OK"),IF($D574="DEPENSE",IF(COUNTIF(PARAMETRES!$G$5:$G$20,$E574)=0,"Catégorie ?","OK"),"Type ?"))))</f>
        <v/>
      </c>
    </row>
    <row r="575" customFormat="false" ht="16.5" hidden="false" customHeight="true" outlineLevel="0" collapsed="false">
      <c r="A575" s="81" t="str">
        <f aca="false">IF($B575="","",ROW()-7)</f>
        <v/>
      </c>
      <c r="B575" s="82"/>
      <c r="C575" s="83" t="str">
        <f aca="false">IF($B575="","",YEAR($B575)*100+MONTH($B575))</f>
        <v/>
      </c>
      <c r="D575" s="84"/>
      <c r="E575" s="85"/>
      <c r="F575" s="85"/>
      <c r="G575" s="86"/>
      <c r="H575" s="87"/>
      <c r="I575" s="88"/>
      <c r="J575" s="89" t="str">
        <f aca="false">IF($B575="","",IF(N($H575)&lt;=0,"Montant ?",IF($D575="RECETTE",IF(COUNTIF(PARAMETRES!$E$5:$E$9,$E575)=0,"Catégorie ?","OK"),IF($D575="DEPENSE",IF(COUNTIF(PARAMETRES!$G$5:$G$20,$E575)=0,"Catégorie ?","OK"),"Type ?"))))</f>
        <v/>
      </c>
    </row>
    <row r="576" customFormat="false" ht="16.5" hidden="false" customHeight="true" outlineLevel="0" collapsed="false">
      <c r="A576" s="72" t="str">
        <f aca="false">IF($B576="","",ROW()-7)</f>
        <v/>
      </c>
      <c r="B576" s="73"/>
      <c r="C576" s="74" t="str">
        <f aca="false">IF($B576="","",YEAR($B576)*100+MONTH($B576))</f>
        <v/>
      </c>
      <c r="D576" s="75"/>
      <c r="E576" s="76"/>
      <c r="F576" s="76"/>
      <c r="G576" s="77"/>
      <c r="H576" s="78"/>
      <c r="I576" s="79"/>
      <c r="J576" s="80" t="str">
        <f aca="false">IF($B576="","",IF(N($H576)&lt;=0,"Montant ?",IF($D576="RECETTE",IF(COUNTIF(PARAMETRES!$E$5:$E$9,$E576)=0,"Catégorie ?","OK"),IF($D576="DEPENSE",IF(COUNTIF(PARAMETRES!$G$5:$G$20,$E576)=0,"Catégorie ?","OK"),"Type ?"))))</f>
        <v/>
      </c>
    </row>
    <row r="577" customFormat="false" ht="16.5" hidden="false" customHeight="true" outlineLevel="0" collapsed="false">
      <c r="A577" s="81" t="str">
        <f aca="false">IF($B577="","",ROW()-7)</f>
        <v/>
      </c>
      <c r="B577" s="82"/>
      <c r="C577" s="83" t="str">
        <f aca="false">IF($B577="","",YEAR($B577)*100+MONTH($B577))</f>
        <v/>
      </c>
      <c r="D577" s="84"/>
      <c r="E577" s="85"/>
      <c r="F577" s="85"/>
      <c r="G577" s="86"/>
      <c r="H577" s="87"/>
      <c r="I577" s="88"/>
      <c r="J577" s="89" t="str">
        <f aca="false">IF($B577="","",IF(N($H577)&lt;=0,"Montant ?",IF($D577="RECETTE",IF(COUNTIF(PARAMETRES!$E$5:$E$9,$E577)=0,"Catégorie ?","OK"),IF($D577="DEPENSE",IF(COUNTIF(PARAMETRES!$G$5:$G$20,$E577)=0,"Catégorie ?","OK"),"Type ?"))))</f>
        <v/>
      </c>
    </row>
    <row r="578" customFormat="false" ht="16.5" hidden="false" customHeight="true" outlineLevel="0" collapsed="false">
      <c r="A578" s="72" t="str">
        <f aca="false">IF($B578="","",ROW()-7)</f>
        <v/>
      </c>
      <c r="B578" s="73"/>
      <c r="C578" s="74" t="str">
        <f aca="false">IF($B578="","",YEAR($B578)*100+MONTH($B578))</f>
        <v/>
      </c>
      <c r="D578" s="75"/>
      <c r="E578" s="76"/>
      <c r="F578" s="76"/>
      <c r="G578" s="77"/>
      <c r="H578" s="78"/>
      <c r="I578" s="79"/>
      <c r="J578" s="80" t="str">
        <f aca="false">IF($B578="","",IF(N($H578)&lt;=0,"Montant ?",IF($D578="RECETTE",IF(COUNTIF(PARAMETRES!$E$5:$E$9,$E578)=0,"Catégorie ?","OK"),IF($D578="DEPENSE",IF(COUNTIF(PARAMETRES!$G$5:$G$20,$E578)=0,"Catégorie ?","OK"),"Type ?"))))</f>
        <v/>
      </c>
    </row>
    <row r="579" customFormat="false" ht="16.5" hidden="false" customHeight="true" outlineLevel="0" collapsed="false">
      <c r="A579" s="81" t="str">
        <f aca="false">IF($B579="","",ROW()-7)</f>
        <v/>
      </c>
      <c r="B579" s="82"/>
      <c r="C579" s="83" t="str">
        <f aca="false">IF($B579="","",YEAR($B579)*100+MONTH($B579))</f>
        <v/>
      </c>
      <c r="D579" s="84"/>
      <c r="E579" s="85"/>
      <c r="F579" s="85"/>
      <c r="G579" s="86"/>
      <c r="H579" s="87"/>
      <c r="I579" s="88"/>
      <c r="J579" s="89" t="str">
        <f aca="false">IF($B579="","",IF(N($H579)&lt;=0,"Montant ?",IF($D579="RECETTE",IF(COUNTIF(PARAMETRES!$E$5:$E$9,$E579)=0,"Catégorie ?","OK"),IF($D579="DEPENSE",IF(COUNTIF(PARAMETRES!$G$5:$G$20,$E579)=0,"Catégorie ?","OK"),"Type ?"))))</f>
        <v/>
      </c>
    </row>
    <row r="580" customFormat="false" ht="16.5" hidden="false" customHeight="true" outlineLevel="0" collapsed="false">
      <c r="A580" s="72" t="str">
        <f aca="false">IF($B580="","",ROW()-7)</f>
        <v/>
      </c>
      <c r="B580" s="73"/>
      <c r="C580" s="74" t="str">
        <f aca="false">IF($B580="","",YEAR($B580)*100+MONTH($B580))</f>
        <v/>
      </c>
      <c r="D580" s="75"/>
      <c r="E580" s="76"/>
      <c r="F580" s="76"/>
      <c r="G580" s="77"/>
      <c r="H580" s="78"/>
      <c r="I580" s="79"/>
      <c r="J580" s="80" t="str">
        <f aca="false">IF($B580="","",IF(N($H580)&lt;=0,"Montant ?",IF($D580="RECETTE",IF(COUNTIF(PARAMETRES!$E$5:$E$9,$E580)=0,"Catégorie ?","OK"),IF($D580="DEPENSE",IF(COUNTIF(PARAMETRES!$G$5:$G$20,$E580)=0,"Catégorie ?","OK"),"Type ?"))))</f>
        <v/>
      </c>
    </row>
    <row r="581" customFormat="false" ht="16.5" hidden="false" customHeight="true" outlineLevel="0" collapsed="false">
      <c r="A581" s="81" t="str">
        <f aca="false">IF($B581="","",ROW()-7)</f>
        <v/>
      </c>
      <c r="B581" s="82"/>
      <c r="C581" s="83" t="str">
        <f aca="false">IF($B581="","",YEAR($B581)*100+MONTH($B581))</f>
        <v/>
      </c>
      <c r="D581" s="84"/>
      <c r="E581" s="85"/>
      <c r="F581" s="85"/>
      <c r="G581" s="86"/>
      <c r="H581" s="87"/>
      <c r="I581" s="88"/>
      <c r="J581" s="89" t="str">
        <f aca="false">IF($B581="","",IF(N($H581)&lt;=0,"Montant ?",IF($D581="RECETTE",IF(COUNTIF(PARAMETRES!$E$5:$E$9,$E581)=0,"Catégorie ?","OK"),IF($D581="DEPENSE",IF(COUNTIF(PARAMETRES!$G$5:$G$20,$E581)=0,"Catégorie ?","OK"),"Type ?"))))</f>
        <v/>
      </c>
    </row>
    <row r="582" customFormat="false" ht="16.5" hidden="false" customHeight="true" outlineLevel="0" collapsed="false">
      <c r="A582" s="72" t="str">
        <f aca="false">IF($B582="","",ROW()-7)</f>
        <v/>
      </c>
      <c r="B582" s="73"/>
      <c r="C582" s="74" t="str">
        <f aca="false">IF($B582="","",YEAR($B582)*100+MONTH($B582))</f>
        <v/>
      </c>
      <c r="D582" s="75"/>
      <c r="E582" s="76"/>
      <c r="F582" s="76"/>
      <c r="G582" s="77"/>
      <c r="H582" s="78"/>
      <c r="I582" s="79"/>
      <c r="J582" s="80" t="str">
        <f aca="false">IF($B582="","",IF(N($H582)&lt;=0,"Montant ?",IF($D582="RECETTE",IF(COUNTIF(PARAMETRES!$E$5:$E$9,$E582)=0,"Catégorie ?","OK"),IF($D582="DEPENSE",IF(COUNTIF(PARAMETRES!$G$5:$G$20,$E582)=0,"Catégorie ?","OK"),"Type ?"))))</f>
        <v/>
      </c>
    </row>
    <row r="583" customFormat="false" ht="16.5" hidden="false" customHeight="true" outlineLevel="0" collapsed="false">
      <c r="A583" s="81" t="str">
        <f aca="false">IF($B583="","",ROW()-7)</f>
        <v/>
      </c>
      <c r="B583" s="82"/>
      <c r="C583" s="83" t="str">
        <f aca="false">IF($B583="","",YEAR($B583)*100+MONTH($B583))</f>
        <v/>
      </c>
      <c r="D583" s="84"/>
      <c r="E583" s="85"/>
      <c r="F583" s="85"/>
      <c r="G583" s="86"/>
      <c r="H583" s="87"/>
      <c r="I583" s="88"/>
      <c r="J583" s="89" t="str">
        <f aca="false">IF($B583="","",IF(N($H583)&lt;=0,"Montant ?",IF($D583="RECETTE",IF(COUNTIF(PARAMETRES!$E$5:$E$9,$E583)=0,"Catégorie ?","OK"),IF($D583="DEPENSE",IF(COUNTIF(PARAMETRES!$G$5:$G$20,$E583)=0,"Catégorie ?","OK"),"Type ?"))))</f>
        <v/>
      </c>
    </row>
    <row r="584" customFormat="false" ht="16.5" hidden="false" customHeight="true" outlineLevel="0" collapsed="false">
      <c r="A584" s="72" t="str">
        <f aca="false">IF($B584="","",ROW()-7)</f>
        <v/>
      </c>
      <c r="B584" s="73"/>
      <c r="C584" s="74" t="str">
        <f aca="false">IF($B584="","",YEAR($B584)*100+MONTH($B584))</f>
        <v/>
      </c>
      <c r="D584" s="75"/>
      <c r="E584" s="76"/>
      <c r="F584" s="76"/>
      <c r="G584" s="77"/>
      <c r="H584" s="78"/>
      <c r="I584" s="79"/>
      <c r="J584" s="80" t="str">
        <f aca="false">IF($B584="","",IF(N($H584)&lt;=0,"Montant ?",IF($D584="RECETTE",IF(COUNTIF(PARAMETRES!$E$5:$E$9,$E584)=0,"Catégorie ?","OK"),IF($D584="DEPENSE",IF(COUNTIF(PARAMETRES!$G$5:$G$20,$E584)=0,"Catégorie ?","OK"),"Type ?"))))</f>
        <v/>
      </c>
    </row>
    <row r="585" customFormat="false" ht="16.5" hidden="false" customHeight="true" outlineLevel="0" collapsed="false">
      <c r="A585" s="81" t="str">
        <f aca="false">IF($B585="","",ROW()-7)</f>
        <v/>
      </c>
      <c r="B585" s="82"/>
      <c r="C585" s="83" t="str">
        <f aca="false">IF($B585="","",YEAR($B585)*100+MONTH($B585))</f>
        <v/>
      </c>
      <c r="D585" s="84"/>
      <c r="E585" s="85"/>
      <c r="F585" s="85"/>
      <c r="G585" s="86"/>
      <c r="H585" s="87"/>
      <c r="I585" s="88"/>
      <c r="J585" s="89" t="str">
        <f aca="false">IF($B585="","",IF(N($H585)&lt;=0,"Montant ?",IF($D585="RECETTE",IF(COUNTIF(PARAMETRES!$E$5:$E$9,$E585)=0,"Catégorie ?","OK"),IF($D585="DEPENSE",IF(COUNTIF(PARAMETRES!$G$5:$G$20,$E585)=0,"Catégorie ?","OK"),"Type ?"))))</f>
        <v/>
      </c>
    </row>
    <row r="586" customFormat="false" ht="16.5" hidden="false" customHeight="true" outlineLevel="0" collapsed="false">
      <c r="A586" s="72" t="str">
        <f aca="false">IF($B586="","",ROW()-7)</f>
        <v/>
      </c>
      <c r="B586" s="73"/>
      <c r="C586" s="74" t="str">
        <f aca="false">IF($B586="","",YEAR($B586)*100+MONTH($B586))</f>
        <v/>
      </c>
      <c r="D586" s="75"/>
      <c r="E586" s="76"/>
      <c r="F586" s="76"/>
      <c r="G586" s="77"/>
      <c r="H586" s="78"/>
      <c r="I586" s="79"/>
      <c r="J586" s="80" t="str">
        <f aca="false">IF($B586="","",IF(N($H586)&lt;=0,"Montant ?",IF($D586="RECETTE",IF(COUNTIF(PARAMETRES!$E$5:$E$9,$E586)=0,"Catégorie ?","OK"),IF($D586="DEPENSE",IF(COUNTIF(PARAMETRES!$G$5:$G$20,$E586)=0,"Catégorie ?","OK"),"Type ?"))))</f>
        <v/>
      </c>
    </row>
    <row r="587" customFormat="false" ht="16.5" hidden="false" customHeight="true" outlineLevel="0" collapsed="false">
      <c r="A587" s="81" t="str">
        <f aca="false">IF($B587="","",ROW()-7)</f>
        <v/>
      </c>
      <c r="B587" s="82"/>
      <c r="C587" s="83" t="str">
        <f aca="false">IF($B587="","",YEAR($B587)*100+MONTH($B587))</f>
        <v/>
      </c>
      <c r="D587" s="84"/>
      <c r="E587" s="85"/>
      <c r="F587" s="85"/>
      <c r="G587" s="86"/>
      <c r="H587" s="87"/>
      <c r="I587" s="88"/>
      <c r="J587" s="89" t="str">
        <f aca="false">IF($B587="","",IF(N($H587)&lt;=0,"Montant ?",IF($D587="RECETTE",IF(COUNTIF(PARAMETRES!$E$5:$E$9,$E587)=0,"Catégorie ?","OK"),IF($D587="DEPENSE",IF(COUNTIF(PARAMETRES!$G$5:$G$20,$E587)=0,"Catégorie ?","OK"),"Type ?"))))</f>
        <v/>
      </c>
    </row>
    <row r="588" customFormat="false" ht="16.5" hidden="false" customHeight="true" outlineLevel="0" collapsed="false">
      <c r="A588" s="72" t="str">
        <f aca="false">IF($B588="","",ROW()-7)</f>
        <v/>
      </c>
      <c r="B588" s="73"/>
      <c r="C588" s="74" t="str">
        <f aca="false">IF($B588="","",YEAR($B588)*100+MONTH($B588))</f>
        <v/>
      </c>
      <c r="D588" s="75"/>
      <c r="E588" s="76"/>
      <c r="F588" s="76"/>
      <c r="G588" s="77"/>
      <c r="H588" s="78"/>
      <c r="I588" s="79"/>
      <c r="J588" s="80" t="str">
        <f aca="false">IF($B588="","",IF(N($H588)&lt;=0,"Montant ?",IF($D588="RECETTE",IF(COUNTIF(PARAMETRES!$E$5:$E$9,$E588)=0,"Catégorie ?","OK"),IF($D588="DEPENSE",IF(COUNTIF(PARAMETRES!$G$5:$G$20,$E588)=0,"Catégorie ?","OK"),"Type ?"))))</f>
        <v/>
      </c>
    </row>
    <row r="589" customFormat="false" ht="16.5" hidden="false" customHeight="true" outlineLevel="0" collapsed="false">
      <c r="A589" s="81" t="str">
        <f aca="false">IF($B589="","",ROW()-7)</f>
        <v/>
      </c>
      <c r="B589" s="82"/>
      <c r="C589" s="83" t="str">
        <f aca="false">IF($B589="","",YEAR($B589)*100+MONTH($B589))</f>
        <v/>
      </c>
      <c r="D589" s="84"/>
      <c r="E589" s="85"/>
      <c r="F589" s="85"/>
      <c r="G589" s="86"/>
      <c r="H589" s="87"/>
      <c r="I589" s="88"/>
      <c r="J589" s="89" t="str">
        <f aca="false">IF($B589="","",IF(N($H589)&lt;=0,"Montant ?",IF($D589="RECETTE",IF(COUNTIF(PARAMETRES!$E$5:$E$9,$E589)=0,"Catégorie ?","OK"),IF($D589="DEPENSE",IF(COUNTIF(PARAMETRES!$G$5:$G$20,$E589)=0,"Catégorie ?","OK"),"Type ?"))))</f>
        <v/>
      </c>
    </row>
    <row r="590" customFormat="false" ht="16.5" hidden="false" customHeight="true" outlineLevel="0" collapsed="false">
      <c r="A590" s="72" t="str">
        <f aca="false">IF($B590="","",ROW()-7)</f>
        <v/>
      </c>
      <c r="B590" s="73"/>
      <c r="C590" s="74" t="str">
        <f aca="false">IF($B590="","",YEAR($B590)*100+MONTH($B590))</f>
        <v/>
      </c>
      <c r="D590" s="75"/>
      <c r="E590" s="76"/>
      <c r="F590" s="76"/>
      <c r="G590" s="77"/>
      <c r="H590" s="78"/>
      <c r="I590" s="79"/>
      <c r="J590" s="80" t="str">
        <f aca="false">IF($B590="","",IF(N($H590)&lt;=0,"Montant ?",IF($D590="RECETTE",IF(COUNTIF(PARAMETRES!$E$5:$E$9,$E590)=0,"Catégorie ?","OK"),IF($D590="DEPENSE",IF(COUNTIF(PARAMETRES!$G$5:$G$20,$E590)=0,"Catégorie ?","OK"),"Type ?"))))</f>
        <v/>
      </c>
    </row>
    <row r="591" customFormat="false" ht="16.5" hidden="false" customHeight="true" outlineLevel="0" collapsed="false">
      <c r="A591" s="81" t="str">
        <f aca="false">IF($B591="","",ROW()-7)</f>
        <v/>
      </c>
      <c r="B591" s="82"/>
      <c r="C591" s="83" t="str">
        <f aca="false">IF($B591="","",YEAR($B591)*100+MONTH($B591))</f>
        <v/>
      </c>
      <c r="D591" s="84"/>
      <c r="E591" s="85"/>
      <c r="F591" s="85"/>
      <c r="G591" s="86"/>
      <c r="H591" s="87"/>
      <c r="I591" s="88"/>
      <c r="J591" s="89" t="str">
        <f aca="false">IF($B591="","",IF(N($H591)&lt;=0,"Montant ?",IF($D591="RECETTE",IF(COUNTIF(PARAMETRES!$E$5:$E$9,$E591)=0,"Catégorie ?","OK"),IF($D591="DEPENSE",IF(COUNTIF(PARAMETRES!$G$5:$G$20,$E591)=0,"Catégorie ?","OK"),"Type ?"))))</f>
        <v/>
      </c>
    </row>
    <row r="592" customFormat="false" ht="16.5" hidden="false" customHeight="true" outlineLevel="0" collapsed="false">
      <c r="A592" s="72" t="str">
        <f aca="false">IF($B592="","",ROW()-7)</f>
        <v/>
      </c>
      <c r="B592" s="73"/>
      <c r="C592" s="74" t="str">
        <f aca="false">IF($B592="","",YEAR($B592)*100+MONTH($B592))</f>
        <v/>
      </c>
      <c r="D592" s="75"/>
      <c r="E592" s="76"/>
      <c r="F592" s="76"/>
      <c r="G592" s="77"/>
      <c r="H592" s="78"/>
      <c r="I592" s="79"/>
      <c r="J592" s="80" t="str">
        <f aca="false">IF($B592="","",IF(N($H592)&lt;=0,"Montant ?",IF($D592="RECETTE",IF(COUNTIF(PARAMETRES!$E$5:$E$9,$E592)=0,"Catégorie ?","OK"),IF($D592="DEPENSE",IF(COUNTIF(PARAMETRES!$G$5:$G$20,$E592)=0,"Catégorie ?","OK"),"Type ?"))))</f>
        <v/>
      </c>
    </row>
    <row r="593" customFormat="false" ht="16.5" hidden="false" customHeight="true" outlineLevel="0" collapsed="false">
      <c r="A593" s="81" t="str">
        <f aca="false">IF($B593="","",ROW()-7)</f>
        <v/>
      </c>
      <c r="B593" s="82"/>
      <c r="C593" s="83" t="str">
        <f aca="false">IF($B593="","",YEAR($B593)*100+MONTH($B593))</f>
        <v/>
      </c>
      <c r="D593" s="84"/>
      <c r="E593" s="85"/>
      <c r="F593" s="85"/>
      <c r="G593" s="86"/>
      <c r="H593" s="87"/>
      <c r="I593" s="88"/>
      <c r="J593" s="89" t="str">
        <f aca="false">IF($B593="","",IF(N($H593)&lt;=0,"Montant ?",IF($D593="RECETTE",IF(COUNTIF(PARAMETRES!$E$5:$E$9,$E593)=0,"Catégorie ?","OK"),IF($D593="DEPENSE",IF(COUNTIF(PARAMETRES!$G$5:$G$20,$E593)=0,"Catégorie ?","OK"),"Type ?"))))</f>
        <v/>
      </c>
    </row>
    <row r="594" customFormat="false" ht="16.5" hidden="false" customHeight="true" outlineLevel="0" collapsed="false">
      <c r="A594" s="72" t="str">
        <f aca="false">IF($B594="","",ROW()-7)</f>
        <v/>
      </c>
      <c r="B594" s="73"/>
      <c r="C594" s="74" t="str">
        <f aca="false">IF($B594="","",YEAR($B594)*100+MONTH($B594))</f>
        <v/>
      </c>
      <c r="D594" s="75"/>
      <c r="E594" s="76"/>
      <c r="F594" s="76"/>
      <c r="G594" s="77"/>
      <c r="H594" s="78"/>
      <c r="I594" s="79"/>
      <c r="J594" s="80" t="str">
        <f aca="false">IF($B594="","",IF(N($H594)&lt;=0,"Montant ?",IF($D594="RECETTE",IF(COUNTIF(PARAMETRES!$E$5:$E$9,$E594)=0,"Catégorie ?","OK"),IF($D594="DEPENSE",IF(COUNTIF(PARAMETRES!$G$5:$G$20,$E594)=0,"Catégorie ?","OK"),"Type ?"))))</f>
        <v/>
      </c>
    </row>
    <row r="595" customFormat="false" ht="16.5" hidden="false" customHeight="true" outlineLevel="0" collapsed="false">
      <c r="A595" s="81" t="str">
        <f aca="false">IF($B595="","",ROW()-7)</f>
        <v/>
      </c>
      <c r="B595" s="82"/>
      <c r="C595" s="83" t="str">
        <f aca="false">IF($B595="","",YEAR($B595)*100+MONTH($B595))</f>
        <v/>
      </c>
      <c r="D595" s="84"/>
      <c r="E595" s="85"/>
      <c r="F595" s="85"/>
      <c r="G595" s="86"/>
      <c r="H595" s="87"/>
      <c r="I595" s="88"/>
      <c r="J595" s="89" t="str">
        <f aca="false">IF($B595="","",IF(N($H595)&lt;=0,"Montant ?",IF($D595="RECETTE",IF(COUNTIF(PARAMETRES!$E$5:$E$9,$E595)=0,"Catégorie ?","OK"),IF($D595="DEPENSE",IF(COUNTIF(PARAMETRES!$G$5:$G$20,$E595)=0,"Catégorie ?","OK"),"Type ?"))))</f>
        <v/>
      </c>
    </row>
    <row r="596" customFormat="false" ht="16.5" hidden="false" customHeight="true" outlineLevel="0" collapsed="false">
      <c r="A596" s="72" t="str">
        <f aca="false">IF($B596="","",ROW()-7)</f>
        <v/>
      </c>
      <c r="B596" s="73"/>
      <c r="C596" s="74" t="str">
        <f aca="false">IF($B596="","",YEAR($B596)*100+MONTH($B596))</f>
        <v/>
      </c>
      <c r="D596" s="75"/>
      <c r="E596" s="76"/>
      <c r="F596" s="76"/>
      <c r="G596" s="77"/>
      <c r="H596" s="78"/>
      <c r="I596" s="79"/>
      <c r="J596" s="80" t="str">
        <f aca="false">IF($B596="","",IF(N($H596)&lt;=0,"Montant ?",IF($D596="RECETTE",IF(COUNTIF(PARAMETRES!$E$5:$E$9,$E596)=0,"Catégorie ?","OK"),IF($D596="DEPENSE",IF(COUNTIF(PARAMETRES!$G$5:$G$20,$E596)=0,"Catégorie ?","OK"),"Type ?"))))</f>
        <v/>
      </c>
    </row>
    <row r="597" customFormat="false" ht="16.5" hidden="false" customHeight="true" outlineLevel="0" collapsed="false">
      <c r="A597" s="81" t="str">
        <f aca="false">IF($B597="","",ROW()-7)</f>
        <v/>
      </c>
      <c r="B597" s="82"/>
      <c r="C597" s="83" t="str">
        <f aca="false">IF($B597="","",YEAR($B597)*100+MONTH($B597))</f>
        <v/>
      </c>
      <c r="D597" s="84"/>
      <c r="E597" s="85"/>
      <c r="F597" s="85"/>
      <c r="G597" s="86"/>
      <c r="H597" s="87"/>
      <c r="I597" s="88"/>
      <c r="J597" s="89" t="str">
        <f aca="false">IF($B597="","",IF(N($H597)&lt;=0,"Montant ?",IF($D597="RECETTE",IF(COUNTIF(PARAMETRES!$E$5:$E$9,$E597)=0,"Catégorie ?","OK"),IF($D597="DEPENSE",IF(COUNTIF(PARAMETRES!$G$5:$G$20,$E597)=0,"Catégorie ?","OK"),"Type ?"))))</f>
        <v/>
      </c>
    </row>
    <row r="598" customFormat="false" ht="16.5" hidden="false" customHeight="true" outlineLevel="0" collapsed="false">
      <c r="A598" s="72" t="str">
        <f aca="false">IF($B598="","",ROW()-7)</f>
        <v/>
      </c>
      <c r="B598" s="73"/>
      <c r="C598" s="74" t="str">
        <f aca="false">IF($B598="","",YEAR($B598)*100+MONTH($B598))</f>
        <v/>
      </c>
      <c r="D598" s="75"/>
      <c r="E598" s="76"/>
      <c r="F598" s="76"/>
      <c r="G598" s="77"/>
      <c r="H598" s="78"/>
      <c r="I598" s="79"/>
      <c r="J598" s="80" t="str">
        <f aca="false">IF($B598="","",IF(N($H598)&lt;=0,"Montant ?",IF($D598="RECETTE",IF(COUNTIF(PARAMETRES!$E$5:$E$9,$E598)=0,"Catégorie ?","OK"),IF($D598="DEPENSE",IF(COUNTIF(PARAMETRES!$G$5:$G$20,$E598)=0,"Catégorie ?","OK"),"Type ?"))))</f>
        <v/>
      </c>
    </row>
    <row r="599" customFormat="false" ht="16.5" hidden="false" customHeight="true" outlineLevel="0" collapsed="false">
      <c r="A599" s="81" t="str">
        <f aca="false">IF($B599="","",ROW()-7)</f>
        <v/>
      </c>
      <c r="B599" s="82"/>
      <c r="C599" s="83" t="str">
        <f aca="false">IF($B599="","",YEAR($B599)*100+MONTH($B599))</f>
        <v/>
      </c>
      <c r="D599" s="84"/>
      <c r="E599" s="85"/>
      <c r="F599" s="85"/>
      <c r="G599" s="86"/>
      <c r="H599" s="87"/>
      <c r="I599" s="88"/>
      <c r="J599" s="89" t="str">
        <f aca="false">IF($B599="","",IF(N($H599)&lt;=0,"Montant ?",IF($D599="RECETTE",IF(COUNTIF(PARAMETRES!$E$5:$E$9,$E599)=0,"Catégorie ?","OK"),IF($D599="DEPENSE",IF(COUNTIF(PARAMETRES!$G$5:$G$20,$E599)=0,"Catégorie ?","OK"),"Type ?"))))</f>
        <v/>
      </c>
    </row>
    <row r="600" customFormat="false" ht="16.5" hidden="false" customHeight="true" outlineLevel="0" collapsed="false">
      <c r="A600" s="72" t="str">
        <f aca="false">IF($B600="","",ROW()-7)</f>
        <v/>
      </c>
      <c r="B600" s="73"/>
      <c r="C600" s="74" t="str">
        <f aca="false">IF($B600="","",YEAR($B600)*100+MONTH($B600))</f>
        <v/>
      </c>
      <c r="D600" s="75"/>
      <c r="E600" s="76"/>
      <c r="F600" s="76"/>
      <c r="G600" s="77"/>
      <c r="H600" s="78"/>
      <c r="I600" s="79"/>
      <c r="J600" s="80" t="str">
        <f aca="false">IF($B600="","",IF(N($H600)&lt;=0,"Montant ?",IF($D600="RECETTE",IF(COUNTIF(PARAMETRES!$E$5:$E$9,$E600)=0,"Catégorie ?","OK"),IF($D600="DEPENSE",IF(COUNTIF(PARAMETRES!$G$5:$G$20,$E600)=0,"Catégorie ?","OK"),"Type ?"))))</f>
        <v/>
      </c>
    </row>
    <row r="601" customFormat="false" ht="16.5" hidden="false" customHeight="true" outlineLevel="0" collapsed="false">
      <c r="A601" s="81" t="str">
        <f aca="false">IF($B601="","",ROW()-7)</f>
        <v/>
      </c>
      <c r="B601" s="82"/>
      <c r="C601" s="83" t="str">
        <f aca="false">IF($B601="","",YEAR($B601)*100+MONTH($B601))</f>
        <v/>
      </c>
      <c r="D601" s="84"/>
      <c r="E601" s="85"/>
      <c r="F601" s="85"/>
      <c r="G601" s="86"/>
      <c r="H601" s="87"/>
      <c r="I601" s="88"/>
      <c r="J601" s="89" t="str">
        <f aca="false">IF($B601="","",IF(N($H601)&lt;=0,"Montant ?",IF($D601="RECETTE",IF(COUNTIF(PARAMETRES!$E$5:$E$9,$E601)=0,"Catégorie ?","OK"),IF($D601="DEPENSE",IF(COUNTIF(PARAMETRES!$G$5:$G$20,$E601)=0,"Catégorie ?","OK"),"Type ?"))))</f>
        <v/>
      </c>
    </row>
    <row r="602" customFormat="false" ht="16.5" hidden="false" customHeight="true" outlineLevel="0" collapsed="false">
      <c r="A602" s="72" t="str">
        <f aca="false">IF($B602="","",ROW()-7)</f>
        <v/>
      </c>
      <c r="B602" s="73"/>
      <c r="C602" s="74" t="str">
        <f aca="false">IF($B602="","",YEAR($B602)*100+MONTH($B602))</f>
        <v/>
      </c>
      <c r="D602" s="75"/>
      <c r="E602" s="76"/>
      <c r="F602" s="76"/>
      <c r="G602" s="77"/>
      <c r="H602" s="78"/>
      <c r="I602" s="79"/>
      <c r="J602" s="80" t="str">
        <f aca="false">IF($B602="","",IF(N($H602)&lt;=0,"Montant ?",IF($D602="RECETTE",IF(COUNTIF(PARAMETRES!$E$5:$E$9,$E602)=0,"Catégorie ?","OK"),IF($D602="DEPENSE",IF(COUNTIF(PARAMETRES!$G$5:$G$20,$E602)=0,"Catégorie ?","OK"),"Type ?"))))</f>
        <v/>
      </c>
    </row>
    <row r="603" customFormat="false" ht="16.5" hidden="false" customHeight="true" outlineLevel="0" collapsed="false">
      <c r="A603" s="81" t="str">
        <f aca="false">IF($B603="","",ROW()-7)</f>
        <v/>
      </c>
      <c r="B603" s="82"/>
      <c r="C603" s="83" t="str">
        <f aca="false">IF($B603="","",YEAR($B603)*100+MONTH($B603))</f>
        <v/>
      </c>
      <c r="D603" s="84"/>
      <c r="E603" s="85"/>
      <c r="F603" s="85"/>
      <c r="G603" s="86"/>
      <c r="H603" s="87"/>
      <c r="I603" s="88"/>
      <c r="J603" s="89" t="str">
        <f aca="false">IF($B603="","",IF(N($H603)&lt;=0,"Montant ?",IF($D603="RECETTE",IF(COUNTIF(PARAMETRES!$E$5:$E$9,$E603)=0,"Catégorie ?","OK"),IF($D603="DEPENSE",IF(COUNTIF(PARAMETRES!$G$5:$G$20,$E603)=0,"Catégorie ?","OK"),"Type ?"))))</f>
        <v/>
      </c>
    </row>
    <row r="604" customFormat="false" ht="16.5" hidden="false" customHeight="true" outlineLevel="0" collapsed="false">
      <c r="A604" s="72" t="str">
        <f aca="false">IF($B604="","",ROW()-7)</f>
        <v/>
      </c>
      <c r="B604" s="73"/>
      <c r="C604" s="74" t="str">
        <f aca="false">IF($B604="","",YEAR($B604)*100+MONTH($B604))</f>
        <v/>
      </c>
      <c r="D604" s="75"/>
      <c r="E604" s="76"/>
      <c r="F604" s="76"/>
      <c r="G604" s="77"/>
      <c r="H604" s="78"/>
      <c r="I604" s="79"/>
      <c r="J604" s="80" t="str">
        <f aca="false">IF($B604="","",IF(N($H604)&lt;=0,"Montant ?",IF($D604="RECETTE",IF(COUNTIF(PARAMETRES!$E$5:$E$9,$E604)=0,"Catégorie ?","OK"),IF($D604="DEPENSE",IF(COUNTIF(PARAMETRES!$G$5:$G$20,$E604)=0,"Catégorie ?","OK"),"Type ?"))))</f>
        <v/>
      </c>
    </row>
    <row r="605" customFormat="false" ht="16.5" hidden="false" customHeight="true" outlineLevel="0" collapsed="false">
      <c r="A605" s="81" t="str">
        <f aca="false">IF($B605="","",ROW()-7)</f>
        <v/>
      </c>
      <c r="B605" s="82"/>
      <c r="C605" s="83" t="str">
        <f aca="false">IF($B605="","",YEAR($B605)*100+MONTH($B605))</f>
        <v/>
      </c>
      <c r="D605" s="84"/>
      <c r="E605" s="85"/>
      <c r="F605" s="85"/>
      <c r="G605" s="86"/>
      <c r="H605" s="87"/>
      <c r="I605" s="88"/>
      <c r="J605" s="89" t="str">
        <f aca="false">IF($B605="","",IF(N($H605)&lt;=0,"Montant ?",IF($D605="RECETTE",IF(COUNTIF(PARAMETRES!$E$5:$E$9,$E605)=0,"Catégorie ?","OK"),IF($D605="DEPENSE",IF(COUNTIF(PARAMETRES!$G$5:$G$20,$E605)=0,"Catégorie ?","OK"),"Type ?"))))</f>
        <v/>
      </c>
    </row>
    <row r="606" customFormat="false" ht="16.5" hidden="false" customHeight="true" outlineLevel="0" collapsed="false">
      <c r="A606" s="72" t="str">
        <f aca="false">IF($B606="","",ROW()-7)</f>
        <v/>
      </c>
      <c r="B606" s="73"/>
      <c r="C606" s="74" t="str">
        <f aca="false">IF($B606="","",YEAR($B606)*100+MONTH($B606))</f>
        <v/>
      </c>
      <c r="D606" s="75"/>
      <c r="E606" s="76"/>
      <c r="F606" s="76"/>
      <c r="G606" s="77"/>
      <c r="H606" s="78"/>
      <c r="I606" s="79"/>
      <c r="J606" s="80" t="str">
        <f aca="false">IF($B606="","",IF(N($H606)&lt;=0,"Montant ?",IF($D606="RECETTE",IF(COUNTIF(PARAMETRES!$E$5:$E$9,$E606)=0,"Catégorie ?","OK"),IF($D606="DEPENSE",IF(COUNTIF(PARAMETRES!$G$5:$G$20,$E606)=0,"Catégorie ?","OK"),"Type ?"))))</f>
        <v/>
      </c>
    </row>
    <row r="607" customFormat="false" ht="16.5" hidden="false" customHeight="true" outlineLevel="0" collapsed="false">
      <c r="A607" s="81" t="str">
        <f aca="false">IF($B607="","",ROW()-7)</f>
        <v/>
      </c>
      <c r="B607" s="82"/>
      <c r="C607" s="83" t="str">
        <f aca="false">IF($B607="","",YEAR($B607)*100+MONTH($B607))</f>
        <v/>
      </c>
      <c r="D607" s="84"/>
      <c r="E607" s="85"/>
      <c r="F607" s="85"/>
      <c r="G607" s="86"/>
      <c r="H607" s="87"/>
      <c r="I607" s="88"/>
      <c r="J607" s="89" t="str">
        <f aca="false">IF($B607="","",IF(N($H607)&lt;=0,"Montant ?",IF($D607="RECETTE",IF(COUNTIF(PARAMETRES!$E$5:$E$9,$E607)=0,"Catégorie ?","OK"),IF($D607="DEPENSE",IF(COUNTIF(PARAMETRES!$G$5:$G$20,$E607)=0,"Catégorie ?","OK"),"Type ?"))))</f>
        <v/>
      </c>
    </row>
    <row r="608" customFormat="false" ht="16.5" hidden="false" customHeight="true" outlineLevel="0" collapsed="false">
      <c r="A608" s="72" t="str">
        <f aca="false">IF($B608="","",ROW()-7)</f>
        <v/>
      </c>
      <c r="B608" s="73"/>
      <c r="C608" s="74" t="str">
        <f aca="false">IF($B608="","",YEAR($B608)*100+MONTH($B608))</f>
        <v/>
      </c>
      <c r="D608" s="75"/>
      <c r="E608" s="76"/>
      <c r="F608" s="76"/>
      <c r="G608" s="77"/>
      <c r="H608" s="78"/>
      <c r="I608" s="79"/>
      <c r="J608" s="80" t="str">
        <f aca="false">IF($B608="","",IF(N($H608)&lt;=0,"Montant ?",IF($D608="RECETTE",IF(COUNTIF(PARAMETRES!$E$5:$E$9,$E608)=0,"Catégorie ?","OK"),IF($D608="DEPENSE",IF(COUNTIF(PARAMETRES!$G$5:$G$20,$E608)=0,"Catégorie ?","OK"),"Type ?"))))</f>
        <v/>
      </c>
    </row>
    <row r="609" customFormat="false" ht="16.5" hidden="false" customHeight="true" outlineLevel="0" collapsed="false">
      <c r="A609" s="81" t="str">
        <f aca="false">IF($B609="","",ROW()-7)</f>
        <v/>
      </c>
      <c r="B609" s="82"/>
      <c r="C609" s="83" t="str">
        <f aca="false">IF($B609="","",YEAR($B609)*100+MONTH($B609))</f>
        <v/>
      </c>
      <c r="D609" s="84"/>
      <c r="E609" s="85"/>
      <c r="F609" s="85"/>
      <c r="G609" s="86"/>
      <c r="H609" s="87"/>
      <c r="I609" s="88"/>
      <c r="J609" s="89" t="str">
        <f aca="false">IF($B609="","",IF(N($H609)&lt;=0,"Montant ?",IF($D609="RECETTE",IF(COUNTIF(PARAMETRES!$E$5:$E$9,$E609)=0,"Catégorie ?","OK"),IF($D609="DEPENSE",IF(COUNTIF(PARAMETRES!$G$5:$G$20,$E609)=0,"Catégorie ?","OK"),"Type ?"))))</f>
        <v/>
      </c>
    </row>
    <row r="610" customFormat="false" ht="16.5" hidden="false" customHeight="true" outlineLevel="0" collapsed="false">
      <c r="A610" s="72" t="str">
        <f aca="false">IF($B610="","",ROW()-7)</f>
        <v/>
      </c>
      <c r="B610" s="73"/>
      <c r="C610" s="74" t="str">
        <f aca="false">IF($B610="","",YEAR($B610)*100+MONTH($B610))</f>
        <v/>
      </c>
      <c r="D610" s="75"/>
      <c r="E610" s="76"/>
      <c r="F610" s="76"/>
      <c r="G610" s="77"/>
      <c r="H610" s="78"/>
      <c r="I610" s="79"/>
      <c r="J610" s="80" t="str">
        <f aca="false">IF($B610="","",IF(N($H610)&lt;=0,"Montant ?",IF($D610="RECETTE",IF(COUNTIF(PARAMETRES!$E$5:$E$9,$E610)=0,"Catégorie ?","OK"),IF($D610="DEPENSE",IF(COUNTIF(PARAMETRES!$G$5:$G$20,$E610)=0,"Catégorie ?","OK"),"Type ?"))))</f>
        <v/>
      </c>
    </row>
    <row r="611" customFormat="false" ht="16.5" hidden="false" customHeight="true" outlineLevel="0" collapsed="false">
      <c r="A611" s="81" t="str">
        <f aca="false">IF($B611="","",ROW()-7)</f>
        <v/>
      </c>
      <c r="B611" s="82"/>
      <c r="C611" s="83" t="str">
        <f aca="false">IF($B611="","",YEAR($B611)*100+MONTH($B611))</f>
        <v/>
      </c>
      <c r="D611" s="84"/>
      <c r="E611" s="85"/>
      <c r="F611" s="85"/>
      <c r="G611" s="86"/>
      <c r="H611" s="87"/>
      <c r="I611" s="88"/>
      <c r="J611" s="89" t="str">
        <f aca="false">IF($B611="","",IF(N($H611)&lt;=0,"Montant ?",IF($D611="RECETTE",IF(COUNTIF(PARAMETRES!$E$5:$E$9,$E611)=0,"Catégorie ?","OK"),IF($D611="DEPENSE",IF(COUNTIF(PARAMETRES!$G$5:$G$20,$E611)=0,"Catégorie ?","OK"),"Type ?"))))</f>
        <v/>
      </c>
    </row>
    <row r="612" customFormat="false" ht="16.5" hidden="false" customHeight="true" outlineLevel="0" collapsed="false">
      <c r="A612" s="72" t="str">
        <f aca="false">IF($B612="","",ROW()-7)</f>
        <v/>
      </c>
      <c r="B612" s="73"/>
      <c r="C612" s="74" t="str">
        <f aca="false">IF($B612="","",YEAR($B612)*100+MONTH($B612))</f>
        <v/>
      </c>
      <c r="D612" s="75"/>
      <c r="E612" s="76"/>
      <c r="F612" s="76"/>
      <c r="G612" s="77"/>
      <c r="H612" s="78"/>
      <c r="I612" s="79"/>
      <c r="J612" s="80" t="str">
        <f aca="false">IF($B612="","",IF(N($H612)&lt;=0,"Montant ?",IF($D612="RECETTE",IF(COUNTIF(PARAMETRES!$E$5:$E$9,$E612)=0,"Catégorie ?","OK"),IF($D612="DEPENSE",IF(COUNTIF(PARAMETRES!$G$5:$G$20,$E612)=0,"Catégorie ?","OK"),"Type ?"))))</f>
        <v/>
      </c>
    </row>
    <row r="613" customFormat="false" ht="16.5" hidden="false" customHeight="true" outlineLevel="0" collapsed="false">
      <c r="A613" s="81" t="str">
        <f aca="false">IF($B613="","",ROW()-7)</f>
        <v/>
      </c>
      <c r="B613" s="82"/>
      <c r="C613" s="83" t="str">
        <f aca="false">IF($B613="","",YEAR($B613)*100+MONTH($B613))</f>
        <v/>
      </c>
      <c r="D613" s="84"/>
      <c r="E613" s="85"/>
      <c r="F613" s="85"/>
      <c r="G613" s="86"/>
      <c r="H613" s="87"/>
      <c r="I613" s="88"/>
      <c r="J613" s="89" t="str">
        <f aca="false">IF($B613="","",IF(N($H613)&lt;=0,"Montant ?",IF($D613="RECETTE",IF(COUNTIF(PARAMETRES!$E$5:$E$9,$E613)=0,"Catégorie ?","OK"),IF($D613="DEPENSE",IF(COUNTIF(PARAMETRES!$G$5:$G$20,$E613)=0,"Catégorie ?","OK"),"Type ?"))))</f>
        <v/>
      </c>
    </row>
    <row r="614" customFormat="false" ht="16.5" hidden="false" customHeight="true" outlineLevel="0" collapsed="false">
      <c r="A614" s="72" t="str">
        <f aca="false">IF($B614="","",ROW()-7)</f>
        <v/>
      </c>
      <c r="B614" s="73"/>
      <c r="C614" s="74" t="str">
        <f aca="false">IF($B614="","",YEAR($B614)*100+MONTH($B614))</f>
        <v/>
      </c>
      <c r="D614" s="75"/>
      <c r="E614" s="76"/>
      <c r="F614" s="76"/>
      <c r="G614" s="77"/>
      <c r="H614" s="78"/>
      <c r="I614" s="79"/>
      <c r="J614" s="80" t="str">
        <f aca="false">IF($B614="","",IF(N($H614)&lt;=0,"Montant ?",IF($D614="RECETTE",IF(COUNTIF(PARAMETRES!$E$5:$E$9,$E614)=0,"Catégorie ?","OK"),IF($D614="DEPENSE",IF(COUNTIF(PARAMETRES!$G$5:$G$20,$E614)=0,"Catégorie ?","OK"),"Type ?"))))</f>
        <v/>
      </c>
    </row>
    <row r="615" customFormat="false" ht="16.5" hidden="false" customHeight="true" outlineLevel="0" collapsed="false">
      <c r="A615" s="81" t="str">
        <f aca="false">IF($B615="","",ROW()-7)</f>
        <v/>
      </c>
      <c r="B615" s="82"/>
      <c r="C615" s="83" t="str">
        <f aca="false">IF($B615="","",YEAR($B615)*100+MONTH($B615))</f>
        <v/>
      </c>
      <c r="D615" s="84"/>
      <c r="E615" s="85"/>
      <c r="F615" s="85"/>
      <c r="G615" s="86"/>
      <c r="H615" s="87"/>
      <c r="I615" s="88"/>
      <c r="J615" s="89" t="str">
        <f aca="false">IF($B615="","",IF(N($H615)&lt;=0,"Montant ?",IF($D615="RECETTE",IF(COUNTIF(PARAMETRES!$E$5:$E$9,$E615)=0,"Catégorie ?","OK"),IF($D615="DEPENSE",IF(COUNTIF(PARAMETRES!$G$5:$G$20,$E615)=0,"Catégorie ?","OK"),"Type ?"))))</f>
        <v/>
      </c>
    </row>
    <row r="616" customFormat="false" ht="16.5" hidden="false" customHeight="true" outlineLevel="0" collapsed="false">
      <c r="A616" s="72" t="str">
        <f aca="false">IF($B616="","",ROW()-7)</f>
        <v/>
      </c>
      <c r="B616" s="73"/>
      <c r="C616" s="74" t="str">
        <f aca="false">IF($B616="","",YEAR($B616)*100+MONTH($B616))</f>
        <v/>
      </c>
      <c r="D616" s="75"/>
      <c r="E616" s="76"/>
      <c r="F616" s="76"/>
      <c r="G616" s="77"/>
      <c r="H616" s="78"/>
      <c r="I616" s="79"/>
      <c r="J616" s="80" t="str">
        <f aca="false">IF($B616="","",IF(N($H616)&lt;=0,"Montant ?",IF($D616="RECETTE",IF(COUNTIF(PARAMETRES!$E$5:$E$9,$E616)=0,"Catégorie ?","OK"),IF($D616="DEPENSE",IF(COUNTIF(PARAMETRES!$G$5:$G$20,$E616)=0,"Catégorie ?","OK"),"Type ?"))))</f>
        <v/>
      </c>
    </row>
    <row r="617" customFormat="false" ht="16.5" hidden="false" customHeight="true" outlineLevel="0" collapsed="false">
      <c r="A617" s="81" t="str">
        <f aca="false">IF($B617="","",ROW()-7)</f>
        <v/>
      </c>
      <c r="B617" s="82"/>
      <c r="C617" s="83" t="str">
        <f aca="false">IF($B617="","",YEAR($B617)*100+MONTH($B617))</f>
        <v/>
      </c>
      <c r="D617" s="84"/>
      <c r="E617" s="85"/>
      <c r="F617" s="85"/>
      <c r="G617" s="86"/>
      <c r="H617" s="87"/>
      <c r="I617" s="88"/>
      <c r="J617" s="89" t="str">
        <f aca="false">IF($B617="","",IF(N($H617)&lt;=0,"Montant ?",IF($D617="RECETTE",IF(COUNTIF(PARAMETRES!$E$5:$E$9,$E617)=0,"Catégorie ?","OK"),IF($D617="DEPENSE",IF(COUNTIF(PARAMETRES!$G$5:$G$20,$E617)=0,"Catégorie ?","OK"),"Type ?"))))</f>
        <v/>
      </c>
    </row>
    <row r="618" customFormat="false" ht="16.5" hidden="false" customHeight="true" outlineLevel="0" collapsed="false">
      <c r="A618" s="72" t="str">
        <f aca="false">IF($B618="","",ROW()-7)</f>
        <v/>
      </c>
      <c r="B618" s="73"/>
      <c r="C618" s="74" t="str">
        <f aca="false">IF($B618="","",YEAR($B618)*100+MONTH($B618))</f>
        <v/>
      </c>
      <c r="D618" s="75"/>
      <c r="E618" s="76"/>
      <c r="F618" s="76"/>
      <c r="G618" s="77"/>
      <c r="H618" s="78"/>
      <c r="I618" s="79"/>
      <c r="J618" s="80" t="str">
        <f aca="false">IF($B618="","",IF(N($H618)&lt;=0,"Montant ?",IF($D618="RECETTE",IF(COUNTIF(PARAMETRES!$E$5:$E$9,$E618)=0,"Catégorie ?","OK"),IF($D618="DEPENSE",IF(COUNTIF(PARAMETRES!$G$5:$G$20,$E618)=0,"Catégorie ?","OK"),"Type ?"))))</f>
        <v/>
      </c>
    </row>
    <row r="619" customFormat="false" ht="16.5" hidden="false" customHeight="true" outlineLevel="0" collapsed="false">
      <c r="A619" s="81" t="str">
        <f aca="false">IF($B619="","",ROW()-7)</f>
        <v/>
      </c>
      <c r="B619" s="82"/>
      <c r="C619" s="83" t="str">
        <f aca="false">IF($B619="","",YEAR($B619)*100+MONTH($B619))</f>
        <v/>
      </c>
      <c r="D619" s="84"/>
      <c r="E619" s="85"/>
      <c r="F619" s="85"/>
      <c r="G619" s="86"/>
      <c r="H619" s="87"/>
      <c r="I619" s="88"/>
      <c r="J619" s="89" t="str">
        <f aca="false">IF($B619="","",IF(N($H619)&lt;=0,"Montant ?",IF($D619="RECETTE",IF(COUNTIF(PARAMETRES!$E$5:$E$9,$E619)=0,"Catégorie ?","OK"),IF($D619="DEPENSE",IF(COUNTIF(PARAMETRES!$G$5:$G$20,$E619)=0,"Catégorie ?","OK"),"Type ?"))))</f>
        <v/>
      </c>
    </row>
    <row r="620" customFormat="false" ht="16.5" hidden="false" customHeight="true" outlineLevel="0" collapsed="false">
      <c r="A620" s="72" t="str">
        <f aca="false">IF($B620="","",ROW()-7)</f>
        <v/>
      </c>
      <c r="B620" s="73"/>
      <c r="C620" s="74" t="str">
        <f aca="false">IF($B620="","",YEAR($B620)*100+MONTH($B620))</f>
        <v/>
      </c>
      <c r="D620" s="75"/>
      <c r="E620" s="76"/>
      <c r="F620" s="76"/>
      <c r="G620" s="77"/>
      <c r="H620" s="78"/>
      <c r="I620" s="79"/>
      <c r="J620" s="80" t="str">
        <f aca="false">IF($B620="","",IF(N($H620)&lt;=0,"Montant ?",IF($D620="RECETTE",IF(COUNTIF(PARAMETRES!$E$5:$E$9,$E620)=0,"Catégorie ?","OK"),IF($D620="DEPENSE",IF(COUNTIF(PARAMETRES!$G$5:$G$20,$E620)=0,"Catégorie ?","OK"),"Type ?"))))</f>
        <v/>
      </c>
    </row>
    <row r="621" customFormat="false" ht="16.5" hidden="false" customHeight="true" outlineLevel="0" collapsed="false">
      <c r="A621" s="81" t="str">
        <f aca="false">IF($B621="","",ROW()-7)</f>
        <v/>
      </c>
      <c r="B621" s="82"/>
      <c r="C621" s="83" t="str">
        <f aca="false">IF($B621="","",YEAR($B621)*100+MONTH($B621))</f>
        <v/>
      </c>
      <c r="D621" s="84"/>
      <c r="E621" s="85"/>
      <c r="F621" s="85"/>
      <c r="G621" s="86"/>
      <c r="H621" s="87"/>
      <c r="I621" s="88"/>
      <c r="J621" s="89" t="str">
        <f aca="false">IF($B621="","",IF(N($H621)&lt;=0,"Montant ?",IF($D621="RECETTE",IF(COUNTIF(PARAMETRES!$E$5:$E$9,$E621)=0,"Catégorie ?","OK"),IF($D621="DEPENSE",IF(COUNTIF(PARAMETRES!$G$5:$G$20,$E621)=0,"Catégorie ?","OK"),"Type ?"))))</f>
        <v/>
      </c>
    </row>
    <row r="622" customFormat="false" ht="16.5" hidden="false" customHeight="true" outlineLevel="0" collapsed="false">
      <c r="A622" s="72" t="str">
        <f aca="false">IF($B622="","",ROW()-7)</f>
        <v/>
      </c>
      <c r="B622" s="73"/>
      <c r="C622" s="74" t="str">
        <f aca="false">IF($B622="","",YEAR($B622)*100+MONTH($B622))</f>
        <v/>
      </c>
      <c r="D622" s="75"/>
      <c r="E622" s="76"/>
      <c r="F622" s="76"/>
      <c r="G622" s="77"/>
      <c r="H622" s="78"/>
      <c r="I622" s="79"/>
      <c r="J622" s="80" t="str">
        <f aca="false">IF($B622="","",IF(N($H622)&lt;=0,"Montant ?",IF($D622="RECETTE",IF(COUNTIF(PARAMETRES!$E$5:$E$9,$E622)=0,"Catégorie ?","OK"),IF($D622="DEPENSE",IF(COUNTIF(PARAMETRES!$G$5:$G$20,$E622)=0,"Catégorie ?","OK"),"Type ?"))))</f>
        <v/>
      </c>
    </row>
    <row r="623" customFormat="false" ht="16.5" hidden="false" customHeight="true" outlineLevel="0" collapsed="false">
      <c r="A623" s="81" t="str">
        <f aca="false">IF($B623="","",ROW()-7)</f>
        <v/>
      </c>
      <c r="B623" s="82"/>
      <c r="C623" s="83" t="str">
        <f aca="false">IF($B623="","",YEAR($B623)*100+MONTH($B623))</f>
        <v/>
      </c>
      <c r="D623" s="84"/>
      <c r="E623" s="85"/>
      <c r="F623" s="85"/>
      <c r="G623" s="86"/>
      <c r="H623" s="87"/>
      <c r="I623" s="88"/>
      <c r="J623" s="89" t="str">
        <f aca="false">IF($B623="","",IF(N($H623)&lt;=0,"Montant ?",IF($D623="RECETTE",IF(COUNTIF(PARAMETRES!$E$5:$E$9,$E623)=0,"Catégorie ?","OK"),IF($D623="DEPENSE",IF(COUNTIF(PARAMETRES!$G$5:$G$20,$E623)=0,"Catégorie ?","OK"),"Type ?"))))</f>
        <v/>
      </c>
    </row>
    <row r="624" customFormat="false" ht="16.5" hidden="false" customHeight="true" outlineLevel="0" collapsed="false">
      <c r="A624" s="72" t="str">
        <f aca="false">IF($B624="","",ROW()-7)</f>
        <v/>
      </c>
      <c r="B624" s="73"/>
      <c r="C624" s="74" t="str">
        <f aca="false">IF($B624="","",YEAR($B624)*100+MONTH($B624))</f>
        <v/>
      </c>
      <c r="D624" s="75"/>
      <c r="E624" s="76"/>
      <c r="F624" s="76"/>
      <c r="G624" s="77"/>
      <c r="H624" s="78"/>
      <c r="I624" s="79"/>
      <c r="J624" s="80" t="str">
        <f aca="false">IF($B624="","",IF(N($H624)&lt;=0,"Montant ?",IF($D624="RECETTE",IF(COUNTIF(PARAMETRES!$E$5:$E$9,$E624)=0,"Catégorie ?","OK"),IF($D624="DEPENSE",IF(COUNTIF(PARAMETRES!$G$5:$G$20,$E624)=0,"Catégorie ?","OK"),"Type ?"))))</f>
        <v/>
      </c>
    </row>
    <row r="625" customFormat="false" ht="16.5" hidden="false" customHeight="true" outlineLevel="0" collapsed="false">
      <c r="A625" s="81" t="str">
        <f aca="false">IF($B625="","",ROW()-7)</f>
        <v/>
      </c>
      <c r="B625" s="82"/>
      <c r="C625" s="83" t="str">
        <f aca="false">IF($B625="","",YEAR($B625)*100+MONTH($B625))</f>
        <v/>
      </c>
      <c r="D625" s="84"/>
      <c r="E625" s="85"/>
      <c r="F625" s="85"/>
      <c r="G625" s="86"/>
      <c r="H625" s="87"/>
      <c r="I625" s="88"/>
      <c r="J625" s="89" t="str">
        <f aca="false">IF($B625="","",IF(N($H625)&lt;=0,"Montant ?",IF($D625="RECETTE",IF(COUNTIF(PARAMETRES!$E$5:$E$9,$E625)=0,"Catégorie ?","OK"),IF($D625="DEPENSE",IF(COUNTIF(PARAMETRES!$G$5:$G$20,$E625)=0,"Catégorie ?","OK"),"Type ?"))))</f>
        <v/>
      </c>
    </row>
    <row r="626" customFormat="false" ht="16.5" hidden="false" customHeight="true" outlineLevel="0" collapsed="false">
      <c r="A626" s="72" t="str">
        <f aca="false">IF($B626="","",ROW()-7)</f>
        <v/>
      </c>
      <c r="B626" s="73"/>
      <c r="C626" s="74" t="str">
        <f aca="false">IF($B626="","",YEAR($B626)*100+MONTH($B626))</f>
        <v/>
      </c>
      <c r="D626" s="75"/>
      <c r="E626" s="76"/>
      <c r="F626" s="76"/>
      <c r="G626" s="77"/>
      <c r="H626" s="78"/>
      <c r="I626" s="79"/>
      <c r="J626" s="80" t="str">
        <f aca="false">IF($B626="","",IF(N($H626)&lt;=0,"Montant ?",IF($D626="RECETTE",IF(COUNTIF(PARAMETRES!$E$5:$E$9,$E626)=0,"Catégorie ?","OK"),IF($D626="DEPENSE",IF(COUNTIF(PARAMETRES!$G$5:$G$20,$E626)=0,"Catégorie ?","OK"),"Type ?"))))</f>
        <v/>
      </c>
    </row>
    <row r="627" customFormat="false" ht="16.5" hidden="false" customHeight="true" outlineLevel="0" collapsed="false">
      <c r="A627" s="81" t="str">
        <f aca="false">IF($B627="","",ROW()-7)</f>
        <v/>
      </c>
      <c r="B627" s="82"/>
      <c r="C627" s="83" t="str">
        <f aca="false">IF($B627="","",YEAR($B627)*100+MONTH($B627))</f>
        <v/>
      </c>
      <c r="D627" s="84"/>
      <c r="E627" s="85"/>
      <c r="F627" s="85"/>
      <c r="G627" s="86"/>
      <c r="H627" s="87"/>
      <c r="I627" s="88"/>
      <c r="J627" s="89" t="str">
        <f aca="false">IF($B627="","",IF(N($H627)&lt;=0,"Montant ?",IF($D627="RECETTE",IF(COUNTIF(PARAMETRES!$E$5:$E$9,$E627)=0,"Catégorie ?","OK"),IF($D627="DEPENSE",IF(COUNTIF(PARAMETRES!$G$5:$G$20,$E627)=0,"Catégorie ?","OK"),"Type ?"))))</f>
        <v/>
      </c>
    </row>
    <row r="628" customFormat="false" ht="16.5" hidden="false" customHeight="true" outlineLevel="0" collapsed="false">
      <c r="A628" s="72" t="str">
        <f aca="false">IF($B628="","",ROW()-7)</f>
        <v/>
      </c>
      <c r="B628" s="73"/>
      <c r="C628" s="74" t="str">
        <f aca="false">IF($B628="","",YEAR($B628)*100+MONTH($B628))</f>
        <v/>
      </c>
      <c r="D628" s="75"/>
      <c r="E628" s="76"/>
      <c r="F628" s="76"/>
      <c r="G628" s="77"/>
      <c r="H628" s="78"/>
      <c r="I628" s="79"/>
      <c r="J628" s="80" t="str">
        <f aca="false">IF($B628="","",IF(N($H628)&lt;=0,"Montant ?",IF($D628="RECETTE",IF(COUNTIF(PARAMETRES!$E$5:$E$9,$E628)=0,"Catégorie ?","OK"),IF($D628="DEPENSE",IF(COUNTIF(PARAMETRES!$G$5:$G$20,$E628)=0,"Catégorie ?","OK"),"Type ?"))))</f>
        <v/>
      </c>
    </row>
    <row r="629" customFormat="false" ht="16.5" hidden="false" customHeight="true" outlineLevel="0" collapsed="false">
      <c r="A629" s="81" t="str">
        <f aca="false">IF($B629="","",ROW()-7)</f>
        <v/>
      </c>
      <c r="B629" s="82"/>
      <c r="C629" s="83" t="str">
        <f aca="false">IF($B629="","",YEAR($B629)*100+MONTH($B629))</f>
        <v/>
      </c>
      <c r="D629" s="84"/>
      <c r="E629" s="85"/>
      <c r="F629" s="85"/>
      <c r="G629" s="86"/>
      <c r="H629" s="87"/>
      <c r="I629" s="88"/>
      <c r="J629" s="89" t="str">
        <f aca="false">IF($B629="","",IF(N($H629)&lt;=0,"Montant ?",IF($D629="RECETTE",IF(COUNTIF(PARAMETRES!$E$5:$E$9,$E629)=0,"Catégorie ?","OK"),IF($D629="DEPENSE",IF(COUNTIF(PARAMETRES!$G$5:$G$20,$E629)=0,"Catégorie ?","OK"),"Type ?"))))</f>
        <v/>
      </c>
    </row>
    <row r="630" customFormat="false" ht="16.5" hidden="false" customHeight="true" outlineLevel="0" collapsed="false">
      <c r="A630" s="72" t="str">
        <f aca="false">IF($B630="","",ROW()-7)</f>
        <v/>
      </c>
      <c r="B630" s="73"/>
      <c r="C630" s="74" t="str">
        <f aca="false">IF($B630="","",YEAR($B630)*100+MONTH($B630))</f>
        <v/>
      </c>
      <c r="D630" s="75"/>
      <c r="E630" s="76"/>
      <c r="F630" s="76"/>
      <c r="G630" s="77"/>
      <c r="H630" s="78"/>
      <c r="I630" s="79"/>
      <c r="J630" s="80" t="str">
        <f aca="false">IF($B630="","",IF(N($H630)&lt;=0,"Montant ?",IF($D630="RECETTE",IF(COUNTIF(PARAMETRES!$E$5:$E$9,$E630)=0,"Catégorie ?","OK"),IF($D630="DEPENSE",IF(COUNTIF(PARAMETRES!$G$5:$G$20,$E630)=0,"Catégorie ?","OK"),"Type ?"))))</f>
        <v/>
      </c>
    </row>
    <row r="631" customFormat="false" ht="16.5" hidden="false" customHeight="true" outlineLevel="0" collapsed="false">
      <c r="A631" s="81" t="str">
        <f aca="false">IF($B631="","",ROW()-7)</f>
        <v/>
      </c>
      <c r="B631" s="82"/>
      <c r="C631" s="83" t="str">
        <f aca="false">IF($B631="","",YEAR($B631)*100+MONTH($B631))</f>
        <v/>
      </c>
      <c r="D631" s="84"/>
      <c r="E631" s="85"/>
      <c r="F631" s="85"/>
      <c r="G631" s="86"/>
      <c r="H631" s="87"/>
      <c r="I631" s="88"/>
      <c r="J631" s="89" t="str">
        <f aca="false">IF($B631="","",IF(N($H631)&lt;=0,"Montant ?",IF($D631="RECETTE",IF(COUNTIF(PARAMETRES!$E$5:$E$9,$E631)=0,"Catégorie ?","OK"),IF($D631="DEPENSE",IF(COUNTIF(PARAMETRES!$G$5:$G$20,$E631)=0,"Catégorie ?","OK"),"Type ?"))))</f>
        <v/>
      </c>
    </row>
    <row r="632" customFormat="false" ht="16.5" hidden="false" customHeight="true" outlineLevel="0" collapsed="false">
      <c r="A632" s="72" t="str">
        <f aca="false">IF($B632="","",ROW()-7)</f>
        <v/>
      </c>
      <c r="B632" s="73"/>
      <c r="C632" s="74" t="str">
        <f aca="false">IF($B632="","",YEAR($B632)*100+MONTH($B632))</f>
        <v/>
      </c>
      <c r="D632" s="75"/>
      <c r="E632" s="76"/>
      <c r="F632" s="76"/>
      <c r="G632" s="77"/>
      <c r="H632" s="78"/>
      <c r="I632" s="79"/>
      <c r="J632" s="80" t="str">
        <f aca="false">IF($B632="","",IF(N($H632)&lt;=0,"Montant ?",IF($D632="RECETTE",IF(COUNTIF(PARAMETRES!$E$5:$E$9,$E632)=0,"Catégorie ?","OK"),IF($D632="DEPENSE",IF(COUNTIF(PARAMETRES!$G$5:$G$20,$E632)=0,"Catégorie ?","OK"),"Type ?"))))</f>
        <v/>
      </c>
    </row>
    <row r="633" customFormat="false" ht="16.5" hidden="false" customHeight="true" outlineLevel="0" collapsed="false">
      <c r="A633" s="81" t="str">
        <f aca="false">IF($B633="","",ROW()-7)</f>
        <v/>
      </c>
      <c r="B633" s="82"/>
      <c r="C633" s="83" t="str">
        <f aca="false">IF($B633="","",YEAR($B633)*100+MONTH($B633))</f>
        <v/>
      </c>
      <c r="D633" s="84"/>
      <c r="E633" s="85"/>
      <c r="F633" s="85"/>
      <c r="G633" s="86"/>
      <c r="H633" s="87"/>
      <c r="I633" s="88"/>
      <c r="J633" s="89" t="str">
        <f aca="false">IF($B633="","",IF(N($H633)&lt;=0,"Montant ?",IF($D633="RECETTE",IF(COUNTIF(PARAMETRES!$E$5:$E$9,$E633)=0,"Catégorie ?","OK"),IF($D633="DEPENSE",IF(COUNTIF(PARAMETRES!$G$5:$G$20,$E633)=0,"Catégorie ?","OK"),"Type ?"))))</f>
        <v/>
      </c>
    </row>
    <row r="634" customFormat="false" ht="16.5" hidden="false" customHeight="true" outlineLevel="0" collapsed="false">
      <c r="A634" s="72" t="str">
        <f aca="false">IF($B634="","",ROW()-7)</f>
        <v/>
      </c>
      <c r="B634" s="73"/>
      <c r="C634" s="74" t="str">
        <f aca="false">IF($B634="","",YEAR($B634)*100+MONTH($B634))</f>
        <v/>
      </c>
      <c r="D634" s="75"/>
      <c r="E634" s="76"/>
      <c r="F634" s="76"/>
      <c r="G634" s="77"/>
      <c r="H634" s="78"/>
      <c r="I634" s="79"/>
      <c r="J634" s="80" t="str">
        <f aca="false">IF($B634="","",IF(N($H634)&lt;=0,"Montant ?",IF($D634="RECETTE",IF(COUNTIF(PARAMETRES!$E$5:$E$9,$E634)=0,"Catégorie ?","OK"),IF($D634="DEPENSE",IF(COUNTIF(PARAMETRES!$G$5:$G$20,$E634)=0,"Catégorie ?","OK"),"Type ?"))))</f>
        <v/>
      </c>
    </row>
    <row r="635" customFormat="false" ht="16.5" hidden="false" customHeight="true" outlineLevel="0" collapsed="false">
      <c r="A635" s="81" t="str">
        <f aca="false">IF($B635="","",ROW()-7)</f>
        <v/>
      </c>
      <c r="B635" s="82"/>
      <c r="C635" s="83" t="str">
        <f aca="false">IF($B635="","",YEAR($B635)*100+MONTH($B635))</f>
        <v/>
      </c>
      <c r="D635" s="84"/>
      <c r="E635" s="85"/>
      <c r="F635" s="85"/>
      <c r="G635" s="86"/>
      <c r="H635" s="87"/>
      <c r="I635" s="88"/>
      <c r="J635" s="89" t="str">
        <f aca="false">IF($B635="","",IF(N($H635)&lt;=0,"Montant ?",IF($D635="RECETTE",IF(COUNTIF(PARAMETRES!$E$5:$E$9,$E635)=0,"Catégorie ?","OK"),IF($D635="DEPENSE",IF(COUNTIF(PARAMETRES!$G$5:$G$20,$E635)=0,"Catégorie ?","OK"),"Type ?"))))</f>
        <v/>
      </c>
    </row>
    <row r="636" customFormat="false" ht="16.5" hidden="false" customHeight="true" outlineLevel="0" collapsed="false">
      <c r="A636" s="72" t="str">
        <f aca="false">IF($B636="","",ROW()-7)</f>
        <v/>
      </c>
      <c r="B636" s="73"/>
      <c r="C636" s="74" t="str">
        <f aca="false">IF($B636="","",YEAR($B636)*100+MONTH($B636))</f>
        <v/>
      </c>
      <c r="D636" s="75"/>
      <c r="E636" s="76"/>
      <c r="F636" s="76"/>
      <c r="G636" s="77"/>
      <c r="H636" s="78"/>
      <c r="I636" s="79"/>
      <c r="J636" s="80" t="str">
        <f aca="false">IF($B636="","",IF(N($H636)&lt;=0,"Montant ?",IF($D636="RECETTE",IF(COUNTIF(PARAMETRES!$E$5:$E$9,$E636)=0,"Catégorie ?","OK"),IF($D636="DEPENSE",IF(COUNTIF(PARAMETRES!$G$5:$G$20,$E636)=0,"Catégorie ?","OK"),"Type ?"))))</f>
        <v/>
      </c>
    </row>
    <row r="637" customFormat="false" ht="16.5" hidden="false" customHeight="true" outlineLevel="0" collapsed="false">
      <c r="A637" s="81" t="str">
        <f aca="false">IF($B637="","",ROW()-7)</f>
        <v/>
      </c>
      <c r="B637" s="82"/>
      <c r="C637" s="83" t="str">
        <f aca="false">IF($B637="","",YEAR($B637)*100+MONTH($B637))</f>
        <v/>
      </c>
      <c r="D637" s="84"/>
      <c r="E637" s="85"/>
      <c r="F637" s="85"/>
      <c r="G637" s="86"/>
      <c r="H637" s="87"/>
      <c r="I637" s="88"/>
      <c r="J637" s="89" t="str">
        <f aca="false">IF($B637="","",IF(N($H637)&lt;=0,"Montant ?",IF($D637="RECETTE",IF(COUNTIF(PARAMETRES!$E$5:$E$9,$E637)=0,"Catégorie ?","OK"),IF($D637="DEPENSE",IF(COUNTIF(PARAMETRES!$G$5:$G$20,$E637)=0,"Catégorie ?","OK"),"Type ?"))))</f>
        <v/>
      </c>
    </row>
    <row r="638" customFormat="false" ht="16.5" hidden="false" customHeight="true" outlineLevel="0" collapsed="false">
      <c r="A638" s="72" t="str">
        <f aca="false">IF($B638="","",ROW()-7)</f>
        <v/>
      </c>
      <c r="B638" s="73"/>
      <c r="C638" s="74" t="str">
        <f aca="false">IF($B638="","",YEAR($B638)*100+MONTH($B638))</f>
        <v/>
      </c>
      <c r="D638" s="75"/>
      <c r="E638" s="76"/>
      <c r="F638" s="76"/>
      <c r="G638" s="77"/>
      <c r="H638" s="78"/>
      <c r="I638" s="79"/>
      <c r="J638" s="80" t="str">
        <f aca="false">IF($B638="","",IF(N($H638)&lt;=0,"Montant ?",IF($D638="RECETTE",IF(COUNTIF(PARAMETRES!$E$5:$E$9,$E638)=0,"Catégorie ?","OK"),IF($D638="DEPENSE",IF(COUNTIF(PARAMETRES!$G$5:$G$20,$E638)=0,"Catégorie ?","OK"),"Type ?"))))</f>
        <v/>
      </c>
    </row>
    <row r="639" customFormat="false" ht="16.5" hidden="false" customHeight="true" outlineLevel="0" collapsed="false">
      <c r="A639" s="81" t="str">
        <f aca="false">IF($B639="","",ROW()-7)</f>
        <v/>
      </c>
      <c r="B639" s="82"/>
      <c r="C639" s="83" t="str">
        <f aca="false">IF($B639="","",YEAR($B639)*100+MONTH($B639))</f>
        <v/>
      </c>
      <c r="D639" s="84"/>
      <c r="E639" s="85"/>
      <c r="F639" s="85"/>
      <c r="G639" s="86"/>
      <c r="H639" s="87"/>
      <c r="I639" s="88"/>
      <c r="J639" s="89" t="str">
        <f aca="false">IF($B639="","",IF(N($H639)&lt;=0,"Montant ?",IF($D639="RECETTE",IF(COUNTIF(PARAMETRES!$E$5:$E$9,$E639)=0,"Catégorie ?","OK"),IF($D639="DEPENSE",IF(COUNTIF(PARAMETRES!$G$5:$G$20,$E639)=0,"Catégorie ?","OK"),"Type ?"))))</f>
        <v/>
      </c>
    </row>
    <row r="640" customFormat="false" ht="16.5" hidden="false" customHeight="true" outlineLevel="0" collapsed="false">
      <c r="A640" s="72" t="str">
        <f aca="false">IF($B640="","",ROW()-7)</f>
        <v/>
      </c>
      <c r="B640" s="73"/>
      <c r="C640" s="74" t="str">
        <f aca="false">IF($B640="","",YEAR($B640)*100+MONTH($B640))</f>
        <v/>
      </c>
      <c r="D640" s="75"/>
      <c r="E640" s="76"/>
      <c r="F640" s="76"/>
      <c r="G640" s="77"/>
      <c r="H640" s="78"/>
      <c r="I640" s="79"/>
      <c r="J640" s="80" t="str">
        <f aca="false">IF($B640="","",IF(N($H640)&lt;=0,"Montant ?",IF($D640="RECETTE",IF(COUNTIF(PARAMETRES!$E$5:$E$9,$E640)=0,"Catégorie ?","OK"),IF($D640="DEPENSE",IF(COUNTIF(PARAMETRES!$G$5:$G$20,$E640)=0,"Catégorie ?","OK"),"Type ?"))))</f>
        <v/>
      </c>
    </row>
    <row r="641" customFormat="false" ht="16.5" hidden="false" customHeight="true" outlineLevel="0" collapsed="false">
      <c r="A641" s="81" t="str">
        <f aca="false">IF($B641="","",ROW()-7)</f>
        <v/>
      </c>
      <c r="B641" s="82"/>
      <c r="C641" s="83" t="str">
        <f aca="false">IF($B641="","",YEAR($B641)*100+MONTH($B641))</f>
        <v/>
      </c>
      <c r="D641" s="84"/>
      <c r="E641" s="85"/>
      <c r="F641" s="85"/>
      <c r="G641" s="86"/>
      <c r="H641" s="87"/>
      <c r="I641" s="88"/>
      <c r="J641" s="89" t="str">
        <f aca="false">IF($B641="","",IF(N($H641)&lt;=0,"Montant ?",IF($D641="RECETTE",IF(COUNTIF(PARAMETRES!$E$5:$E$9,$E641)=0,"Catégorie ?","OK"),IF($D641="DEPENSE",IF(COUNTIF(PARAMETRES!$G$5:$G$20,$E641)=0,"Catégorie ?","OK"),"Type ?"))))</f>
        <v/>
      </c>
    </row>
    <row r="642" customFormat="false" ht="16.5" hidden="false" customHeight="true" outlineLevel="0" collapsed="false">
      <c r="A642" s="72" t="str">
        <f aca="false">IF($B642="","",ROW()-7)</f>
        <v/>
      </c>
      <c r="B642" s="73"/>
      <c r="C642" s="74" t="str">
        <f aca="false">IF($B642="","",YEAR($B642)*100+MONTH($B642))</f>
        <v/>
      </c>
      <c r="D642" s="75"/>
      <c r="E642" s="76"/>
      <c r="F642" s="76"/>
      <c r="G642" s="77"/>
      <c r="H642" s="78"/>
      <c r="I642" s="79"/>
      <c r="J642" s="80" t="str">
        <f aca="false">IF($B642="","",IF(N($H642)&lt;=0,"Montant ?",IF($D642="RECETTE",IF(COUNTIF(PARAMETRES!$E$5:$E$9,$E642)=0,"Catégorie ?","OK"),IF($D642="DEPENSE",IF(COUNTIF(PARAMETRES!$G$5:$G$20,$E642)=0,"Catégorie ?","OK"),"Type ?"))))</f>
        <v/>
      </c>
    </row>
    <row r="643" customFormat="false" ht="16.5" hidden="false" customHeight="true" outlineLevel="0" collapsed="false">
      <c r="A643" s="81" t="str">
        <f aca="false">IF($B643="","",ROW()-7)</f>
        <v/>
      </c>
      <c r="B643" s="82"/>
      <c r="C643" s="83" t="str">
        <f aca="false">IF($B643="","",YEAR($B643)*100+MONTH($B643))</f>
        <v/>
      </c>
      <c r="D643" s="84"/>
      <c r="E643" s="85"/>
      <c r="F643" s="85"/>
      <c r="G643" s="86"/>
      <c r="H643" s="87"/>
      <c r="I643" s="88"/>
      <c r="J643" s="89" t="str">
        <f aca="false">IF($B643="","",IF(N($H643)&lt;=0,"Montant ?",IF($D643="RECETTE",IF(COUNTIF(PARAMETRES!$E$5:$E$9,$E643)=0,"Catégorie ?","OK"),IF($D643="DEPENSE",IF(COUNTIF(PARAMETRES!$G$5:$G$20,$E643)=0,"Catégorie ?","OK"),"Type ?"))))</f>
        <v/>
      </c>
    </row>
    <row r="644" customFormat="false" ht="16.5" hidden="false" customHeight="true" outlineLevel="0" collapsed="false">
      <c r="A644" s="72" t="str">
        <f aca="false">IF($B644="","",ROW()-7)</f>
        <v/>
      </c>
      <c r="B644" s="73"/>
      <c r="C644" s="74" t="str">
        <f aca="false">IF($B644="","",YEAR($B644)*100+MONTH($B644))</f>
        <v/>
      </c>
      <c r="D644" s="75"/>
      <c r="E644" s="76"/>
      <c r="F644" s="76"/>
      <c r="G644" s="77"/>
      <c r="H644" s="78"/>
      <c r="I644" s="79"/>
      <c r="J644" s="80" t="str">
        <f aca="false">IF($B644="","",IF(N($H644)&lt;=0,"Montant ?",IF($D644="RECETTE",IF(COUNTIF(PARAMETRES!$E$5:$E$9,$E644)=0,"Catégorie ?","OK"),IF($D644="DEPENSE",IF(COUNTIF(PARAMETRES!$G$5:$G$20,$E644)=0,"Catégorie ?","OK"),"Type ?"))))</f>
        <v/>
      </c>
    </row>
    <row r="645" customFormat="false" ht="16.5" hidden="false" customHeight="true" outlineLevel="0" collapsed="false">
      <c r="A645" s="81" t="str">
        <f aca="false">IF($B645="","",ROW()-7)</f>
        <v/>
      </c>
      <c r="B645" s="82"/>
      <c r="C645" s="83" t="str">
        <f aca="false">IF($B645="","",YEAR($B645)*100+MONTH($B645))</f>
        <v/>
      </c>
      <c r="D645" s="84"/>
      <c r="E645" s="85"/>
      <c r="F645" s="85"/>
      <c r="G645" s="86"/>
      <c r="H645" s="87"/>
      <c r="I645" s="88"/>
      <c r="J645" s="89" t="str">
        <f aca="false">IF($B645="","",IF(N($H645)&lt;=0,"Montant ?",IF($D645="RECETTE",IF(COUNTIF(PARAMETRES!$E$5:$E$9,$E645)=0,"Catégorie ?","OK"),IF($D645="DEPENSE",IF(COUNTIF(PARAMETRES!$G$5:$G$20,$E645)=0,"Catégorie ?","OK"),"Type ?"))))</f>
        <v/>
      </c>
    </row>
    <row r="646" customFormat="false" ht="16.5" hidden="false" customHeight="true" outlineLevel="0" collapsed="false">
      <c r="A646" s="72" t="str">
        <f aca="false">IF($B646="","",ROW()-7)</f>
        <v/>
      </c>
      <c r="B646" s="73"/>
      <c r="C646" s="74" t="str">
        <f aca="false">IF($B646="","",YEAR($B646)*100+MONTH($B646))</f>
        <v/>
      </c>
      <c r="D646" s="75"/>
      <c r="E646" s="76"/>
      <c r="F646" s="76"/>
      <c r="G646" s="77"/>
      <c r="H646" s="78"/>
      <c r="I646" s="79"/>
      <c r="J646" s="80" t="str">
        <f aca="false">IF($B646="","",IF(N($H646)&lt;=0,"Montant ?",IF($D646="RECETTE",IF(COUNTIF(PARAMETRES!$E$5:$E$9,$E646)=0,"Catégorie ?","OK"),IF($D646="DEPENSE",IF(COUNTIF(PARAMETRES!$G$5:$G$20,$E646)=0,"Catégorie ?","OK"),"Type ?"))))</f>
        <v/>
      </c>
    </row>
    <row r="647" customFormat="false" ht="16.5" hidden="false" customHeight="true" outlineLevel="0" collapsed="false">
      <c r="A647" s="81" t="str">
        <f aca="false">IF($B647="","",ROW()-7)</f>
        <v/>
      </c>
      <c r="B647" s="82"/>
      <c r="C647" s="83" t="str">
        <f aca="false">IF($B647="","",YEAR($B647)*100+MONTH($B647))</f>
        <v/>
      </c>
      <c r="D647" s="84"/>
      <c r="E647" s="85"/>
      <c r="F647" s="85"/>
      <c r="G647" s="86"/>
      <c r="H647" s="87"/>
      <c r="I647" s="88"/>
      <c r="J647" s="89" t="str">
        <f aca="false">IF($B647="","",IF(N($H647)&lt;=0,"Montant ?",IF($D647="RECETTE",IF(COUNTIF(PARAMETRES!$E$5:$E$9,$E647)=0,"Catégorie ?","OK"),IF($D647="DEPENSE",IF(COUNTIF(PARAMETRES!$G$5:$G$20,$E647)=0,"Catégorie ?","OK"),"Type ?"))))</f>
        <v/>
      </c>
    </row>
    <row r="648" customFormat="false" ht="16.5" hidden="false" customHeight="true" outlineLevel="0" collapsed="false">
      <c r="A648" s="72" t="str">
        <f aca="false">IF($B648="","",ROW()-7)</f>
        <v/>
      </c>
      <c r="B648" s="73"/>
      <c r="C648" s="74" t="str">
        <f aca="false">IF($B648="","",YEAR($B648)*100+MONTH($B648))</f>
        <v/>
      </c>
      <c r="D648" s="75"/>
      <c r="E648" s="76"/>
      <c r="F648" s="76"/>
      <c r="G648" s="77"/>
      <c r="H648" s="78"/>
      <c r="I648" s="79"/>
      <c r="J648" s="80" t="str">
        <f aca="false">IF($B648="","",IF(N($H648)&lt;=0,"Montant ?",IF($D648="RECETTE",IF(COUNTIF(PARAMETRES!$E$5:$E$9,$E648)=0,"Catégorie ?","OK"),IF($D648="DEPENSE",IF(COUNTIF(PARAMETRES!$G$5:$G$20,$E648)=0,"Catégorie ?","OK"),"Type ?"))))</f>
        <v/>
      </c>
    </row>
    <row r="649" customFormat="false" ht="16.5" hidden="false" customHeight="true" outlineLevel="0" collapsed="false">
      <c r="A649" s="81" t="str">
        <f aca="false">IF($B649="","",ROW()-7)</f>
        <v/>
      </c>
      <c r="B649" s="82"/>
      <c r="C649" s="83" t="str">
        <f aca="false">IF($B649="","",YEAR($B649)*100+MONTH($B649))</f>
        <v/>
      </c>
      <c r="D649" s="84"/>
      <c r="E649" s="85"/>
      <c r="F649" s="85"/>
      <c r="G649" s="86"/>
      <c r="H649" s="87"/>
      <c r="I649" s="88"/>
      <c r="J649" s="89" t="str">
        <f aca="false">IF($B649="","",IF(N($H649)&lt;=0,"Montant ?",IF($D649="RECETTE",IF(COUNTIF(PARAMETRES!$E$5:$E$9,$E649)=0,"Catégorie ?","OK"),IF($D649="DEPENSE",IF(COUNTIF(PARAMETRES!$G$5:$G$20,$E649)=0,"Catégorie ?","OK"),"Type ?"))))</f>
        <v/>
      </c>
    </row>
    <row r="650" customFormat="false" ht="16.5" hidden="false" customHeight="true" outlineLevel="0" collapsed="false">
      <c r="A650" s="72" t="str">
        <f aca="false">IF($B650="","",ROW()-7)</f>
        <v/>
      </c>
      <c r="B650" s="73"/>
      <c r="C650" s="74" t="str">
        <f aca="false">IF($B650="","",YEAR($B650)*100+MONTH($B650))</f>
        <v/>
      </c>
      <c r="D650" s="75"/>
      <c r="E650" s="76"/>
      <c r="F650" s="76"/>
      <c r="G650" s="77"/>
      <c r="H650" s="78"/>
      <c r="I650" s="79"/>
      <c r="J650" s="80" t="str">
        <f aca="false">IF($B650="","",IF(N($H650)&lt;=0,"Montant ?",IF($D650="RECETTE",IF(COUNTIF(PARAMETRES!$E$5:$E$9,$E650)=0,"Catégorie ?","OK"),IF($D650="DEPENSE",IF(COUNTIF(PARAMETRES!$G$5:$G$20,$E650)=0,"Catégorie ?","OK"),"Type ?"))))</f>
        <v/>
      </c>
    </row>
    <row r="651" customFormat="false" ht="16.5" hidden="false" customHeight="true" outlineLevel="0" collapsed="false">
      <c r="A651" s="81" t="str">
        <f aca="false">IF($B651="","",ROW()-7)</f>
        <v/>
      </c>
      <c r="B651" s="82"/>
      <c r="C651" s="83" t="str">
        <f aca="false">IF($B651="","",YEAR($B651)*100+MONTH($B651))</f>
        <v/>
      </c>
      <c r="D651" s="84"/>
      <c r="E651" s="85"/>
      <c r="F651" s="85"/>
      <c r="G651" s="86"/>
      <c r="H651" s="87"/>
      <c r="I651" s="88"/>
      <c r="J651" s="89" t="str">
        <f aca="false">IF($B651="","",IF(N($H651)&lt;=0,"Montant ?",IF($D651="RECETTE",IF(COUNTIF(PARAMETRES!$E$5:$E$9,$E651)=0,"Catégorie ?","OK"),IF($D651="DEPENSE",IF(COUNTIF(PARAMETRES!$G$5:$G$20,$E651)=0,"Catégorie ?","OK"),"Type ?"))))</f>
        <v/>
      </c>
    </row>
    <row r="652" customFormat="false" ht="16.5" hidden="false" customHeight="true" outlineLevel="0" collapsed="false">
      <c r="A652" s="72" t="str">
        <f aca="false">IF($B652="","",ROW()-7)</f>
        <v/>
      </c>
      <c r="B652" s="73"/>
      <c r="C652" s="74" t="str">
        <f aca="false">IF($B652="","",YEAR($B652)*100+MONTH($B652))</f>
        <v/>
      </c>
      <c r="D652" s="75"/>
      <c r="E652" s="76"/>
      <c r="F652" s="76"/>
      <c r="G652" s="77"/>
      <c r="H652" s="78"/>
      <c r="I652" s="79"/>
      <c r="J652" s="80" t="str">
        <f aca="false">IF($B652="","",IF(N($H652)&lt;=0,"Montant ?",IF($D652="RECETTE",IF(COUNTIF(PARAMETRES!$E$5:$E$9,$E652)=0,"Catégorie ?","OK"),IF($D652="DEPENSE",IF(COUNTIF(PARAMETRES!$G$5:$G$20,$E652)=0,"Catégorie ?","OK"),"Type ?"))))</f>
        <v/>
      </c>
    </row>
    <row r="653" customFormat="false" ht="16.5" hidden="false" customHeight="true" outlineLevel="0" collapsed="false">
      <c r="A653" s="81" t="str">
        <f aca="false">IF($B653="","",ROW()-7)</f>
        <v/>
      </c>
      <c r="B653" s="82"/>
      <c r="C653" s="83" t="str">
        <f aca="false">IF($B653="","",YEAR($B653)*100+MONTH($B653))</f>
        <v/>
      </c>
      <c r="D653" s="84"/>
      <c r="E653" s="85"/>
      <c r="F653" s="85"/>
      <c r="G653" s="86"/>
      <c r="H653" s="87"/>
      <c r="I653" s="88"/>
      <c r="J653" s="89" t="str">
        <f aca="false">IF($B653="","",IF(N($H653)&lt;=0,"Montant ?",IF($D653="RECETTE",IF(COUNTIF(PARAMETRES!$E$5:$E$9,$E653)=0,"Catégorie ?","OK"),IF($D653="DEPENSE",IF(COUNTIF(PARAMETRES!$G$5:$G$20,$E653)=0,"Catégorie ?","OK"),"Type ?"))))</f>
        <v/>
      </c>
    </row>
    <row r="654" customFormat="false" ht="16.5" hidden="false" customHeight="true" outlineLevel="0" collapsed="false">
      <c r="A654" s="72" t="str">
        <f aca="false">IF($B654="","",ROW()-7)</f>
        <v/>
      </c>
      <c r="B654" s="73"/>
      <c r="C654" s="74" t="str">
        <f aca="false">IF($B654="","",YEAR($B654)*100+MONTH($B654))</f>
        <v/>
      </c>
      <c r="D654" s="75"/>
      <c r="E654" s="76"/>
      <c r="F654" s="76"/>
      <c r="G654" s="77"/>
      <c r="H654" s="78"/>
      <c r="I654" s="79"/>
      <c r="J654" s="80" t="str">
        <f aca="false">IF($B654="","",IF(N($H654)&lt;=0,"Montant ?",IF($D654="RECETTE",IF(COUNTIF(PARAMETRES!$E$5:$E$9,$E654)=0,"Catégorie ?","OK"),IF($D654="DEPENSE",IF(COUNTIF(PARAMETRES!$G$5:$G$20,$E654)=0,"Catégorie ?","OK"),"Type ?"))))</f>
        <v/>
      </c>
    </row>
    <row r="655" customFormat="false" ht="16.5" hidden="false" customHeight="true" outlineLevel="0" collapsed="false">
      <c r="A655" s="81" t="str">
        <f aca="false">IF($B655="","",ROW()-7)</f>
        <v/>
      </c>
      <c r="B655" s="82"/>
      <c r="C655" s="83" t="str">
        <f aca="false">IF($B655="","",YEAR($B655)*100+MONTH($B655))</f>
        <v/>
      </c>
      <c r="D655" s="84"/>
      <c r="E655" s="85"/>
      <c r="F655" s="85"/>
      <c r="G655" s="86"/>
      <c r="H655" s="87"/>
      <c r="I655" s="88"/>
      <c r="J655" s="89" t="str">
        <f aca="false">IF($B655="","",IF(N($H655)&lt;=0,"Montant ?",IF($D655="RECETTE",IF(COUNTIF(PARAMETRES!$E$5:$E$9,$E655)=0,"Catégorie ?","OK"),IF($D655="DEPENSE",IF(COUNTIF(PARAMETRES!$G$5:$G$20,$E655)=0,"Catégorie ?","OK"),"Type ?"))))</f>
        <v/>
      </c>
    </row>
    <row r="656" customFormat="false" ht="16.5" hidden="false" customHeight="true" outlineLevel="0" collapsed="false">
      <c r="A656" s="72" t="str">
        <f aca="false">IF($B656="","",ROW()-7)</f>
        <v/>
      </c>
      <c r="B656" s="73"/>
      <c r="C656" s="74" t="str">
        <f aca="false">IF($B656="","",YEAR($B656)*100+MONTH($B656))</f>
        <v/>
      </c>
      <c r="D656" s="75"/>
      <c r="E656" s="76"/>
      <c r="F656" s="76"/>
      <c r="G656" s="77"/>
      <c r="H656" s="78"/>
      <c r="I656" s="79"/>
      <c r="J656" s="80" t="str">
        <f aca="false">IF($B656="","",IF(N($H656)&lt;=0,"Montant ?",IF($D656="RECETTE",IF(COUNTIF(PARAMETRES!$E$5:$E$9,$E656)=0,"Catégorie ?","OK"),IF($D656="DEPENSE",IF(COUNTIF(PARAMETRES!$G$5:$G$20,$E656)=0,"Catégorie ?","OK"),"Type ?"))))</f>
        <v/>
      </c>
    </row>
    <row r="657" customFormat="false" ht="16.5" hidden="false" customHeight="true" outlineLevel="0" collapsed="false">
      <c r="A657" s="81" t="str">
        <f aca="false">IF($B657="","",ROW()-7)</f>
        <v/>
      </c>
      <c r="B657" s="82"/>
      <c r="C657" s="83" t="str">
        <f aca="false">IF($B657="","",YEAR($B657)*100+MONTH($B657))</f>
        <v/>
      </c>
      <c r="D657" s="84"/>
      <c r="E657" s="85"/>
      <c r="F657" s="85"/>
      <c r="G657" s="86"/>
      <c r="H657" s="87"/>
      <c r="I657" s="88"/>
      <c r="J657" s="89" t="str">
        <f aca="false">IF($B657="","",IF(N($H657)&lt;=0,"Montant ?",IF($D657="RECETTE",IF(COUNTIF(PARAMETRES!$E$5:$E$9,$E657)=0,"Catégorie ?","OK"),IF($D657="DEPENSE",IF(COUNTIF(PARAMETRES!$G$5:$G$20,$E657)=0,"Catégorie ?","OK"),"Type ?"))))</f>
        <v/>
      </c>
    </row>
    <row r="658" customFormat="false" ht="16.5" hidden="false" customHeight="true" outlineLevel="0" collapsed="false">
      <c r="A658" s="72" t="str">
        <f aca="false">IF($B658="","",ROW()-7)</f>
        <v/>
      </c>
      <c r="B658" s="73"/>
      <c r="C658" s="74" t="str">
        <f aca="false">IF($B658="","",YEAR($B658)*100+MONTH($B658))</f>
        <v/>
      </c>
      <c r="D658" s="75"/>
      <c r="E658" s="76"/>
      <c r="F658" s="76"/>
      <c r="G658" s="77"/>
      <c r="H658" s="78"/>
      <c r="I658" s="79"/>
      <c r="J658" s="80" t="str">
        <f aca="false">IF($B658="","",IF(N($H658)&lt;=0,"Montant ?",IF($D658="RECETTE",IF(COUNTIF(PARAMETRES!$E$5:$E$9,$E658)=0,"Catégorie ?","OK"),IF($D658="DEPENSE",IF(COUNTIF(PARAMETRES!$G$5:$G$20,$E658)=0,"Catégorie ?","OK"),"Type ?"))))</f>
        <v/>
      </c>
    </row>
    <row r="659" customFormat="false" ht="16.5" hidden="false" customHeight="true" outlineLevel="0" collapsed="false">
      <c r="A659" s="81" t="str">
        <f aca="false">IF($B659="","",ROW()-7)</f>
        <v/>
      </c>
      <c r="B659" s="82"/>
      <c r="C659" s="83" t="str">
        <f aca="false">IF($B659="","",YEAR($B659)*100+MONTH($B659))</f>
        <v/>
      </c>
      <c r="D659" s="84"/>
      <c r="E659" s="85"/>
      <c r="F659" s="85"/>
      <c r="G659" s="86"/>
      <c r="H659" s="87"/>
      <c r="I659" s="88"/>
      <c r="J659" s="89" t="str">
        <f aca="false">IF($B659="","",IF(N($H659)&lt;=0,"Montant ?",IF($D659="RECETTE",IF(COUNTIF(PARAMETRES!$E$5:$E$9,$E659)=0,"Catégorie ?","OK"),IF($D659="DEPENSE",IF(COUNTIF(PARAMETRES!$G$5:$G$20,$E659)=0,"Catégorie ?","OK"),"Type ?"))))</f>
        <v/>
      </c>
    </row>
    <row r="660" customFormat="false" ht="16.5" hidden="false" customHeight="true" outlineLevel="0" collapsed="false">
      <c r="A660" s="72" t="str">
        <f aca="false">IF($B660="","",ROW()-7)</f>
        <v/>
      </c>
      <c r="B660" s="73"/>
      <c r="C660" s="74" t="str">
        <f aca="false">IF($B660="","",YEAR($B660)*100+MONTH($B660))</f>
        <v/>
      </c>
      <c r="D660" s="75"/>
      <c r="E660" s="76"/>
      <c r="F660" s="76"/>
      <c r="G660" s="77"/>
      <c r="H660" s="78"/>
      <c r="I660" s="79"/>
      <c r="J660" s="80" t="str">
        <f aca="false">IF($B660="","",IF(N($H660)&lt;=0,"Montant ?",IF($D660="RECETTE",IF(COUNTIF(PARAMETRES!$E$5:$E$9,$E660)=0,"Catégorie ?","OK"),IF($D660="DEPENSE",IF(COUNTIF(PARAMETRES!$G$5:$G$20,$E660)=0,"Catégorie ?","OK"),"Type ?"))))</f>
        <v/>
      </c>
    </row>
    <row r="661" customFormat="false" ht="16.5" hidden="false" customHeight="true" outlineLevel="0" collapsed="false">
      <c r="A661" s="81" t="str">
        <f aca="false">IF($B661="","",ROW()-7)</f>
        <v/>
      </c>
      <c r="B661" s="82"/>
      <c r="C661" s="83" t="str">
        <f aca="false">IF($B661="","",YEAR($B661)*100+MONTH($B661))</f>
        <v/>
      </c>
      <c r="D661" s="84"/>
      <c r="E661" s="85"/>
      <c r="F661" s="85"/>
      <c r="G661" s="86"/>
      <c r="H661" s="87"/>
      <c r="I661" s="88"/>
      <c r="J661" s="89" t="str">
        <f aca="false">IF($B661="","",IF(N($H661)&lt;=0,"Montant ?",IF($D661="RECETTE",IF(COUNTIF(PARAMETRES!$E$5:$E$9,$E661)=0,"Catégorie ?","OK"),IF($D661="DEPENSE",IF(COUNTIF(PARAMETRES!$G$5:$G$20,$E661)=0,"Catégorie ?","OK"),"Type ?"))))</f>
        <v/>
      </c>
    </row>
    <row r="662" customFormat="false" ht="16.5" hidden="false" customHeight="true" outlineLevel="0" collapsed="false">
      <c r="A662" s="72" t="str">
        <f aca="false">IF($B662="","",ROW()-7)</f>
        <v/>
      </c>
      <c r="B662" s="73"/>
      <c r="C662" s="74" t="str">
        <f aca="false">IF($B662="","",YEAR($B662)*100+MONTH($B662))</f>
        <v/>
      </c>
      <c r="D662" s="75"/>
      <c r="E662" s="76"/>
      <c r="F662" s="76"/>
      <c r="G662" s="77"/>
      <c r="H662" s="78"/>
      <c r="I662" s="79"/>
      <c r="J662" s="80" t="str">
        <f aca="false">IF($B662="","",IF(N($H662)&lt;=0,"Montant ?",IF($D662="RECETTE",IF(COUNTIF(PARAMETRES!$E$5:$E$9,$E662)=0,"Catégorie ?","OK"),IF($D662="DEPENSE",IF(COUNTIF(PARAMETRES!$G$5:$G$20,$E662)=0,"Catégorie ?","OK"),"Type ?"))))</f>
        <v/>
      </c>
    </row>
    <row r="663" customFormat="false" ht="16.5" hidden="false" customHeight="true" outlineLevel="0" collapsed="false">
      <c r="A663" s="81" t="str">
        <f aca="false">IF($B663="","",ROW()-7)</f>
        <v/>
      </c>
      <c r="B663" s="82"/>
      <c r="C663" s="83" t="str">
        <f aca="false">IF($B663="","",YEAR($B663)*100+MONTH($B663))</f>
        <v/>
      </c>
      <c r="D663" s="84"/>
      <c r="E663" s="85"/>
      <c r="F663" s="85"/>
      <c r="G663" s="86"/>
      <c r="H663" s="87"/>
      <c r="I663" s="88"/>
      <c r="J663" s="89" t="str">
        <f aca="false">IF($B663="","",IF(N($H663)&lt;=0,"Montant ?",IF($D663="RECETTE",IF(COUNTIF(PARAMETRES!$E$5:$E$9,$E663)=0,"Catégorie ?","OK"),IF($D663="DEPENSE",IF(COUNTIF(PARAMETRES!$G$5:$G$20,$E663)=0,"Catégorie ?","OK"),"Type ?"))))</f>
        <v/>
      </c>
    </row>
    <row r="664" customFormat="false" ht="16.5" hidden="false" customHeight="true" outlineLevel="0" collapsed="false">
      <c r="A664" s="72" t="str">
        <f aca="false">IF($B664="","",ROW()-7)</f>
        <v/>
      </c>
      <c r="B664" s="73"/>
      <c r="C664" s="74" t="str">
        <f aca="false">IF($B664="","",YEAR($B664)*100+MONTH($B664))</f>
        <v/>
      </c>
      <c r="D664" s="75"/>
      <c r="E664" s="76"/>
      <c r="F664" s="76"/>
      <c r="G664" s="77"/>
      <c r="H664" s="78"/>
      <c r="I664" s="79"/>
      <c r="J664" s="80" t="str">
        <f aca="false">IF($B664="","",IF(N($H664)&lt;=0,"Montant ?",IF($D664="RECETTE",IF(COUNTIF(PARAMETRES!$E$5:$E$9,$E664)=0,"Catégorie ?","OK"),IF($D664="DEPENSE",IF(COUNTIF(PARAMETRES!$G$5:$G$20,$E664)=0,"Catégorie ?","OK"),"Type ?"))))</f>
        <v/>
      </c>
    </row>
    <row r="665" customFormat="false" ht="16.5" hidden="false" customHeight="true" outlineLevel="0" collapsed="false">
      <c r="A665" s="81" t="str">
        <f aca="false">IF($B665="","",ROW()-7)</f>
        <v/>
      </c>
      <c r="B665" s="82"/>
      <c r="C665" s="83" t="str">
        <f aca="false">IF($B665="","",YEAR($B665)*100+MONTH($B665))</f>
        <v/>
      </c>
      <c r="D665" s="84"/>
      <c r="E665" s="85"/>
      <c r="F665" s="85"/>
      <c r="G665" s="86"/>
      <c r="H665" s="87"/>
      <c r="I665" s="88"/>
      <c r="J665" s="89" t="str">
        <f aca="false">IF($B665="","",IF(N($H665)&lt;=0,"Montant ?",IF($D665="RECETTE",IF(COUNTIF(PARAMETRES!$E$5:$E$9,$E665)=0,"Catégorie ?","OK"),IF($D665="DEPENSE",IF(COUNTIF(PARAMETRES!$G$5:$G$20,$E665)=0,"Catégorie ?","OK"),"Type ?"))))</f>
        <v/>
      </c>
    </row>
    <row r="666" customFormat="false" ht="16.5" hidden="false" customHeight="true" outlineLevel="0" collapsed="false">
      <c r="A666" s="72" t="str">
        <f aca="false">IF($B666="","",ROW()-7)</f>
        <v/>
      </c>
      <c r="B666" s="73"/>
      <c r="C666" s="74" t="str">
        <f aca="false">IF($B666="","",YEAR($B666)*100+MONTH($B666))</f>
        <v/>
      </c>
      <c r="D666" s="75"/>
      <c r="E666" s="76"/>
      <c r="F666" s="76"/>
      <c r="G666" s="77"/>
      <c r="H666" s="78"/>
      <c r="I666" s="79"/>
      <c r="J666" s="80" t="str">
        <f aca="false">IF($B666="","",IF(N($H666)&lt;=0,"Montant ?",IF($D666="RECETTE",IF(COUNTIF(PARAMETRES!$E$5:$E$9,$E666)=0,"Catégorie ?","OK"),IF($D666="DEPENSE",IF(COUNTIF(PARAMETRES!$G$5:$G$20,$E666)=0,"Catégorie ?","OK"),"Type ?"))))</f>
        <v/>
      </c>
    </row>
    <row r="667" customFormat="false" ht="16.5" hidden="false" customHeight="true" outlineLevel="0" collapsed="false">
      <c r="A667" s="81" t="str">
        <f aca="false">IF($B667="","",ROW()-7)</f>
        <v/>
      </c>
      <c r="B667" s="82"/>
      <c r="C667" s="83" t="str">
        <f aca="false">IF($B667="","",YEAR($B667)*100+MONTH($B667))</f>
        <v/>
      </c>
      <c r="D667" s="84"/>
      <c r="E667" s="85"/>
      <c r="F667" s="85"/>
      <c r="G667" s="86"/>
      <c r="H667" s="87"/>
      <c r="I667" s="88"/>
      <c r="J667" s="89" t="str">
        <f aca="false">IF($B667="","",IF(N($H667)&lt;=0,"Montant ?",IF($D667="RECETTE",IF(COUNTIF(PARAMETRES!$E$5:$E$9,$E667)=0,"Catégorie ?","OK"),IF($D667="DEPENSE",IF(COUNTIF(PARAMETRES!$G$5:$G$20,$E667)=0,"Catégorie ?","OK"),"Type ?"))))</f>
        <v/>
      </c>
    </row>
    <row r="668" customFormat="false" ht="16.5" hidden="false" customHeight="true" outlineLevel="0" collapsed="false">
      <c r="A668" s="72" t="str">
        <f aca="false">IF($B668="","",ROW()-7)</f>
        <v/>
      </c>
      <c r="B668" s="73"/>
      <c r="C668" s="74" t="str">
        <f aca="false">IF($B668="","",YEAR($B668)*100+MONTH($B668))</f>
        <v/>
      </c>
      <c r="D668" s="75"/>
      <c r="E668" s="76"/>
      <c r="F668" s="76"/>
      <c r="G668" s="77"/>
      <c r="H668" s="78"/>
      <c r="I668" s="79"/>
      <c r="J668" s="80" t="str">
        <f aca="false">IF($B668="","",IF(N($H668)&lt;=0,"Montant ?",IF($D668="RECETTE",IF(COUNTIF(PARAMETRES!$E$5:$E$9,$E668)=0,"Catégorie ?","OK"),IF($D668="DEPENSE",IF(COUNTIF(PARAMETRES!$G$5:$G$20,$E668)=0,"Catégorie ?","OK"),"Type ?"))))</f>
        <v/>
      </c>
    </row>
    <row r="669" customFormat="false" ht="16.5" hidden="false" customHeight="true" outlineLevel="0" collapsed="false">
      <c r="A669" s="81" t="str">
        <f aca="false">IF($B669="","",ROW()-7)</f>
        <v/>
      </c>
      <c r="B669" s="82"/>
      <c r="C669" s="83" t="str">
        <f aca="false">IF($B669="","",YEAR($B669)*100+MONTH($B669))</f>
        <v/>
      </c>
      <c r="D669" s="84"/>
      <c r="E669" s="85"/>
      <c r="F669" s="85"/>
      <c r="G669" s="86"/>
      <c r="H669" s="87"/>
      <c r="I669" s="88"/>
      <c r="J669" s="89" t="str">
        <f aca="false">IF($B669="","",IF(N($H669)&lt;=0,"Montant ?",IF($D669="RECETTE",IF(COUNTIF(PARAMETRES!$E$5:$E$9,$E669)=0,"Catégorie ?","OK"),IF($D669="DEPENSE",IF(COUNTIF(PARAMETRES!$G$5:$G$20,$E669)=0,"Catégorie ?","OK"),"Type ?"))))</f>
        <v/>
      </c>
    </row>
    <row r="670" customFormat="false" ht="16.5" hidden="false" customHeight="true" outlineLevel="0" collapsed="false">
      <c r="A670" s="72" t="str">
        <f aca="false">IF($B670="","",ROW()-7)</f>
        <v/>
      </c>
      <c r="B670" s="73"/>
      <c r="C670" s="74" t="str">
        <f aca="false">IF($B670="","",YEAR($B670)*100+MONTH($B670))</f>
        <v/>
      </c>
      <c r="D670" s="75"/>
      <c r="E670" s="76"/>
      <c r="F670" s="76"/>
      <c r="G670" s="77"/>
      <c r="H670" s="78"/>
      <c r="I670" s="79"/>
      <c r="J670" s="80" t="str">
        <f aca="false">IF($B670="","",IF(N($H670)&lt;=0,"Montant ?",IF($D670="RECETTE",IF(COUNTIF(PARAMETRES!$E$5:$E$9,$E670)=0,"Catégorie ?","OK"),IF($D670="DEPENSE",IF(COUNTIF(PARAMETRES!$G$5:$G$20,$E670)=0,"Catégorie ?","OK"),"Type ?"))))</f>
        <v/>
      </c>
    </row>
    <row r="671" customFormat="false" ht="16.5" hidden="false" customHeight="true" outlineLevel="0" collapsed="false">
      <c r="A671" s="81" t="str">
        <f aca="false">IF($B671="","",ROW()-7)</f>
        <v/>
      </c>
      <c r="B671" s="82"/>
      <c r="C671" s="83" t="str">
        <f aca="false">IF($B671="","",YEAR($B671)*100+MONTH($B671))</f>
        <v/>
      </c>
      <c r="D671" s="84"/>
      <c r="E671" s="85"/>
      <c r="F671" s="85"/>
      <c r="G671" s="86"/>
      <c r="H671" s="87"/>
      <c r="I671" s="88"/>
      <c r="J671" s="89" t="str">
        <f aca="false">IF($B671="","",IF(N($H671)&lt;=0,"Montant ?",IF($D671="RECETTE",IF(COUNTIF(PARAMETRES!$E$5:$E$9,$E671)=0,"Catégorie ?","OK"),IF($D671="DEPENSE",IF(COUNTIF(PARAMETRES!$G$5:$G$20,$E671)=0,"Catégorie ?","OK"),"Type ?"))))</f>
        <v/>
      </c>
    </row>
    <row r="672" customFormat="false" ht="16.5" hidden="false" customHeight="true" outlineLevel="0" collapsed="false">
      <c r="A672" s="72" t="str">
        <f aca="false">IF($B672="","",ROW()-7)</f>
        <v/>
      </c>
      <c r="B672" s="73"/>
      <c r="C672" s="74" t="str">
        <f aca="false">IF($B672="","",YEAR($B672)*100+MONTH($B672))</f>
        <v/>
      </c>
      <c r="D672" s="75"/>
      <c r="E672" s="76"/>
      <c r="F672" s="76"/>
      <c r="G672" s="77"/>
      <c r="H672" s="78"/>
      <c r="I672" s="79"/>
      <c r="J672" s="80" t="str">
        <f aca="false">IF($B672="","",IF(N($H672)&lt;=0,"Montant ?",IF($D672="RECETTE",IF(COUNTIF(PARAMETRES!$E$5:$E$9,$E672)=0,"Catégorie ?","OK"),IF($D672="DEPENSE",IF(COUNTIF(PARAMETRES!$G$5:$G$20,$E672)=0,"Catégorie ?","OK"),"Type ?"))))</f>
        <v/>
      </c>
    </row>
    <row r="673" customFormat="false" ht="16.5" hidden="false" customHeight="true" outlineLevel="0" collapsed="false">
      <c r="A673" s="81" t="str">
        <f aca="false">IF($B673="","",ROW()-7)</f>
        <v/>
      </c>
      <c r="B673" s="82"/>
      <c r="C673" s="83" t="str">
        <f aca="false">IF($B673="","",YEAR($B673)*100+MONTH($B673))</f>
        <v/>
      </c>
      <c r="D673" s="84"/>
      <c r="E673" s="85"/>
      <c r="F673" s="85"/>
      <c r="G673" s="86"/>
      <c r="H673" s="87"/>
      <c r="I673" s="88"/>
      <c r="J673" s="89" t="str">
        <f aca="false">IF($B673="","",IF(N($H673)&lt;=0,"Montant ?",IF($D673="RECETTE",IF(COUNTIF(PARAMETRES!$E$5:$E$9,$E673)=0,"Catégorie ?","OK"),IF($D673="DEPENSE",IF(COUNTIF(PARAMETRES!$G$5:$G$20,$E673)=0,"Catégorie ?","OK"),"Type ?"))))</f>
        <v/>
      </c>
    </row>
    <row r="674" customFormat="false" ht="16.5" hidden="false" customHeight="true" outlineLevel="0" collapsed="false">
      <c r="A674" s="72" t="str">
        <f aca="false">IF($B674="","",ROW()-7)</f>
        <v/>
      </c>
      <c r="B674" s="73"/>
      <c r="C674" s="74" t="str">
        <f aca="false">IF($B674="","",YEAR($B674)*100+MONTH($B674))</f>
        <v/>
      </c>
      <c r="D674" s="75"/>
      <c r="E674" s="76"/>
      <c r="F674" s="76"/>
      <c r="G674" s="77"/>
      <c r="H674" s="78"/>
      <c r="I674" s="79"/>
      <c r="J674" s="80" t="str">
        <f aca="false">IF($B674="","",IF(N($H674)&lt;=0,"Montant ?",IF($D674="RECETTE",IF(COUNTIF(PARAMETRES!$E$5:$E$9,$E674)=0,"Catégorie ?","OK"),IF($D674="DEPENSE",IF(COUNTIF(PARAMETRES!$G$5:$G$20,$E674)=0,"Catégorie ?","OK"),"Type ?"))))</f>
        <v/>
      </c>
    </row>
    <row r="675" customFormat="false" ht="16.5" hidden="false" customHeight="true" outlineLevel="0" collapsed="false">
      <c r="A675" s="81" t="str">
        <f aca="false">IF($B675="","",ROW()-7)</f>
        <v/>
      </c>
      <c r="B675" s="82"/>
      <c r="C675" s="83" t="str">
        <f aca="false">IF($B675="","",YEAR($B675)*100+MONTH($B675))</f>
        <v/>
      </c>
      <c r="D675" s="84"/>
      <c r="E675" s="85"/>
      <c r="F675" s="85"/>
      <c r="G675" s="86"/>
      <c r="H675" s="87"/>
      <c r="I675" s="88"/>
      <c r="J675" s="89" t="str">
        <f aca="false">IF($B675="","",IF(N($H675)&lt;=0,"Montant ?",IF($D675="RECETTE",IF(COUNTIF(PARAMETRES!$E$5:$E$9,$E675)=0,"Catégorie ?","OK"),IF($D675="DEPENSE",IF(COUNTIF(PARAMETRES!$G$5:$G$20,$E675)=0,"Catégorie ?","OK"),"Type ?"))))</f>
        <v/>
      </c>
    </row>
    <row r="676" customFormat="false" ht="16.5" hidden="false" customHeight="true" outlineLevel="0" collapsed="false">
      <c r="A676" s="72" t="str">
        <f aca="false">IF($B676="","",ROW()-7)</f>
        <v/>
      </c>
      <c r="B676" s="73"/>
      <c r="C676" s="74" t="str">
        <f aca="false">IF($B676="","",YEAR($B676)*100+MONTH($B676))</f>
        <v/>
      </c>
      <c r="D676" s="75"/>
      <c r="E676" s="76"/>
      <c r="F676" s="76"/>
      <c r="G676" s="77"/>
      <c r="H676" s="78"/>
      <c r="I676" s="79"/>
      <c r="J676" s="80" t="str">
        <f aca="false">IF($B676="","",IF(N($H676)&lt;=0,"Montant ?",IF($D676="RECETTE",IF(COUNTIF(PARAMETRES!$E$5:$E$9,$E676)=0,"Catégorie ?","OK"),IF($D676="DEPENSE",IF(COUNTIF(PARAMETRES!$G$5:$G$20,$E676)=0,"Catégorie ?","OK"),"Type ?"))))</f>
        <v/>
      </c>
    </row>
    <row r="677" customFormat="false" ht="16.5" hidden="false" customHeight="true" outlineLevel="0" collapsed="false">
      <c r="A677" s="81" t="str">
        <f aca="false">IF($B677="","",ROW()-7)</f>
        <v/>
      </c>
      <c r="B677" s="82"/>
      <c r="C677" s="83" t="str">
        <f aca="false">IF($B677="","",YEAR($B677)*100+MONTH($B677))</f>
        <v/>
      </c>
      <c r="D677" s="84"/>
      <c r="E677" s="85"/>
      <c r="F677" s="85"/>
      <c r="G677" s="86"/>
      <c r="H677" s="87"/>
      <c r="I677" s="88"/>
      <c r="J677" s="89" t="str">
        <f aca="false">IF($B677="","",IF(N($H677)&lt;=0,"Montant ?",IF($D677="RECETTE",IF(COUNTIF(PARAMETRES!$E$5:$E$9,$E677)=0,"Catégorie ?","OK"),IF($D677="DEPENSE",IF(COUNTIF(PARAMETRES!$G$5:$G$20,$E677)=0,"Catégorie ?","OK"),"Type ?"))))</f>
        <v/>
      </c>
    </row>
    <row r="678" customFormat="false" ht="16.5" hidden="false" customHeight="true" outlineLevel="0" collapsed="false">
      <c r="A678" s="72" t="str">
        <f aca="false">IF($B678="","",ROW()-7)</f>
        <v/>
      </c>
      <c r="B678" s="73"/>
      <c r="C678" s="74" t="str">
        <f aca="false">IF($B678="","",YEAR($B678)*100+MONTH($B678))</f>
        <v/>
      </c>
      <c r="D678" s="75"/>
      <c r="E678" s="76"/>
      <c r="F678" s="76"/>
      <c r="G678" s="77"/>
      <c r="H678" s="78"/>
      <c r="I678" s="79"/>
      <c r="J678" s="80" t="str">
        <f aca="false">IF($B678="","",IF(N($H678)&lt;=0,"Montant ?",IF($D678="RECETTE",IF(COUNTIF(PARAMETRES!$E$5:$E$9,$E678)=0,"Catégorie ?","OK"),IF($D678="DEPENSE",IF(COUNTIF(PARAMETRES!$G$5:$G$20,$E678)=0,"Catégorie ?","OK"),"Type ?"))))</f>
        <v/>
      </c>
    </row>
    <row r="679" customFormat="false" ht="16.5" hidden="false" customHeight="true" outlineLevel="0" collapsed="false">
      <c r="A679" s="81" t="str">
        <f aca="false">IF($B679="","",ROW()-7)</f>
        <v/>
      </c>
      <c r="B679" s="82"/>
      <c r="C679" s="83" t="str">
        <f aca="false">IF($B679="","",YEAR($B679)*100+MONTH($B679))</f>
        <v/>
      </c>
      <c r="D679" s="84"/>
      <c r="E679" s="85"/>
      <c r="F679" s="85"/>
      <c r="G679" s="86"/>
      <c r="H679" s="87"/>
      <c r="I679" s="88"/>
      <c r="J679" s="89" t="str">
        <f aca="false">IF($B679="","",IF(N($H679)&lt;=0,"Montant ?",IF($D679="RECETTE",IF(COUNTIF(PARAMETRES!$E$5:$E$9,$E679)=0,"Catégorie ?","OK"),IF($D679="DEPENSE",IF(COUNTIF(PARAMETRES!$G$5:$G$20,$E679)=0,"Catégorie ?","OK"),"Type ?"))))</f>
        <v/>
      </c>
    </row>
    <row r="680" customFormat="false" ht="16.5" hidden="false" customHeight="true" outlineLevel="0" collapsed="false">
      <c r="A680" s="72" t="str">
        <f aca="false">IF($B680="","",ROW()-7)</f>
        <v/>
      </c>
      <c r="B680" s="73"/>
      <c r="C680" s="74" t="str">
        <f aca="false">IF($B680="","",YEAR($B680)*100+MONTH($B680))</f>
        <v/>
      </c>
      <c r="D680" s="75"/>
      <c r="E680" s="76"/>
      <c r="F680" s="76"/>
      <c r="G680" s="77"/>
      <c r="H680" s="78"/>
      <c r="I680" s="79"/>
      <c r="J680" s="80" t="str">
        <f aca="false">IF($B680="","",IF(N($H680)&lt;=0,"Montant ?",IF($D680="RECETTE",IF(COUNTIF(PARAMETRES!$E$5:$E$9,$E680)=0,"Catégorie ?","OK"),IF($D680="DEPENSE",IF(COUNTIF(PARAMETRES!$G$5:$G$20,$E680)=0,"Catégorie ?","OK"),"Type ?"))))</f>
        <v/>
      </c>
    </row>
    <row r="681" customFormat="false" ht="16.5" hidden="false" customHeight="true" outlineLevel="0" collapsed="false">
      <c r="A681" s="81" t="str">
        <f aca="false">IF($B681="","",ROW()-7)</f>
        <v/>
      </c>
      <c r="B681" s="82"/>
      <c r="C681" s="83" t="str">
        <f aca="false">IF($B681="","",YEAR($B681)*100+MONTH($B681))</f>
        <v/>
      </c>
      <c r="D681" s="84"/>
      <c r="E681" s="85"/>
      <c r="F681" s="85"/>
      <c r="G681" s="86"/>
      <c r="H681" s="87"/>
      <c r="I681" s="88"/>
      <c r="J681" s="89" t="str">
        <f aca="false">IF($B681="","",IF(N($H681)&lt;=0,"Montant ?",IF($D681="RECETTE",IF(COUNTIF(PARAMETRES!$E$5:$E$9,$E681)=0,"Catégorie ?","OK"),IF($D681="DEPENSE",IF(COUNTIF(PARAMETRES!$G$5:$G$20,$E681)=0,"Catégorie ?","OK"),"Type ?"))))</f>
        <v/>
      </c>
    </row>
    <row r="682" customFormat="false" ht="16.5" hidden="false" customHeight="true" outlineLevel="0" collapsed="false">
      <c r="A682" s="72" t="str">
        <f aca="false">IF($B682="","",ROW()-7)</f>
        <v/>
      </c>
      <c r="B682" s="73"/>
      <c r="C682" s="74" t="str">
        <f aca="false">IF($B682="","",YEAR($B682)*100+MONTH($B682))</f>
        <v/>
      </c>
      <c r="D682" s="75"/>
      <c r="E682" s="76"/>
      <c r="F682" s="76"/>
      <c r="G682" s="77"/>
      <c r="H682" s="78"/>
      <c r="I682" s="79"/>
      <c r="J682" s="80" t="str">
        <f aca="false">IF($B682="","",IF(N($H682)&lt;=0,"Montant ?",IF($D682="RECETTE",IF(COUNTIF(PARAMETRES!$E$5:$E$9,$E682)=0,"Catégorie ?","OK"),IF($D682="DEPENSE",IF(COUNTIF(PARAMETRES!$G$5:$G$20,$E682)=0,"Catégorie ?","OK"),"Type ?"))))</f>
        <v/>
      </c>
    </row>
    <row r="683" customFormat="false" ht="16.5" hidden="false" customHeight="true" outlineLevel="0" collapsed="false">
      <c r="A683" s="81" t="str">
        <f aca="false">IF($B683="","",ROW()-7)</f>
        <v/>
      </c>
      <c r="B683" s="82"/>
      <c r="C683" s="83" t="str">
        <f aca="false">IF($B683="","",YEAR($B683)*100+MONTH($B683))</f>
        <v/>
      </c>
      <c r="D683" s="84"/>
      <c r="E683" s="85"/>
      <c r="F683" s="85"/>
      <c r="G683" s="86"/>
      <c r="H683" s="87"/>
      <c r="I683" s="88"/>
      <c r="J683" s="89" t="str">
        <f aca="false">IF($B683="","",IF(N($H683)&lt;=0,"Montant ?",IF($D683="RECETTE",IF(COUNTIF(PARAMETRES!$E$5:$E$9,$E683)=0,"Catégorie ?","OK"),IF($D683="DEPENSE",IF(COUNTIF(PARAMETRES!$G$5:$G$20,$E683)=0,"Catégorie ?","OK"),"Type ?"))))</f>
        <v/>
      </c>
    </row>
    <row r="684" customFormat="false" ht="16.5" hidden="false" customHeight="true" outlineLevel="0" collapsed="false">
      <c r="A684" s="72" t="str">
        <f aca="false">IF($B684="","",ROW()-7)</f>
        <v/>
      </c>
      <c r="B684" s="73"/>
      <c r="C684" s="74" t="str">
        <f aca="false">IF($B684="","",YEAR($B684)*100+MONTH($B684))</f>
        <v/>
      </c>
      <c r="D684" s="75"/>
      <c r="E684" s="76"/>
      <c r="F684" s="76"/>
      <c r="G684" s="77"/>
      <c r="H684" s="78"/>
      <c r="I684" s="79"/>
      <c r="J684" s="80" t="str">
        <f aca="false">IF($B684="","",IF(N($H684)&lt;=0,"Montant ?",IF($D684="RECETTE",IF(COUNTIF(PARAMETRES!$E$5:$E$9,$E684)=0,"Catégorie ?","OK"),IF($D684="DEPENSE",IF(COUNTIF(PARAMETRES!$G$5:$G$20,$E684)=0,"Catégorie ?","OK"),"Type ?"))))</f>
        <v/>
      </c>
    </row>
    <row r="685" customFormat="false" ht="16.5" hidden="false" customHeight="true" outlineLevel="0" collapsed="false">
      <c r="A685" s="81" t="str">
        <f aca="false">IF($B685="","",ROW()-7)</f>
        <v/>
      </c>
      <c r="B685" s="82"/>
      <c r="C685" s="83" t="str">
        <f aca="false">IF($B685="","",YEAR($B685)*100+MONTH($B685))</f>
        <v/>
      </c>
      <c r="D685" s="84"/>
      <c r="E685" s="85"/>
      <c r="F685" s="85"/>
      <c r="G685" s="86"/>
      <c r="H685" s="87"/>
      <c r="I685" s="88"/>
      <c r="J685" s="89" t="str">
        <f aca="false">IF($B685="","",IF(N($H685)&lt;=0,"Montant ?",IF($D685="RECETTE",IF(COUNTIF(PARAMETRES!$E$5:$E$9,$E685)=0,"Catégorie ?","OK"),IF($D685="DEPENSE",IF(COUNTIF(PARAMETRES!$G$5:$G$20,$E685)=0,"Catégorie ?","OK"),"Type ?"))))</f>
        <v/>
      </c>
    </row>
    <row r="686" customFormat="false" ht="16.5" hidden="false" customHeight="true" outlineLevel="0" collapsed="false">
      <c r="A686" s="72" t="str">
        <f aca="false">IF($B686="","",ROW()-7)</f>
        <v/>
      </c>
      <c r="B686" s="73"/>
      <c r="C686" s="74" t="str">
        <f aca="false">IF($B686="","",YEAR($B686)*100+MONTH($B686))</f>
        <v/>
      </c>
      <c r="D686" s="75"/>
      <c r="E686" s="76"/>
      <c r="F686" s="76"/>
      <c r="G686" s="77"/>
      <c r="H686" s="78"/>
      <c r="I686" s="79"/>
      <c r="J686" s="80" t="str">
        <f aca="false">IF($B686="","",IF(N($H686)&lt;=0,"Montant ?",IF($D686="RECETTE",IF(COUNTIF(PARAMETRES!$E$5:$E$9,$E686)=0,"Catégorie ?","OK"),IF($D686="DEPENSE",IF(COUNTIF(PARAMETRES!$G$5:$G$20,$E686)=0,"Catégorie ?","OK"),"Type ?"))))</f>
        <v/>
      </c>
    </row>
    <row r="687" customFormat="false" ht="16.5" hidden="false" customHeight="true" outlineLevel="0" collapsed="false">
      <c r="A687" s="81" t="str">
        <f aca="false">IF($B687="","",ROW()-7)</f>
        <v/>
      </c>
      <c r="B687" s="82"/>
      <c r="C687" s="83" t="str">
        <f aca="false">IF($B687="","",YEAR($B687)*100+MONTH($B687))</f>
        <v/>
      </c>
      <c r="D687" s="84"/>
      <c r="E687" s="85"/>
      <c r="F687" s="85"/>
      <c r="G687" s="86"/>
      <c r="H687" s="87"/>
      <c r="I687" s="88"/>
      <c r="J687" s="89" t="str">
        <f aca="false">IF($B687="","",IF(N($H687)&lt;=0,"Montant ?",IF($D687="RECETTE",IF(COUNTIF(PARAMETRES!$E$5:$E$9,$E687)=0,"Catégorie ?","OK"),IF($D687="DEPENSE",IF(COUNTIF(PARAMETRES!$G$5:$G$20,$E687)=0,"Catégorie ?","OK"),"Type ?"))))</f>
        <v/>
      </c>
    </row>
    <row r="688" customFormat="false" ht="16.5" hidden="false" customHeight="true" outlineLevel="0" collapsed="false">
      <c r="A688" s="72" t="str">
        <f aca="false">IF($B688="","",ROW()-7)</f>
        <v/>
      </c>
      <c r="B688" s="73"/>
      <c r="C688" s="74" t="str">
        <f aca="false">IF($B688="","",YEAR($B688)*100+MONTH($B688))</f>
        <v/>
      </c>
      <c r="D688" s="75"/>
      <c r="E688" s="76"/>
      <c r="F688" s="76"/>
      <c r="G688" s="77"/>
      <c r="H688" s="78"/>
      <c r="I688" s="79"/>
      <c r="J688" s="80" t="str">
        <f aca="false">IF($B688="","",IF(N($H688)&lt;=0,"Montant ?",IF($D688="RECETTE",IF(COUNTIF(PARAMETRES!$E$5:$E$9,$E688)=0,"Catégorie ?","OK"),IF($D688="DEPENSE",IF(COUNTIF(PARAMETRES!$G$5:$G$20,$E688)=0,"Catégorie ?","OK"),"Type ?"))))</f>
        <v/>
      </c>
    </row>
    <row r="689" customFormat="false" ht="16.5" hidden="false" customHeight="true" outlineLevel="0" collapsed="false">
      <c r="A689" s="81" t="str">
        <f aca="false">IF($B689="","",ROW()-7)</f>
        <v/>
      </c>
      <c r="B689" s="82"/>
      <c r="C689" s="83" t="str">
        <f aca="false">IF($B689="","",YEAR($B689)*100+MONTH($B689))</f>
        <v/>
      </c>
      <c r="D689" s="84"/>
      <c r="E689" s="85"/>
      <c r="F689" s="85"/>
      <c r="G689" s="86"/>
      <c r="H689" s="87"/>
      <c r="I689" s="88"/>
      <c r="J689" s="89" t="str">
        <f aca="false">IF($B689="","",IF(N($H689)&lt;=0,"Montant ?",IF($D689="RECETTE",IF(COUNTIF(PARAMETRES!$E$5:$E$9,$E689)=0,"Catégorie ?","OK"),IF($D689="DEPENSE",IF(COUNTIF(PARAMETRES!$G$5:$G$20,$E689)=0,"Catégorie ?","OK"),"Type ?"))))</f>
        <v/>
      </c>
    </row>
    <row r="690" customFormat="false" ht="16.5" hidden="false" customHeight="true" outlineLevel="0" collapsed="false">
      <c r="A690" s="72" t="str">
        <f aca="false">IF($B690="","",ROW()-7)</f>
        <v/>
      </c>
      <c r="B690" s="73"/>
      <c r="C690" s="74" t="str">
        <f aca="false">IF($B690="","",YEAR($B690)*100+MONTH($B690))</f>
        <v/>
      </c>
      <c r="D690" s="75"/>
      <c r="E690" s="76"/>
      <c r="F690" s="76"/>
      <c r="G690" s="77"/>
      <c r="H690" s="78"/>
      <c r="I690" s="79"/>
      <c r="J690" s="80" t="str">
        <f aca="false">IF($B690="","",IF(N($H690)&lt;=0,"Montant ?",IF($D690="RECETTE",IF(COUNTIF(PARAMETRES!$E$5:$E$9,$E690)=0,"Catégorie ?","OK"),IF($D690="DEPENSE",IF(COUNTIF(PARAMETRES!$G$5:$G$20,$E690)=0,"Catégorie ?","OK"),"Type ?"))))</f>
        <v/>
      </c>
    </row>
    <row r="691" customFormat="false" ht="16.5" hidden="false" customHeight="true" outlineLevel="0" collapsed="false">
      <c r="A691" s="81" t="str">
        <f aca="false">IF($B691="","",ROW()-7)</f>
        <v/>
      </c>
      <c r="B691" s="82"/>
      <c r="C691" s="83" t="str">
        <f aca="false">IF($B691="","",YEAR($B691)*100+MONTH($B691))</f>
        <v/>
      </c>
      <c r="D691" s="84"/>
      <c r="E691" s="85"/>
      <c r="F691" s="85"/>
      <c r="G691" s="86"/>
      <c r="H691" s="87"/>
      <c r="I691" s="88"/>
      <c r="J691" s="89" t="str">
        <f aca="false">IF($B691="","",IF(N($H691)&lt;=0,"Montant ?",IF($D691="RECETTE",IF(COUNTIF(PARAMETRES!$E$5:$E$9,$E691)=0,"Catégorie ?","OK"),IF($D691="DEPENSE",IF(COUNTIF(PARAMETRES!$G$5:$G$20,$E691)=0,"Catégorie ?","OK"),"Type ?"))))</f>
        <v/>
      </c>
    </row>
    <row r="692" customFormat="false" ht="16.5" hidden="false" customHeight="true" outlineLevel="0" collapsed="false">
      <c r="A692" s="72" t="str">
        <f aca="false">IF($B692="","",ROW()-7)</f>
        <v/>
      </c>
      <c r="B692" s="73"/>
      <c r="C692" s="74" t="str">
        <f aca="false">IF($B692="","",YEAR($B692)*100+MONTH($B692))</f>
        <v/>
      </c>
      <c r="D692" s="75"/>
      <c r="E692" s="76"/>
      <c r="F692" s="76"/>
      <c r="G692" s="77"/>
      <c r="H692" s="78"/>
      <c r="I692" s="79"/>
      <c r="J692" s="80" t="str">
        <f aca="false">IF($B692="","",IF(N($H692)&lt;=0,"Montant ?",IF($D692="RECETTE",IF(COUNTIF(PARAMETRES!$E$5:$E$9,$E692)=0,"Catégorie ?","OK"),IF($D692="DEPENSE",IF(COUNTIF(PARAMETRES!$G$5:$G$20,$E692)=0,"Catégorie ?","OK"),"Type ?"))))</f>
        <v/>
      </c>
    </row>
    <row r="693" customFormat="false" ht="16.5" hidden="false" customHeight="true" outlineLevel="0" collapsed="false">
      <c r="A693" s="81" t="str">
        <f aca="false">IF($B693="","",ROW()-7)</f>
        <v/>
      </c>
      <c r="B693" s="82"/>
      <c r="C693" s="83" t="str">
        <f aca="false">IF($B693="","",YEAR($B693)*100+MONTH($B693))</f>
        <v/>
      </c>
      <c r="D693" s="84"/>
      <c r="E693" s="85"/>
      <c r="F693" s="85"/>
      <c r="G693" s="86"/>
      <c r="H693" s="87"/>
      <c r="I693" s="88"/>
      <c r="J693" s="89" t="str">
        <f aca="false">IF($B693="","",IF(N($H693)&lt;=0,"Montant ?",IF($D693="RECETTE",IF(COUNTIF(PARAMETRES!$E$5:$E$9,$E693)=0,"Catégorie ?","OK"),IF($D693="DEPENSE",IF(COUNTIF(PARAMETRES!$G$5:$G$20,$E693)=0,"Catégorie ?","OK"),"Type ?"))))</f>
        <v/>
      </c>
    </row>
    <row r="694" customFormat="false" ht="16.5" hidden="false" customHeight="true" outlineLevel="0" collapsed="false">
      <c r="A694" s="72" t="str">
        <f aca="false">IF($B694="","",ROW()-7)</f>
        <v/>
      </c>
      <c r="B694" s="73"/>
      <c r="C694" s="74" t="str">
        <f aca="false">IF($B694="","",YEAR($B694)*100+MONTH($B694))</f>
        <v/>
      </c>
      <c r="D694" s="75"/>
      <c r="E694" s="76"/>
      <c r="F694" s="76"/>
      <c r="G694" s="77"/>
      <c r="H694" s="78"/>
      <c r="I694" s="79"/>
      <c r="J694" s="80" t="str">
        <f aca="false">IF($B694="","",IF(N($H694)&lt;=0,"Montant ?",IF($D694="RECETTE",IF(COUNTIF(PARAMETRES!$E$5:$E$9,$E694)=0,"Catégorie ?","OK"),IF($D694="DEPENSE",IF(COUNTIF(PARAMETRES!$G$5:$G$20,$E694)=0,"Catégorie ?","OK"),"Type ?"))))</f>
        <v/>
      </c>
    </row>
    <row r="695" customFormat="false" ht="16.5" hidden="false" customHeight="true" outlineLevel="0" collapsed="false">
      <c r="A695" s="81" t="str">
        <f aca="false">IF($B695="","",ROW()-7)</f>
        <v/>
      </c>
      <c r="B695" s="82"/>
      <c r="C695" s="83" t="str">
        <f aca="false">IF($B695="","",YEAR($B695)*100+MONTH($B695))</f>
        <v/>
      </c>
      <c r="D695" s="84"/>
      <c r="E695" s="85"/>
      <c r="F695" s="85"/>
      <c r="G695" s="86"/>
      <c r="H695" s="87"/>
      <c r="I695" s="88"/>
      <c r="J695" s="89" t="str">
        <f aca="false">IF($B695="","",IF(N($H695)&lt;=0,"Montant ?",IF($D695="RECETTE",IF(COUNTIF(PARAMETRES!$E$5:$E$9,$E695)=0,"Catégorie ?","OK"),IF($D695="DEPENSE",IF(COUNTIF(PARAMETRES!$G$5:$G$20,$E695)=0,"Catégorie ?","OK"),"Type ?"))))</f>
        <v/>
      </c>
    </row>
    <row r="696" customFormat="false" ht="16.5" hidden="false" customHeight="true" outlineLevel="0" collapsed="false">
      <c r="A696" s="72" t="str">
        <f aca="false">IF($B696="","",ROW()-7)</f>
        <v/>
      </c>
      <c r="B696" s="73"/>
      <c r="C696" s="74" t="str">
        <f aca="false">IF($B696="","",YEAR($B696)*100+MONTH($B696))</f>
        <v/>
      </c>
      <c r="D696" s="75"/>
      <c r="E696" s="76"/>
      <c r="F696" s="76"/>
      <c r="G696" s="77"/>
      <c r="H696" s="78"/>
      <c r="I696" s="79"/>
      <c r="J696" s="80" t="str">
        <f aca="false">IF($B696="","",IF(N($H696)&lt;=0,"Montant ?",IF($D696="RECETTE",IF(COUNTIF(PARAMETRES!$E$5:$E$9,$E696)=0,"Catégorie ?","OK"),IF($D696="DEPENSE",IF(COUNTIF(PARAMETRES!$G$5:$G$20,$E696)=0,"Catégorie ?","OK"),"Type ?"))))</f>
        <v/>
      </c>
    </row>
    <row r="697" customFormat="false" ht="16.5" hidden="false" customHeight="true" outlineLevel="0" collapsed="false">
      <c r="A697" s="81" t="str">
        <f aca="false">IF($B697="","",ROW()-7)</f>
        <v/>
      </c>
      <c r="B697" s="82"/>
      <c r="C697" s="83" t="str">
        <f aca="false">IF($B697="","",YEAR($B697)*100+MONTH($B697))</f>
        <v/>
      </c>
      <c r="D697" s="84"/>
      <c r="E697" s="85"/>
      <c r="F697" s="85"/>
      <c r="G697" s="86"/>
      <c r="H697" s="87"/>
      <c r="I697" s="88"/>
      <c r="J697" s="89" t="str">
        <f aca="false">IF($B697="","",IF(N($H697)&lt;=0,"Montant ?",IF($D697="RECETTE",IF(COUNTIF(PARAMETRES!$E$5:$E$9,$E697)=0,"Catégorie ?","OK"),IF($D697="DEPENSE",IF(COUNTIF(PARAMETRES!$G$5:$G$20,$E697)=0,"Catégorie ?","OK"),"Type ?"))))</f>
        <v/>
      </c>
    </row>
    <row r="698" customFormat="false" ht="16.5" hidden="false" customHeight="true" outlineLevel="0" collapsed="false">
      <c r="A698" s="72" t="str">
        <f aca="false">IF($B698="","",ROW()-7)</f>
        <v/>
      </c>
      <c r="B698" s="73"/>
      <c r="C698" s="74" t="str">
        <f aca="false">IF($B698="","",YEAR($B698)*100+MONTH($B698))</f>
        <v/>
      </c>
      <c r="D698" s="75"/>
      <c r="E698" s="76"/>
      <c r="F698" s="76"/>
      <c r="G698" s="77"/>
      <c r="H698" s="78"/>
      <c r="I698" s="79"/>
      <c r="J698" s="80" t="str">
        <f aca="false">IF($B698="","",IF(N($H698)&lt;=0,"Montant ?",IF($D698="RECETTE",IF(COUNTIF(PARAMETRES!$E$5:$E$9,$E698)=0,"Catégorie ?","OK"),IF($D698="DEPENSE",IF(COUNTIF(PARAMETRES!$G$5:$G$20,$E698)=0,"Catégorie ?","OK"),"Type ?"))))</f>
        <v/>
      </c>
    </row>
    <row r="699" customFormat="false" ht="16.5" hidden="false" customHeight="true" outlineLevel="0" collapsed="false">
      <c r="A699" s="81" t="str">
        <f aca="false">IF($B699="","",ROW()-7)</f>
        <v/>
      </c>
      <c r="B699" s="82"/>
      <c r="C699" s="83" t="str">
        <f aca="false">IF($B699="","",YEAR($B699)*100+MONTH($B699))</f>
        <v/>
      </c>
      <c r="D699" s="84"/>
      <c r="E699" s="85"/>
      <c r="F699" s="85"/>
      <c r="G699" s="86"/>
      <c r="H699" s="87"/>
      <c r="I699" s="88"/>
      <c r="J699" s="89" t="str">
        <f aca="false">IF($B699="","",IF(N($H699)&lt;=0,"Montant ?",IF($D699="RECETTE",IF(COUNTIF(PARAMETRES!$E$5:$E$9,$E699)=0,"Catégorie ?","OK"),IF($D699="DEPENSE",IF(COUNTIF(PARAMETRES!$G$5:$G$20,$E699)=0,"Catégorie ?","OK"),"Type ?"))))</f>
        <v/>
      </c>
    </row>
    <row r="700" customFormat="false" ht="16.5" hidden="false" customHeight="true" outlineLevel="0" collapsed="false">
      <c r="A700" s="72" t="str">
        <f aca="false">IF($B700="","",ROW()-7)</f>
        <v/>
      </c>
      <c r="B700" s="73"/>
      <c r="C700" s="74" t="str">
        <f aca="false">IF($B700="","",YEAR($B700)*100+MONTH($B700))</f>
        <v/>
      </c>
      <c r="D700" s="75"/>
      <c r="E700" s="76"/>
      <c r="F700" s="76"/>
      <c r="G700" s="77"/>
      <c r="H700" s="78"/>
      <c r="I700" s="79"/>
      <c r="J700" s="80" t="str">
        <f aca="false">IF($B700="","",IF(N($H700)&lt;=0,"Montant ?",IF($D700="RECETTE",IF(COUNTIF(PARAMETRES!$E$5:$E$9,$E700)=0,"Catégorie ?","OK"),IF($D700="DEPENSE",IF(COUNTIF(PARAMETRES!$G$5:$G$20,$E700)=0,"Catégorie ?","OK"),"Type ?"))))</f>
        <v/>
      </c>
    </row>
    <row r="701" customFormat="false" ht="16.5" hidden="false" customHeight="true" outlineLevel="0" collapsed="false">
      <c r="A701" s="81" t="str">
        <f aca="false">IF($B701="","",ROW()-7)</f>
        <v/>
      </c>
      <c r="B701" s="82"/>
      <c r="C701" s="83" t="str">
        <f aca="false">IF($B701="","",YEAR($B701)*100+MONTH($B701))</f>
        <v/>
      </c>
      <c r="D701" s="84"/>
      <c r="E701" s="85"/>
      <c r="F701" s="85"/>
      <c r="G701" s="86"/>
      <c r="H701" s="87"/>
      <c r="I701" s="88"/>
      <c r="J701" s="89" t="str">
        <f aca="false">IF($B701="","",IF(N($H701)&lt;=0,"Montant ?",IF($D701="RECETTE",IF(COUNTIF(PARAMETRES!$E$5:$E$9,$E701)=0,"Catégorie ?","OK"),IF($D701="DEPENSE",IF(COUNTIF(PARAMETRES!$G$5:$G$20,$E701)=0,"Catégorie ?","OK"),"Type ?"))))</f>
        <v/>
      </c>
    </row>
    <row r="702" customFormat="false" ht="16.5" hidden="false" customHeight="true" outlineLevel="0" collapsed="false">
      <c r="A702" s="72" t="str">
        <f aca="false">IF($B702="","",ROW()-7)</f>
        <v/>
      </c>
      <c r="B702" s="73"/>
      <c r="C702" s="74" t="str">
        <f aca="false">IF($B702="","",YEAR($B702)*100+MONTH($B702))</f>
        <v/>
      </c>
      <c r="D702" s="75"/>
      <c r="E702" s="76"/>
      <c r="F702" s="76"/>
      <c r="G702" s="77"/>
      <c r="H702" s="78"/>
      <c r="I702" s="79"/>
      <c r="J702" s="80" t="str">
        <f aca="false">IF($B702="","",IF(N($H702)&lt;=0,"Montant ?",IF($D702="RECETTE",IF(COUNTIF(PARAMETRES!$E$5:$E$9,$E702)=0,"Catégorie ?","OK"),IF($D702="DEPENSE",IF(COUNTIF(PARAMETRES!$G$5:$G$20,$E702)=0,"Catégorie ?","OK"),"Type ?"))))</f>
        <v/>
      </c>
    </row>
    <row r="703" customFormat="false" ht="16.5" hidden="false" customHeight="true" outlineLevel="0" collapsed="false">
      <c r="A703" s="81" t="str">
        <f aca="false">IF($B703="","",ROW()-7)</f>
        <v/>
      </c>
      <c r="B703" s="82"/>
      <c r="C703" s="83" t="str">
        <f aca="false">IF($B703="","",YEAR($B703)*100+MONTH($B703))</f>
        <v/>
      </c>
      <c r="D703" s="84"/>
      <c r="E703" s="85"/>
      <c r="F703" s="85"/>
      <c r="G703" s="86"/>
      <c r="H703" s="87"/>
      <c r="I703" s="88"/>
      <c r="J703" s="89" t="str">
        <f aca="false">IF($B703="","",IF(N($H703)&lt;=0,"Montant ?",IF($D703="RECETTE",IF(COUNTIF(PARAMETRES!$E$5:$E$9,$E703)=0,"Catégorie ?","OK"),IF($D703="DEPENSE",IF(COUNTIF(PARAMETRES!$G$5:$G$20,$E703)=0,"Catégorie ?","OK"),"Type ?"))))</f>
        <v/>
      </c>
    </row>
    <row r="704" customFormat="false" ht="16.5" hidden="false" customHeight="true" outlineLevel="0" collapsed="false">
      <c r="A704" s="72" t="str">
        <f aca="false">IF($B704="","",ROW()-7)</f>
        <v/>
      </c>
      <c r="B704" s="73"/>
      <c r="C704" s="74" t="str">
        <f aca="false">IF($B704="","",YEAR($B704)*100+MONTH($B704))</f>
        <v/>
      </c>
      <c r="D704" s="75"/>
      <c r="E704" s="76"/>
      <c r="F704" s="76"/>
      <c r="G704" s="77"/>
      <c r="H704" s="78"/>
      <c r="I704" s="79"/>
      <c r="J704" s="80" t="str">
        <f aca="false">IF($B704="","",IF(N($H704)&lt;=0,"Montant ?",IF($D704="RECETTE",IF(COUNTIF(PARAMETRES!$E$5:$E$9,$E704)=0,"Catégorie ?","OK"),IF($D704="DEPENSE",IF(COUNTIF(PARAMETRES!$G$5:$G$20,$E704)=0,"Catégorie ?","OK"),"Type ?"))))</f>
        <v/>
      </c>
    </row>
    <row r="705" customFormat="false" ht="16.5" hidden="false" customHeight="true" outlineLevel="0" collapsed="false">
      <c r="A705" s="81" t="str">
        <f aca="false">IF($B705="","",ROW()-7)</f>
        <v/>
      </c>
      <c r="B705" s="82"/>
      <c r="C705" s="83" t="str">
        <f aca="false">IF($B705="","",YEAR($B705)*100+MONTH($B705))</f>
        <v/>
      </c>
      <c r="D705" s="84"/>
      <c r="E705" s="85"/>
      <c r="F705" s="85"/>
      <c r="G705" s="86"/>
      <c r="H705" s="87"/>
      <c r="I705" s="88"/>
      <c r="J705" s="89" t="str">
        <f aca="false">IF($B705="","",IF(N($H705)&lt;=0,"Montant ?",IF($D705="RECETTE",IF(COUNTIF(PARAMETRES!$E$5:$E$9,$E705)=0,"Catégorie ?","OK"),IF($D705="DEPENSE",IF(COUNTIF(PARAMETRES!$G$5:$G$20,$E705)=0,"Catégorie ?","OK"),"Type ?"))))</f>
        <v/>
      </c>
    </row>
    <row r="706" customFormat="false" ht="16.5" hidden="false" customHeight="true" outlineLevel="0" collapsed="false">
      <c r="A706" s="72" t="str">
        <f aca="false">IF($B706="","",ROW()-7)</f>
        <v/>
      </c>
      <c r="B706" s="73"/>
      <c r="C706" s="74" t="str">
        <f aca="false">IF($B706="","",YEAR($B706)*100+MONTH($B706))</f>
        <v/>
      </c>
      <c r="D706" s="75"/>
      <c r="E706" s="76"/>
      <c r="F706" s="76"/>
      <c r="G706" s="77"/>
      <c r="H706" s="78"/>
      <c r="I706" s="79"/>
      <c r="J706" s="80" t="str">
        <f aca="false">IF($B706="","",IF(N($H706)&lt;=0,"Montant ?",IF($D706="RECETTE",IF(COUNTIF(PARAMETRES!$E$5:$E$9,$E706)=0,"Catégorie ?","OK"),IF($D706="DEPENSE",IF(COUNTIF(PARAMETRES!$G$5:$G$20,$E706)=0,"Catégorie ?","OK"),"Type ?"))))</f>
        <v/>
      </c>
    </row>
    <row r="707" customFormat="false" ht="16.5" hidden="false" customHeight="true" outlineLevel="0" collapsed="false">
      <c r="A707" s="81" t="str">
        <f aca="false">IF($B707="","",ROW()-7)</f>
        <v/>
      </c>
      <c r="B707" s="82"/>
      <c r="C707" s="83" t="str">
        <f aca="false">IF($B707="","",YEAR($B707)*100+MONTH($B707))</f>
        <v/>
      </c>
      <c r="D707" s="84"/>
      <c r="E707" s="85"/>
      <c r="F707" s="85"/>
      <c r="G707" s="86"/>
      <c r="H707" s="87"/>
      <c r="I707" s="88"/>
      <c r="J707" s="89" t="str">
        <f aca="false">IF($B707="","",IF(N($H707)&lt;=0,"Montant ?",IF($D707="RECETTE",IF(COUNTIF(PARAMETRES!$E$5:$E$9,$E707)=0,"Catégorie ?","OK"),IF($D707="DEPENSE",IF(COUNTIF(PARAMETRES!$G$5:$G$20,$E707)=0,"Catégorie ?","OK"),"Type ?"))))</f>
        <v/>
      </c>
    </row>
    <row r="708" customFormat="false" ht="16.5" hidden="false" customHeight="true" outlineLevel="0" collapsed="false">
      <c r="A708" s="72" t="str">
        <f aca="false">IF($B708="","",ROW()-7)</f>
        <v/>
      </c>
      <c r="B708" s="73"/>
      <c r="C708" s="74" t="str">
        <f aca="false">IF($B708="","",YEAR($B708)*100+MONTH($B708))</f>
        <v/>
      </c>
      <c r="D708" s="75"/>
      <c r="E708" s="76"/>
      <c r="F708" s="76"/>
      <c r="G708" s="77"/>
      <c r="H708" s="78"/>
      <c r="I708" s="79"/>
      <c r="J708" s="80" t="str">
        <f aca="false">IF($B708="","",IF(N($H708)&lt;=0,"Montant ?",IF($D708="RECETTE",IF(COUNTIF(PARAMETRES!$E$5:$E$9,$E708)=0,"Catégorie ?","OK"),IF($D708="DEPENSE",IF(COUNTIF(PARAMETRES!$G$5:$G$20,$E708)=0,"Catégorie ?","OK"),"Type ?"))))</f>
        <v/>
      </c>
    </row>
    <row r="709" customFormat="false" ht="16.5" hidden="false" customHeight="true" outlineLevel="0" collapsed="false">
      <c r="A709" s="81" t="str">
        <f aca="false">IF($B709="","",ROW()-7)</f>
        <v/>
      </c>
      <c r="B709" s="82"/>
      <c r="C709" s="83" t="str">
        <f aca="false">IF($B709="","",YEAR($B709)*100+MONTH($B709))</f>
        <v/>
      </c>
      <c r="D709" s="84"/>
      <c r="E709" s="85"/>
      <c r="F709" s="85"/>
      <c r="G709" s="86"/>
      <c r="H709" s="87"/>
      <c r="I709" s="88"/>
      <c r="J709" s="89" t="str">
        <f aca="false">IF($B709="","",IF(N($H709)&lt;=0,"Montant ?",IF($D709="RECETTE",IF(COUNTIF(PARAMETRES!$E$5:$E$9,$E709)=0,"Catégorie ?","OK"),IF($D709="DEPENSE",IF(COUNTIF(PARAMETRES!$G$5:$G$20,$E709)=0,"Catégorie ?","OK"),"Type ?"))))</f>
        <v/>
      </c>
    </row>
    <row r="710" customFormat="false" ht="16.5" hidden="false" customHeight="true" outlineLevel="0" collapsed="false">
      <c r="A710" s="72" t="str">
        <f aca="false">IF($B710="","",ROW()-7)</f>
        <v/>
      </c>
      <c r="B710" s="73"/>
      <c r="C710" s="74" t="str">
        <f aca="false">IF($B710="","",YEAR($B710)*100+MONTH($B710))</f>
        <v/>
      </c>
      <c r="D710" s="75"/>
      <c r="E710" s="76"/>
      <c r="F710" s="76"/>
      <c r="G710" s="77"/>
      <c r="H710" s="78"/>
      <c r="I710" s="79"/>
      <c r="J710" s="80" t="str">
        <f aca="false">IF($B710="","",IF(N($H710)&lt;=0,"Montant ?",IF($D710="RECETTE",IF(COUNTIF(PARAMETRES!$E$5:$E$9,$E710)=0,"Catégorie ?","OK"),IF($D710="DEPENSE",IF(COUNTIF(PARAMETRES!$G$5:$G$20,$E710)=0,"Catégorie ?","OK"),"Type ?"))))</f>
        <v/>
      </c>
    </row>
    <row r="711" customFormat="false" ht="16.5" hidden="false" customHeight="true" outlineLevel="0" collapsed="false">
      <c r="A711" s="81" t="str">
        <f aca="false">IF($B711="","",ROW()-7)</f>
        <v/>
      </c>
      <c r="B711" s="82"/>
      <c r="C711" s="83" t="str">
        <f aca="false">IF($B711="","",YEAR($B711)*100+MONTH($B711))</f>
        <v/>
      </c>
      <c r="D711" s="84"/>
      <c r="E711" s="85"/>
      <c r="F711" s="85"/>
      <c r="G711" s="86"/>
      <c r="H711" s="87"/>
      <c r="I711" s="88"/>
      <c r="J711" s="89" t="str">
        <f aca="false">IF($B711="","",IF(N($H711)&lt;=0,"Montant ?",IF($D711="RECETTE",IF(COUNTIF(PARAMETRES!$E$5:$E$9,$E711)=0,"Catégorie ?","OK"),IF($D711="DEPENSE",IF(COUNTIF(PARAMETRES!$G$5:$G$20,$E711)=0,"Catégorie ?","OK"),"Type ?"))))</f>
        <v/>
      </c>
    </row>
    <row r="712" customFormat="false" ht="16.5" hidden="false" customHeight="true" outlineLevel="0" collapsed="false">
      <c r="A712" s="72" t="str">
        <f aca="false">IF($B712="","",ROW()-7)</f>
        <v/>
      </c>
      <c r="B712" s="73"/>
      <c r="C712" s="74" t="str">
        <f aca="false">IF($B712="","",YEAR($B712)*100+MONTH($B712))</f>
        <v/>
      </c>
      <c r="D712" s="75"/>
      <c r="E712" s="76"/>
      <c r="F712" s="76"/>
      <c r="G712" s="77"/>
      <c r="H712" s="78"/>
      <c r="I712" s="79"/>
      <c r="J712" s="80" t="str">
        <f aca="false">IF($B712="","",IF(N($H712)&lt;=0,"Montant ?",IF($D712="RECETTE",IF(COUNTIF(PARAMETRES!$E$5:$E$9,$E712)=0,"Catégorie ?","OK"),IF($D712="DEPENSE",IF(COUNTIF(PARAMETRES!$G$5:$G$20,$E712)=0,"Catégorie ?","OK"),"Type ?"))))</f>
        <v/>
      </c>
    </row>
    <row r="713" customFormat="false" ht="16.5" hidden="false" customHeight="true" outlineLevel="0" collapsed="false">
      <c r="A713" s="81" t="str">
        <f aca="false">IF($B713="","",ROW()-7)</f>
        <v/>
      </c>
      <c r="B713" s="82"/>
      <c r="C713" s="83" t="str">
        <f aca="false">IF($B713="","",YEAR($B713)*100+MONTH($B713))</f>
        <v/>
      </c>
      <c r="D713" s="84"/>
      <c r="E713" s="85"/>
      <c r="F713" s="85"/>
      <c r="G713" s="86"/>
      <c r="H713" s="87"/>
      <c r="I713" s="88"/>
      <c r="J713" s="89" t="str">
        <f aca="false">IF($B713="","",IF(N($H713)&lt;=0,"Montant ?",IF($D713="RECETTE",IF(COUNTIF(PARAMETRES!$E$5:$E$9,$E713)=0,"Catégorie ?","OK"),IF($D713="DEPENSE",IF(COUNTIF(PARAMETRES!$G$5:$G$20,$E713)=0,"Catégorie ?","OK"),"Type ?"))))</f>
        <v/>
      </c>
    </row>
    <row r="714" customFormat="false" ht="16.5" hidden="false" customHeight="true" outlineLevel="0" collapsed="false">
      <c r="A714" s="72" t="str">
        <f aca="false">IF($B714="","",ROW()-7)</f>
        <v/>
      </c>
      <c r="B714" s="73"/>
      <c r="C714" s="74" t="str">
        <f aca="false">IF($B714="","",YEAR($B714)*100+MONTH($B714))</f>
        <v/>
      </c>
      <c r="D714" s="75"/>
      <c r="E714" s="76"/>
      <c r="F714" s="76"/>
      <c r="G714" s="77"/>
      <c r="H714" s="78"/>
      <c r="I714" s="79"/>
      <c r="J714" s="80" t="str">
        <f aca="false">IF($B714="","",IF(N($H714)&lt;=0,"Montant ?",IF($D714="RECETTE",IF(COUNTIF(PARAMETRES!$E$5:$E$9,$E714)=0,"Catégorie ?","OK"),IF($D714="DEPENSE",IF(COUNTIF(PARAMETRES!$G$5:$G$20,$E714)=0,"Catégorie ?","OK"),"Type ?"))))</f>
        <v/>
      </c>
    </row>
    <row r="715" customFormat="false" ht="16.5" hidden="false" customHeight="true" outlineLevel="0" collapsed="false">
      <c r="A715" s="81" t="str">
        <f aca="false">IF($B715="","",ROW()-7)</f>
        <v/>
      </c>
      <c r="B715" s="82"/>
      <c r="C715" s="83" t="str">
        <f aca="false">IF($B715="","",YEAR($B715)*100+MONTH($B715))</f>
        <v/>
      </c>
      <c r="D715" s="84"/>
      <c r="E715" s="85"/>
      <c r="F715" s="85"/>
      <c r="G715" s="86"/>
      <c r="H715" s="87"/>
      <c r="I715" s="88"/>
      <c r="J715" s="89" t="str">
        <f aca="false">IF($B715="","",IF(N($H715)&lt;=0,"Montant ?",IF($D715="RECETTE",IF(COUNTIF(PARAMETRES!$E$5:$E$9,$E715)=0,"Catégorie ?","OK"),IF($D715="DEPENSE",IF(COUNTIF(PARAMETRES!$G$5:$G$20,$E715)=0,"Catégorie ?","OK"),"Type ?"))))</f>
        <v/>
      </c>
    </row>
    <row r="716" customFormat="false" ht="16.5" hidden="false" customHeight="true" outlineLevel="0" collapsed="false">
      <c r="A716" s="72" t="str">
        <f aca="false">IF($B716="","",ROW()-7)</f>
        <v/>
      </c>
      <c r="B716" s="73"/>
      <c r="C716" s="74" t="str">
        <f aca="false">IF($B716="","",YEAR($B716)*100+MONTH($B716))</f>
        <v/>
      </c>
      <c r="D716" s="75"/>
      <c r="E716" s="76"/>
      <c r="F716" s="76"/>
      <c r="G716" s="77"/>
      <c r="H716" s="78"/>
      <c r="I716" s="79"/>
      <c r="J716" s="80" t="str">
        <f aca="false">IF($B716="","",IF(N($H716)&lt;=0,"Montant ?",IF($D716="RECETTE",IF(COUNTIF(PARAMETRES!$E$5:$E$9,$E716)=0,"Catégorie ?","OK"),IF($D716="DEPENSE",IF(COUNTIF(PARAMETRES!$G$5:$G$20,$E716)=0,"Catégorie ?","OK"),"Type ?"))))</f>
        <v/>
      </c>
    </row>
    <row r="717" customFormat="false" ht="16.5" hidden="false" customHeight="true" outlineLevel="0" collapsed="false">
      <c r="A717" s="81" t="str">
        <f aca="false">IF($B717="","",ROW()-7)</f>
        <v/>
      </c>
      <c r="B717" s="82"/>
      <c r="C717" s="83" t="str">
        <f aca="false">IF($B717="","",YEAR($B717)*100+MONTH($B717))</f>
        <v/>
      </c>
      <c r="D717" s="84"/>
      <c r="E717" s="85"/>
      <c r="F717" s="85"/>
      <c r="G717" s="86"/>
      <c r="H717" s="87"/>
      <c r="I717" s="88"/>
      <c r="J717" s="89" t="str">
        <f aca="false">IF($B717="","",IF(N($H717)&lt;=0,"Montant ?",IF($D717="RECETTE",IF(COUNTIF(PARAMETRES!$E$5:$E$9,$E717)=0,"Catégorie ?","OK"),IF($D717="DEPENSE",IF(COUNTIF(PARAMETRES!$G$5:$G$20,$E717)=0,"Catégorie ?","OK"),"Type ?"))))</f>
        <v/>
      </c>
    </row>
    <row r="718" customFormat="false" ht="16.5" hidden="false" customHeight="true" outlineLevel="0" collapsed="false">
      <c r="A718" s="72" t="str">
        <f aca="false">IF($B718="","",ROW()-7)</f>
        <v/>
      </c>
      <c r="B718" s="73"/>
      <c r="C718" s="74" t="str">
        <f aca="false">IF($B718="","",YEAR($B718)*100+MONTH($B718))</f>
        <v/>
      </c>
      <c r="D718" s="75"/>
      <c r="E718" s="76"/>
      <c r="F718" s="76"/>
      <c r="G718" s="77"/>
      <c r="H718" s="78"/>
      <c r="I718" s="79"/>
      <c r="J718" s="80" t="str">
        <f aca="false">IF($B718="","",IF(N($H718)&lt;=0,"Montant ?",IF($D718="RECETTE",IF(COUNTIF(PARAMETRES!$E$5:$E$9,$E718)=0,"Catégorie ?","OK"),IF($D718="DEPENSE",IF(COUNTIF(PARAMETRES!$G$5:$G$20,$E718)=0,"Catégorie ?","OK"),"Type ?"))))</f>
        <v/>
      </c>
    </row>
    <row r="719" customFormat="false" ht="16.5" hidden="false" customHeight="true" outlineLevel="0" collapsed="false">
      <c r="A719" s="81" t="str">
        <f aca="false">IF($B719="","",ROW()-7)</f>
        <v/>
      </c>
      <c r="B719" s="82"/>
      <c r="C719" s="83" t="str">
        <f aca="false">IF($B719="","",YEAR($B719)*100+MONTH($B719))</f>
        <v/>
      </c>
      <c r="D719" s="84"/>
      <c r="E719" s="85"/>
      <c r="F719" s="85"/>
      <c r="G719" s="86"/>
      <c r="H719" s="87"/>
      <c r="I719" s="88"/>
      <c r="J719" s="89" t="str">
        <f aca="false">IF($B719="","",IF(N($H719)&lt;=0,"Montant ?",IF($D719="RECETTE",IF(COUNTIF(PARAMETRES!$E$5:$E$9,$E719)=0,"Catégorie ?","OK"),IF($D719="DEPENSE",IF(COUNTIF(PARAMETRES!$G$5:$G$20,$E719)=0,"Catégorie ?","OK"),"Type ?"))))</f>
        <v/>
      </c>
    </row>
    <row r="720" customFormat="false" ht="16.5" hidden="false" customHeight="true" outlineLevel="0" collapsed="false">
      <c r="A720" s="72" t="str">
        <f aca="false">IF($B720="","",ROW()-7)</f>
        <v/>
      </c>
      <c r="B720" s="73"/>
      <c r="C720" s="74" t="str">
        <f aca="false">IF($B720="","",YEAR($B720)*100+MONTH($B720))</f>
        <v/>
      </c>
      <c r="D720" s="75"/>
      <c r="E720" s="76"/>
      <c r="F720" s="76"/>
      <c r="G720" s="77"/>
      <c r="H720" s="78"/>
      <c r="I720" s="79"/>
      <c r="J720" s="80" t="str">
        <f aca="false">IF($B720="","",IF(N($H720)&lt;=0,"Montant ?",IF($D720="RECETTE",IF(COUNTIF(PARAMETRES!$E$5:$E$9,$E720)=0,"Catégorie ?","OK"),IF($D720="DEPENSE",IF(COUNTIF(PARAMETRES!$G$5:$G$20,$E720)=0,"Catégorie ?","OK"),"Type ?"))))</f>
        <v/>
      </c>
    </row>
    <row r="721" customFormat="false" ht="16.5" hidden="false" customHeight="true" outlineLevel="0" collapsed="false">
      <c r="A721" s="81" t="str">
        <f aca="false">IF($B721="","",ROW()-7)</f>
        <v/>
      </c>
      <c r="B721" s="82"/>
      <c r="C721" s="83" t="str">
        <f aca="false">IF($B721="","",YEAR($B721)*100+MONTH($B721))</f>
        <v/>
      </c>
      <c r="D721" s="84"/>
      <c r="E721" s="85"/>
      <c r="F721" s="85"/>
      <c r="G721" s="86"/>
      <c r="H721" s="87"/>
      <c r="I721" s="88"/>
      <c r="J721" s="89" t="str">
        <f aca="false">IF($B721="","",IF(N($H721)&lt;=0,"Montant ?",IF($D721="RECETTE",IF(COUNTIF(PARAMETRES!$E$5:$E$9,$E721)=0,"Catégorie ?","OK"),IF($D721="DEPENSE",IF(COUNTIF(PARAMETRES!$G$5:$G$20,$E721)=0,"Catégorie ?","OK"),"Type ?"))))</f>
        <v/>
      </c>
    </row>
    <row r="722" customFormat="false" ht="16.5" hidden="false" customHeight="true" outlineLevel="0" collapsed="false">
      <c r="A722" s="72" t="str">
        <f aca="false">IF($B722="","",ROW()-7)</f>
        <v/>
      </c>
      <c r="B722" s="73"/>
      <c r="C722" s="74" t="str">
        <f aca="false">IF($B722="","",YEAR($B722)*100+MONTH($B722))</f>
        <v/>
      </c>
      <c r="D722" s="75"/>
      <c r="E722" s="76"/>
      <c r="F722" s="76"/>
      <c r="G722" s="77"/>
      <c r="H722" s="78"/>
      <c r="I722" s="79"/>
      <c r="J722" s="80" t="str">
        <f aca="false">IF($B722="","",IF(N($H722)&lt;=0,"Montant ?",IF($D722="RECETTE",IF(COUNTIF(PARAMETRES!$E$5:$E$9,$E722)=0,"Catégorie ?","OK"),IF($D722="DEPENSE",IF(COUNTIF(PARAMETRES!$G$5:$G$20,$E722)=0,"Catégorie ?","OK"),"Type ?"))))</f>
        <v/>
      </c>
    </row>
    <row r="723" customFormat="false" ht="16.5" hidden="false" customHeight="true" outlineLevel="0" collapsed="false">
      <c r="A723" s="81" t="str">
        <f aca="false">IF($B723="","",ROW()-7)</f>
        <v/>
      </c>
      <c r="B723" s="82"/>
      <c r="C723" s="83" t="str">
        <f aca="false">IF($B723="","",YEAR($B723)*100+MONTH($B723))</f>
        <v/>
      </c>
      <c r="D723" s="84"/>
      <c r="E723" s="85"/>
      <c r="F723" s="85"/>
      <c r="G723" s="86"/>
      <c r="H723" s="87"/>
      <c r="I723" s="88"/>
      <c r="J723" s="89" t="str">
        <f aca="false">IF($B723="","",IF(N($H723)&lt;=0,"Montant ?",IF($D723="RECETTE",IF(COUNTIF(PARAMETRES!$E$5:$E$9,$E723)=0,"Catégorie ?","OK"),IF($D723="DEPENSE",IF(COUNTIF(PARAMETRES!$G$5:$G$20,$E723)=0,"Catégorie ?","OK"),"Type ?"))))</f>
        <v/>
      </c>
    </row>
    <row r="724" customFormat="false" ht="16.5" hidden="false" customHeight="true" outlineLevel="0" collapsed="false">
      <c r="A724" s="72" t="str">
        <f aca="false">IF($B724="","",ROW()-7)</f>
        <v/>
      </c>
      <c r="B724" s="73"/>
      <c r="C724" s="74" t="str">
        <f aca="false">IF($B724="","",YEAR($B724)*100+MONTH($B724))</f>
        <v/>
      </c>
      <c r="D724" s="75"/>
      <c r="E724" s="76"/>
      <c r="F724" s="76"/>
      <c r="G724" s="77"/>
      <c r="H724" s="78"/>
      <c r="I724" s="79"/>
      <c r="J724" s="80" t="str">
        <f aca="false">IF($B724="","",IF(N($H724)&lt;=0,"Montant ?",IF($D724="RECETTE",IF(COUNTIF(PARAMETRES!$E$5:$E$9,$E724)=0,"Catégorie ?","OK"),IF($D724="DEPENSE",IF(COUNTIF(PARAMETRES!$G$5:$G$20,$E724)=0,"Catégorie ?","OK"),"Type ?"))))</f>
        <v/>
      </c>
    </row>
    <row r="725" customFormat="false" ht="16.5" hidden="false" customHeight="true" outlineLevel="0" collapsed="false">
      <c r="A725" s="81" t="str">
        <f aca="false">IF($B725="","",ROW()-7)</f>
        <v/>
      </c>
      <c r="B725" s="82"/>
      <c r="C725" s="83" t="str">
        <f aca="false">IF($B725="","",YEAR($B725)*100+MONTH($B725))</f>
        <v/>
      </c>
      <c r="D725" s="84"/>
      <c r="E725" s="85"/>
      <c r="F725" s="85"/>
      <c r="G725" s="86"/>
      <c r="H725" s="87"/>
      <c r="I725" s="88"/>
      <c r="J725" s="89" t="str">
        <f aca="false">IF($B725="","",IF(N($H725)&lt;=0,"Montant ?",IF($D725="RECETTE",IF(COUNTIF(PARAMETRES!$E$5:$E$9,$E725)=0,"Catégorie ?","OK"),IF($D725="DEPENSE",IF(COUNTIF(PARAMETRES!$G$5:$G$20,$E725)=0,"Catégorie ?","OK"),"Type ?"))))</f>
        <v/>
      </c>
    </row>
    <row r="726" customFormat="false" ht="16.5" hidden="false" customHeight="true" outlineLevel="0" collapsed="false">
      <c r="A726" s="72" t="str">
        <f aca="false">IF($B726="","",ROW()-7)</f>
        <v/>
      </c>
      <c r="B726" s="73"/>
      <c r="C726" s="74" t="str">
        <f aca="false">IF($B726="","",YEAR($B726)*100+MONTH($B726))</f>
        <v/>
      </c>
      <c r="D726" s="75"/>
      <c r="E726" s="76"/>
      <c r="F726" s="76"/>
      <c r="G726" s="77"/>
      <c r="H726" s="78"/>
      <c r="I726" s="79"/>
      <c r="J726" s="80" t="str">
        <f aca="false">IF($B726="","",IF(N($H726)&lt;=0,"Montant ?",IF($D726="RECETTE",IF(COUNTIF(PARAMETRES!$E$5:$E$9,$E726)=0,"Catégorie ?","OK"),IF($D726="DEPENSE",IF(COUNTIF(PARAMETRES!$G$5:$G$20,$E726)=0,"Catégorie ?","OK"),"Type ?"))))</f>
        <v/>
      </c>
    </row>
    <row r="727" customFormat="false" ht="16.5" hidden="false" customHeight="true" outlineLevel="0" collapsed="false">
      <c r="A727" s="81" t="str">
        <f aca="false">IF($B727="","",ROW()-7)</f>
        <v/>
      </c>
      <c r="B727" s="82"/>
      <c r="C727" s="83" t="str">
        <f aca="false">IF($B727="","",YEAR($B727)*100+MONTH($B727))</f>
        <v/>
      </c>
      <c r="D727" s="84"/>
      <c r="E727" s="85"/>
      <c r="F727" s="85"/>
      <c r="G727" s="86"/>
      <c r="H727" s="87"/>
      <c r="I727" s="88"/>
      <c r="J727" s="89" t="str">
        <f aca="false">IF($B727="","",IF(N($H727)&lt;=0,"Montant ?",IF($D727="RECETTE",IF(COUNTIF(PARAMETRES!$E$5:$E$9,$E727)=0,"Catégorie ?","OK"),IF($D727="DEPENSE",IF(COUNTIF(PARAMETRES!$G$5:$G$20,$E727)=0,"Catégorie ?","OK"),"Type ?"))))</f>
        <v/>
      </c>
    </row>
    <row r="728" customFormat="false" ht="16.5" hidden="false" customHeight="true" outlineLevel="0" collapsed="false">
      <c r="A728" s="72" t="str">
        <f aca="false">IF($B728="","",ROW()-7)</f>
        <v/>
      </c>
      <c r="B728" s="73"/>
      <c r="C728" s="74" t="str">
        <f aca="false">IF($B728="","",YEAR($B728)*100+MONTH($B728))</f>
        <v/>
      </c>
      <c r="D728" s="75"/>
      <c r="E728" s="76"/>
      <c r="F728" s="76"/>
      <c r="G728" s="77"/>
      <c r="H728" s="78"/>
      <c r="I728" s="79"/>
      <c r="J728" s="80" t="str">
        <f aca="false">IF($B728="","",IF(N($H728)&lt;=0,"Montant ?",IF($D728="RECETTE",IF(COUNTIF(PARAMETRES!$E$5:$E$9,$E728)=0,"Catégorie ?","OK"),IF($D728="DEPENSE",IF(COUNTIF(PARAMETRES!$G$5:$G$20,$E728)=0,"Catégorie ?","OK"),"Type ?"))))</f>
        <v/>
      </c>
    </row>
    <row r="729" customFormat="false" ht="16.5" hidden="false" customHeight="true" outlineLevel="0" collapsed="false">
      <c r="A729" s="81" t="str">
        <f aca="false">IF($B729="","",ROW()-7)</f>
        <v/>
      </c>
      <c r="B729" s="82"/>
      <c r="C729" s="83" t="str">
        <f aca="false">IF($B729="","",YEAR($B729)*100+MONTH($B729))</f>
        <v/>
      </c>
      <c r="D729" s="84"/>
      <c r="E729" s="85"/>
      <c r="F729" s="85"/>
      <c r="G729" s="86"/>
      <c r="H729" s="87"/>
      <c r="I729" s="88"/>
      <c r="J729" s="89" t="str">
        <f aca="false">IF($B729="","",IF(N($H729)&lt;=0,"Montant ?",IF($D729="RECETTE",IF(COUNTIF(PARAMETRES!$E$5:$E$9,$E729)=0,"Catégorie ?","OK"),IF($D729="DEPENSE",IF(COUNTIF(PARAMETRES!$G$5:$G$20,$E729)=0,"Catégorie ?","OK"),"Type ?"))))</f>
        <v/>
      </c>
    </row>
    <row r="730" customFormat="false" ht="16.5" hidden="false" customHeight="true" outlineLevel="0" collapsed="false">
      <c r="A730" s="72" t="str">
        <f aca="false">IF($B730="","",ROW()-7)</f>
        <v/>
      </c>
      <c r="B730" s="73"/>
      <c r="C730" s="74" t="str">
        <f aca="false">IF($B730="","",YEAR($B730)*100+MONTH($B730))</f>
        <v/>
      </c>
      <c r="D730" s="75"/>
      <c r="E730" s="76"/>
      <c r="F730" s="76"/>
      <c r="G730" s="77"/>
      <c r="H730" s="78"/>
      <c r="I730" s="79"/>
      <c r="J730" s="80" t="str">
        <f aca="false">IF($B730="","",IF(N($H730)&lt;=0,"Montant ?",IF($D730="RECETTE",IF(COUNTIF(PARAMETRES!$E$5:$E$9,$E730)=0,"Catégorie ?","OK"),IF($D730="DEPENSE",IF(COUNTIF(PARAMETRES!$G$5:$G$20,$E730)=0,"Catégorie ?","OK"),"Type ?"))))</f>
        <v/>
      </c>
    </row>
    <row r="731" customFormat="false" ht="16.5" hidden="false" customHeight="true" outlineLevel="0" collapsed="false">
      <c r="A731" s="81" t="str">
        <f aca="false">IF($B731="","",ROW()-7)</f>
        <v/>
      </c>
      <c r="B731" s="82"/>
      <c r="C731" s="83" t="str">
        <f aca="false">IF($B731="","",YEAR($B731)*100+MONTH($B731))</f>
        <v/>
      </c>
      <c r="D731" s="84"/>
      <c r="E731" s="85"/>
      <c r="F731" s="85"/>
      <c r="G731" s="86"/>
      <c r="H731" s="87"/>
      <c r="I731" s="88"/>
      <c r="J731" s="89" t="str">
        <f aca="false">IF($B731="","",IF(N($H731)&lt;=0,"Montant ?",IF($D731="RECETTE",IF(COUNTIF(PARAMETRES!$E$5:$E$9,$E731)=0,"Catégorie ?","OK"),IF($D731="DEPENSE",IF(COUNTIF(PARAMETRES!$G$5:$G$20,$E731)=0,"Catégorie ?","OK"),"Type ?"))))</f>
        <v/>
      </c>
    </row>
    <row r="732" customFormat="false" ht="16.5" hidden="false" customHeight="true" outlineLevel="0" collapsed="false">
      <c r="A732" s="72" t="str">
        <f aca="false">IF($B732="","",ROW()-7)</f>
        <v/>
      </c>
      <c r="B732" s="73"/>
      <c r="C732" s="74" t="str">
        <f aca="false">IF($B732="","",YEAR($B732)*100+MONTH($B732))</f>
        <v/>
      </c>
      <c r="D732" s="75"/>
      <c r="E732" s="76"/>
      <c r="F732" s="76"/>
      <c r="G732" s="77"/>
      <c r="H732" s="78"/>
      <c r="I732" s="79"/>
      <c r="J732" s="80" t="str">
        <f aca="false">IF($B732="","",IF(N($H732)&lt;=0,"Montant ?",IF($D732="RECETTE",IF(COUNTIF(PARAMETRES!$E$5:$E$9,$E732)=0,"Catégorie ?","OK"),IF($D732="DEPENSE",IF(COUNTIF(PARAMETRES!$G$5:$G$20,$E732)=0,"Catégorie ?","OK"),"Type ?"))))</f>
        <v/>
      </c>
    </row>
    <row r="733" customFormat="false" ht="16.5" hidden="false" customHeight="true" outlineLevel="0" collapsed="false">
      <c r="A733" s="81" t="str">
        <f aca="false">IF($B733="","",ROW()-7)</f>
        <v/>
      </c>
      <c r="B733" s="82"/>
      <c r="C733" s="83" t="str">
        <f aca="false">IF($B733="","",YEAR($B733)*100+MONTH($B733))</f>
        <v/>
      </c>
      <c r="D733" s="84"/>
      <c r="E733" s="85"/>
      <c r="F733" s="85"/>
      <c r="G733" s="86"/>
      <c r="H733" s="87"/>
      <c r="I733" s="88"/>
      <c r="J733" s="89" t="str">
        <f aca="false">IF($B733="","",IF(N($H733)&lt;=0,"Montant ?",IF($D733="RECETTE",IF(COUNTIF(PARAMETRES!$E$5:$E$9,$E733)=0,"Catégorie ?","OK"),IF($D733="DEPENSE",IF(COUNTIF(PARAMETRES!$G$5:$G$20,$E733)=0,"Catégorie ?","OK"),"Type ?"))))</f>
        <v/>
      </c>
    </row>
    <row r="734" customFormat="false" ht="16.5" hidden="false" customHeight="true" outlineLevel="0" collapsed="false">
      <c r="A734" s="72" t="str">
        <f aca="false">IF($B734="","",ROW()-7)</f>
        <v/>
      </c>
      <c r="B734" s="73"/>
      <c r="C734" s="74" t="str">
        <f aca="false">IF($B734="","",YEAR($B734)*100+MONTH($B734))</f>
        <v/>
      </c>
      <c r="D734" s="75"/>
      <c r="E734" s="76"/>
      <c r="F734" s="76"/>
      <c r="G734" s="77"/>
      <c r="H734" s="78"/>
      <c r="I734" s="79"/>
      <c r="J734" s="80" t="str">
        <f aca="false">IF($B734="","",IF(N($H734)&lt;=0,"Montant ?",IF($D734="RECETTE",IF(COUNTIF(PARAMETRES!$E$5:$E$9,$E734)=0,"Catégorie ?","OK"),IF($D734="DEPENSE",IF(COUNTIF(PARAMETRES!$G$5:$G$20,$E734)=0,"Catégorie ?","OK"),"Type ?"))))</f>
        <v/>
      </c>
    </row>
    <row r="735" customFormat="false" ht="16.5" hidden="false" customHeight="true" outlineLevel="0" collapsed="false">
      <c r="A735" s="81" t="str">
        <f aca="false">IF($B735="","",ROW()-7)</f>
        <v/>
      </c>
      <c r="B735" s="82"/>
      <c r="C735" s="83" t="str">
        <f aca="false">IF($B735="","",YEAR($B735)*100+MONTH($B735))</f>
        <v/>
      </c>
      <c r="D735" s="84"/>
      <c r="E735" s="85"/>
      <c r="F735" s="85"/>
      <c r="G735" s="86"/>
      <c r="H735" s="87"/>
      <c r="I735" s="88"/>
      <c r="J735" s="89" t="str">
        <f aca="false">IF($B735="","",IF(N($H735)&lt;=0,"Montant ?",IF($D735="RECETTE",IF(COUNTIF(PARAMETRES!$E$5:$E$9,$E735)=0,"Catégorie ?","OK"),IF($D735="DEPENSE",IF(COUNTIF(PARAMETRES!$G$5:$G$20,$E735)=0,"Catégorie ?","OK"),"Type ?"))))</f>
        <v/>
      </c>
    </row>
    <row r="736" customFormat="false" ht="16.5" hidden="false" customHeight="true" outlineLevel="0" collapsed="false">
      <c r="A736" s="72" t="str">
        <f aca="false">IF($B736="","",ROW()-7)</f>
        <v/>
      </c>
      <c r="B736" s="73"/>
      <c r="C736" s="74" t="str">
        <f aca="false">IF($B736="","",YEAR($B736)*100+MONTH($B736))</f>
        <v/>
      </c>
      <c r="D736" s="75"/>
      <c r="E736" s="76"/>
      <c r="F736" s="76"/>
      <c r="G736" s="77"/>
      <c r="H736" s="78"/>
      <c r="I736" s="79"/>
      <c r="J736" s="80" t="str">
        <f aca="false">IF($B736="","",IF(N($H736)&lt;=0,"Montant ?",IF($D736="RECETTE",IF(COUNTIF(PARAMETRES!$E$5:$E$9,$E736)=0,"Catégorie ?","OK"),IF($D736="DEPENSE",IF(COUNTIF(PARAMETRES!$G$5:$G$20,$E736)=0,"Catégorie ?","OK"),"Type ?"))))</f>
        <v/>
      </c>
    </row>
    <row r="737" customFormat="false" ht="16.5" hidden="false" customHeight="true" outlineLevel="0" collapsed="false">
      <c r="A737" s="81" t="str">
        <f aca="false">IF($B737="","",ROW()-7)</f>
        <v/>
      </c>
      <c r="B737" s="82"/>
      <c r="C737" s="83" t="str">
        <f aca="false">IF($B737="","",YEAR($B737)*100+MONTH($B737))</f>
        <v/>
      </c>
      <c r="D737" s="84"/>
      <c r="E737" s="85"/>
      <c r="F737" s="85"/>
      <c r="G737" s="86"/>
      <c r="H737" s="87"/>
      <c r="I737" s="88"/>
      <c r="J737" s="89" t="str">
        <f aca="false">IF($B737="","",IF(N($H737)&lt;=0,"Montant ?",IF($D737="RECETTE",IF(COUNTIF(PARAMETRES!$E$5:$E$9,$E737)=0,"Catégorie ?","OK"),IF($D737="DEPENSE",IF(COUNTIF(PARAMETRES!$G$5:$G$20,$E737)=0,"Catégorie ?","OK"),"Type ?"))))</f>
        <v/>
      </c>
    </row>
    <row r="738" customFormat="false" ht="16.5" hidden="false" customHeight="true" outlineLevel="0" collapsed="false">
      <c r="A738" s="72" t="str">
        <f aca="false">IF($B738="","",ROW()-7)</f>
        <v/>
      </c>
      <c r="B738" s="73"/>
      <c r="C738" s="74" t="str">
        <f aca="false">IF($B738="","",YEAR($B738)*100+MONTH($B738))</f>
        <v/>
      </c>
      <c r="D738" s="75"/>
      <c r="E738" s="76"/>
      <c r="F738" s="76"/>
      <c r="G738" s="77"/>
      <c r="H738" s="78"/>
      <c r="I738" s="79"/>
      <c r="J738" s="80" t="str">
        <f aca="false">IF($B738="","",IF(N($H738)&lt;=0,"Montant ?",IF($D738="RECETTE",IF(COUNTIF(PARAMETRES!$E$5:$E$9,$E738)=0,"Catégorie ?","OK"),IF($D738="DEPENSE",IF(COUNTIF(PARAMETRES!$G$5:$G$20,$E738)=0,"Catégorie ?","OK"),"Type ?"))))</f>
        <v/>
      </c>
    </row>
    <row r="739" customFormat="false" ht="16.5" hidden="false" customHeight="true" outlineLevel="0" collapsed="false">
      <c r="A739" s="81" t="str">
        <f aca="false">IF($B739="","",ROW()-7)</f>
        <v/>
      </c>
      <c r="B739" s="82"/>
      <c r="C739" s="83" t="str">
        <f aca="false">IF($B739="","",YEAR($B739)*100+MONTH($B739))</f>
        <v/>
      </c>
      <c r="D739" s="84"/>
      <c r="E739" s="85"/>
      <c r="F739" s="85"/>
      <c r="G739" s="86"/>
      <c r="H739" s="87"/>
      <c r="I739" s="88"/>
      <c r="J739" s="89" t="str">
        <f aca="false">IF($B739="","",IF(N($H739)&lt;=0,"Montant ?",IF($D739="RECETTE",IF(COUNTIF(PARAMETRES!$E$5:$E$9,$E739)=0,"Catégorie ?","OK"),IF($D739="DEPENSE",IF(COUNTIF(PARAMETRES!$G$5:$G$20,$E739)=0,"Catégorie ?","OK"),"Type ?"))))</f>
        <v/>
      </c>
    </row>
    <row r="740" customFormat="false" ht="16.5" hidden="false" customHeight="true" outlineLevel="0" collapsed="false">
      <c r="A740" s="72" t="str">
        <f aca="false">IF($B740="","",ROW()-7)</f>
        <v/>
      </c>
      <c r="B740" s="73"/>
      <c r="C740" s="74" t="str">
        <f aca="false">IF($B740="","",YEAR($B740)*100+MONTH($B740))</f>
        <v/>
      </c>
      <c r="D740" s="75"/>
      <c r="E740" s="76"/>
      <c r="F740" s="76"/>
      <c r="G740" s="77"/>
      <c r="H740" s="78"/>
      <c r="I740" s="79"/>
      <c r="J740" s="80" t="str">
        <f aca="false">IF($B740="","",IF(N($H740)&lt;=0,"Montant ?",IF($D740="RECETTE",IF(COUNTIF(PARAMETRES!$E$5:$E$9,$E740)=0,"Catégorie ?","OK"),IF($D740="DEPENSE",IF(COUNTIF(PARAMETRES!$G$5:$G$20,$E740)=0,"Catégorie ?","OK"),"Type ?"))))</f>
        <v/>
      </c>
    </row>
    <row r="741" customFormat="false" ht="16.5" hidden="false" customHeight="true" outlineLevel="0" collapsed="false">
      <c r="A741" s="81" t="str">
        <f aca="false">IF($B741="","",ROW()-7)</f>
        <v/>
      </c>
      <c r="B741" s="82"/>
      <c r="C741" s="83" t="str">
        <f aca="false">IF($B741="","",YEAR($B741)*100+MONTH($B741))</f>
        <v/>
      </c>
      <c r="D741" s="84"/>
      <c r="E741" s="85"/>
      <c r="F741" s="85"/>
      <c r="G741" s="86"/>
      <c r="H741" s="87"/>
      <c r="I741" s="88"/>
      <c r="J741" s="89" t="str">
        <f aca="false">IF($B741="","",IF(N($H741)&lt;=0,"Montant ?",IF($D741="RECETTE",IF(COUNTIF(PARAMETRES!$E$5:$E$9,$E741)=0,"Catégorie ?","OK"),IF($D741="DEPENSE",IF(COUNTIF(PARAMETRES!$G$5:$G$20,$E741)=0,"Catégorie ?","OK"),"Type ?"))))</f>
        <v/>
      </c>
    </row>
    <row r="742" customFormat="false" ht="16.5" hidden="false" customHeight="true" outlineLevel="0" collapsed="false">
      <c r="A742" s="72" t="str">
        <f aca="false">IF($B742="","",ROW()-7)</f>
        <v/>
      </c>
      <c r="B742" s="73"/>
      <c r="C742" s="74" t="str">
        <f aca="false">IF($B742="","",YEAR($B742)*100+MONTH($B742))</f>
        <v/>
      </c>
      <c r="D742" s="75"/>
      <c r="E742" s="76"/>
      <c r="F742" s="76"/>
      <c r="G742" s="77"/>
      <c r="H742" s="78"/>
      <c r="I742" s="79"/>
      <c r="J742" s="80" t="str">
        <f aca="false">IF($B742="","",IF(N($H742)&lt;=0,"Montant ?",IF($D742="RECETTE",IF(COUNTIF(PARAMETRES!$E$5:$E$9,$E742)=0,"Catégorie ?","OK"),IF($D742="DEPENSE",IF(COUNTIF(PARAMETRES!$G$5:$G$20,$E742)=0,"Catégorie ?","OK"),"Type ?"))))</f>
        <v/>
      </c>
    </row>
    <row r="743" customFormat="false" ht="16.5" hidden="false" customHeight="true" outlineLevel="0" collapsed="false">
      <c r="A743" s="81" t="str">
        <f aca="false">IF($B743="","",ROW()-7)</f>
        <v/>
      </c>
      <c r="B743" s="82"/>
      <c r="C743" s="83" t="str">
        <f aca="false">IF($B743="","",YEAR($B743)*100+MONTH($B743))</f>
        <v/>
      </c>
      <c r="D743" s="84"/>
      <c r="E743" s="85"/>
      <c r="F743" s="85"/>
      <c r="G743" s="86"/>
      <c r="H743" s="87"/>
      <c r="I743" s="88"/>
      <c r="J743" s="89" t="str">
        <f aca="false">IF($B743="","",IF(N($H743)&lt;=0,"Montant ?",IF($D743="RECETTE",IF(COUNTIF(PARAMETRES!$E$5:$E$9,$E743)=0,"Catégorie ?","OK"),IF($D743="DEPENSE",IF(COUNTIF(PARAMETRES!$G$5:$G$20,$E743)=0,"Catégorie ?","OK"),"Type ?"))))</f>
        <v/>
      </c>
    </row>
    <row r="744" customFormat="false" ht="16.5" hidden="false" customHeight="true" outlineLevel="0" collapsed="false">
      <c r="A744" s="72" t="str">
        <f aca="false">IF($B744="","",ROW()-7)</f>
        <v/>
      </c>
      <c r="B744" s="73"/>
      <c r="C744" s="74" t="str">
        <f aca="false">IF($B744="","",YEAR($B744)*100+MONTH($B744))</f>
        <v/>
      </c>
      <c r="D744" s="75"/>
      <c r="E744" s="76"/>
      <c r="F744" s="76"/>
      <c r="G744" s="77"/>
      <c r="H744" s="78"/>
      <c r="I744" s="79"/>
      <c r="J744" s="80" t="str">
        <f aca="false">IF($B744="","",IF(N($H744)&lt;=0,"Montant ?",IF($D744="RECETTE",IF(COUNTIF(PARAMETRES!$E$5:$E$9,$E744)=0,"Catégorie ?","OK"),IF($D744="DEPENSE",IF(COUNTIF(PARAMETRES!$G$5:$G$20,$E744)=0,"Catégorie ?","OK"),"Type ?"))))</f>
        <v/>
      </c>
    </row>
    <row r="745" customFormat="false" ht="16.5" hidden="false" customHeight="true" outlineLevel="0" collapsed="false">
      <c r="A745" s="81" t="str">
        <f aca="false">IF($B745="","",ROW()-7)</f>
        <v/>
      </c>
      <c r="B745" s="82"/>
      <c r="C745" s="83" t="str">
        <f aca="false">IF($B745="","",YEAR($B745)*100+MONTH($B745))</f>
        <v/>
      </c>
      <c r="D745" s="84"/>
      <c r="E745" s="85"/>
      <c r="F745" s="85"/>
      <c r="G745" s="86"/>
      <c r="H745" s="87"/>
      <c r="I745" s="88"/>
      <c r="J745" s="89" t="str">
        <f aca="false">IF($B745="","",IF(N($H745)&lt;=0,"Montant ?",IF($D745="RECETTE",IF(COUNTIF(PARAMETRES!$E$5:$E$9,$E745)=0,"Catégorie ?","OK"),IF($D745="DEPENSE",IF(COUNTIF(PARAMETRES!$G$5:$G$20,$E745)=0,"Catégorie ?","OK"),"Type ?"))))</f>
        <v/>
      </c>
    </row>
    <row r="746" customFormat="false" ht="16.5" hidden="false" customHeight="true" outlineLevel="0" collapsed="false">
      <c r="A746" s="72" t="str">
        <f aca="false">IF($B746="","",ROW()-7)</f>
        <v/>
      </c>
      <c r="B746" s="73"/>
      <c r="C746" s="74" t="str">
        <f aca="false">IF($B746="","",YEAR($B746)*100+MONTH($B746))</f>
        <v/>
      </c>
      <c r="D746" s="75"/>
      <c r="E746" s="76"/>
      <c r="F746" s="76"/>
      <c r="G746" s="77"/>
      <c r="H746" s="78"/>
      <c r="I746" s="79"/>
      <c r="J746" s="80" t="str">
        <f aca="false">IF($B746="","",IF(N($H746)&lt;=0,"Montant ?",IF($D746="RECETTE",IF(COUNTIF(PARAMETRES!$E$5:$E$9,$E746)=0,"Catégorie ?","OK"),IF($D746="DEPENSE",IF(COUNTIF(PARAMETRES!$G$5:$G$20,$E746)=0,"Catégorie ?","OK"),"Type ?"))))</f>
        <v/>
      </c>
    </row>
    <row r="747" customFormat="false" ht="16.5" hidden="false" customHeight="true" outlineLevel="0" collapsed="false">
      <c r="A747" s="81" t="str">
        <f aca="false">IF($B747="","",ROW()-7)</f>
        <v/>
      </c>
      <c r="B747" s="82"/>
      <c r="C747" s="83" t="str">
        <f aca="false">IF($B747="","",YEAR($B747)*100+MONTH($B747))</f>
        <v/>
      </c>
      <c r="D747" s="84"/>
      <c r="E747" s="85"/>
      <c r="F747" s="85"/>
      <c r="G747" s="86"/>
      <c r="H747" s="87"/>
      <c r="I747" s="88"/>
      <c r="J747" s="89" t="str">
        <f aca="false">IF($B747="","",IF(N($H747)&lt;=0,"Montant ?",IF($D747="RECETTE",IF(COUNTIF(PARAMETRES!$E$5:$E$9,$E747)=0,"Catégorie ?","OK"),IF($D747="DEPENSE",IF(COUNTIF(PARAMETRES!$G$5:$G$20,$E747)=0,"Catégorie ?","OK"),"Type ?"))))</f>
        <v/>
      </c>
    </row>
    <row r="748" customFormat="false" ht="16.5" hidden="false" customHeight="true" outlineLevel="0" collapsed="false">
      <c r="A748" s="72" t="str">
        <f aca="false">IF($B748="","",ROW()-7)</f>
        <v/>
      </c>
      <c r="B748" s="73"/>
      <c r="C748" s="74" t="str">
        <f aca="false">IF($B748="","",YEAR($B748)*100+MONTH($B748))</f>
        <v/>
      </c>
      <c r="D748" s="75"/>
      <c r="E748" s="76"/>
      <c r="F748" s="76"/>
      <c r="G748" s="77"/>
      <c r="H748" s="78"/>
      <c r="I748" s="79"/>
      <c r="J748" s="80" t="str">
        <f aca="false">IF($B748="","",IF(N($H748)&lt;=0,"Montant ?",IF($D748="RECETTE",IF(COUNTIF(PARAMETRES!$E$5:$E$9,$E748)=0,"Catégorie ?","OK"),IF($D748="DEPENSE",IF(COUNTIF(PARAMETRES!$G$5:$G$20,$E748)=0,"Catégorie ?","OK"),"Type ?"))))</f>
        <v/>
      </c>
    </row>
    <row r="749" customFormat="false" ht="16.5" hidden="false" customHeight="true" outlineLevel="0" collapsed="false">
      <c r="A749" s="81" t="str">
        <f aca="false">IF($B749="","",ROW()-7)</f>
        <v/>
      </c>
      <c r="B749" s="82"/>
      <c r="C749" s="83" t="str">
        <f aca="false">IF($B749="","",YEAR($B749)*100+MONTH($B749))</f>
        <v/>
      </c>
      <c r="D749" s="84"/>
      <c r="E749" s="85"/>
      <c r="F749" s="85"/>
      <c r="G749" s="86"/>
      <c r="H749" s="87"/>
      <c r="I749" s="88"/>
      <c r="J749" s="89" t="str">
        <f aca="false">IF($B749="","",IF(N($H749)&lt;=0,"Montant ?",IF($D749="RECETTE",IF(COUNTIF(PARAMETRES!$E$5:$E$9,$E749)=0,"Catégorie ?","OK"),IF($D749="DEPENSE",IF(COUNTIF(PARAMETRES!$G$5:$G$20,$E749)=0,"Catégorie ?","OK"),"Type ?"))))</f>
        <v/>
      </c>
    </row>
    <row r="750" customFormat="false" ht="16.5" hidden="false" customHeight="true" outlineLevel="0" collapsed="false">
      <c r="A750" s="72" t="str">
        <f aca="false">IF($B750="","",ROW()-7)</f>
        <v/>
      </c>
      <c r="B750" s="73"/>
      <c r="C750" s="74" t="str">
        <f aca="false">IF($B750="","",YEAR($B750)*100+MONTH($B750))</f>
        <v/>
      </c>
      <c r="D750" s="75"/>
      <c r="E750" s="76"/>
      <c r="F750" s="76"/>
      <c r="G750" s="77"/>
      <c r="H750" s="78"/>
      <c r="I750" s="79"/>
      <c r="J750" s="80" t="str">
        <f aca="false">IF($B750="","",IF(N($H750)&lt;=0,"Montant ?",IF($D750="RECETTE",IF(COUNTIF(PARAMETRES!$E$5:$E$9,$E750)=0,"Catégorie ?","OK"),IF($D750="DEPENSE",IF(COUNTIF(PARAMETRES!$G$5:$G$20,$E750)=0,"Catégorie ?","OK"),"Type ?"))))</f>
        <v/>
      </c>
    </row>
    <row r="751" customFormat="false" ht="16.5" hidden="false" customHeight="true" outlineLevel="0" collapsed="false">
      <c r="A751" s="81" t="str">
        <f aca="false">IF($B751="","",ROW()-7)</f>
        <v/>
      </c>
      <c r="B751" s="82"/>
      <c r="C751" s="83" t="str">
        <f aca="false">IF($B751="","",YEAR($B751)*100+MONTH($B751))</f>
        <v/>
      </c>
      <c r="D751" s="84"/>
      <c r="E751" s="85"/>
      <c r="F751" s="85"/>
      <c r="G751" s="86"/>
      <c r="H751" s="87"/>
      <c r="I751" s="88"/>
      <c r="J751" s="89" t="str">
        <f aca="false">IF($B751="","",IF(N($H751)&lt;=0,"Montant ?",IF($D751="RECETTE",IF(COUNTIF(PARAMETRES!$E$5:$E$9,$E751)=0,"Catégorie ?","OK"),IF($D751="DEPENSE",IF(COUNTIF(PARAMETRES!$G$5:$G$20,$E751)=0,"Catégorie ?","OK"),"Type ?"))))</f>
        <v/>
      </c>
    </row>
    <row r="752" customFormat="false" ht="16.5" hidden="false" customHeight="true" outlineLevel="0" collapsed="false">
      <c r="A752" s="72" t="str">
        <f aca="false">IF($B752="","",ROW()-7)</f>
        <v/>
      </c>
      <c r="B752" s="73"/>
      <c r="C752" s="74" t="str">
        <f aca="false">IF($B752="","",YEAR($B752)*100+MONTH($B752))</f>
        <v/>
      </c>
      <c r="D752" s="75"/>
      <c r="E752" s="76"/>
      <c r="F752" s="76"/>
      <c r="G752" s="77"/>
      <c r="H752" s="78"/>
      <c r="I752" s="79"/>
      <c r="J752" s="80" t="str">
        <f aca="false">IF($B752="","",IF(N($H752)&lt;=0,"Montant ?",IF($D752="RECETTE",IF(COUNTIF(PARAMETRES!$E$5:$E$9,$E752)=0,"Catégorie ?","OK"),IF($D752="DEPENSE",IF(COUNTIF(PARAMETRES!$G$5:$G$20,$E752)=0,"Catégorie ?","OK"),"Type ?"))))</f>
        <v/>
      </c>
    </row>
    <row r="753" customFormat="false" ht="16.5" hidden="false" customHeight="true" outlineLevel="0" collapsed="false">
      <c r="A753" s="81" t="str">
        <f aca="false">IF($B753="","",ROW()-7)</f>
        <v/>
      </c>
      <c r="B753" s="82"/>
      <c r="C753" s="83" t="str">
        <f aca="false">IF($B753="","",YEAR($B753)*100+MONTH($B753))</f>
        <v/>
      </c>
      <c r="D753" s="84"/>
      <c r="E753" s="85"/>
      <c r="F753" s="85"/>
      <c r="G753" s="86"/>
      <c r="H753" s="87"/>
      <c r="I753" s="88"/>
      <c r="J753" s="89" t="str">
        <f aca="false">IF($B753="","",IF(N($H753)&lt;=0,"Montant ?",IF($D753="RECETTE",IF(COUNTIF(PARAMETRES!$E$5:$E$9,$E753)=0,"Catégorie ?","OK"),IF($D753="DEPENSE",IF(COUNTIF(PARAMETRES!$G$5:$G$20,$E753)=0,"Catégorie ?","OK"),"Type ?"))))</f>
        <v/>
      </c>
    </row>
    <row r="754" customFormat="false" ht="16.5" hidden="false" customHeight="true" outlineLevel="0" collapsed="false">
      <c r="A754" s="72" t="str">
        <f aca="false">IF($B754="","",ROW()-7)</f>
        <v/>
      </c>
      <c r="B754" s="73"/>
      <c r="C754" s="74" t="str">
        <f aca="false">IF($B754="","",YEAR($B754)*100+MONTH($B754))</f>
        <v/>
      </c>
      <c r="D754" s="75"/>
      <c r="E754" s="76"/>
      <c r="F754" s="76"/>
      <c r="G754" s="77"/>
      <c r="H754" s="78"/>
      <c r="I754" s="79"/>
      <c r="J754" s="80" t="str">
        <f aca="false">IF($B754="","",IF(N($H754)&lt;=0,"Montant ?",IF($D754="RECETTE",IF(COUNTIF(PARAMETRES!$E$5:$E$9,$E754)=0,"Catégorie ?","OK"),IF($D754="DEPENSE",IF(COUNTIF(PARAMETRES!$G$5:$G$20,$E754)=0,"Catégorie ?","OK"),"Type ?"))))</f>
        <v/>
      </c>
    </row>
    <row r="755" customFormat="false" ht="16.5" hidden="false" customHeight="true" outlineLevel="0" collapsed="false">
      <c r="A755" s="81" t="str">
        <f aca="false">IF($B755="","",ROW()-7)</f>
        <v/>
      </c>
      <c r="B755" s="82"/>
      <c r="C755" s="83" t="str">
        <f aca="false">IF($B755="","",YEAR($B755)*100+MONTH($B755))</f>
        <v/>
      </c>
      <c r="D755" s="84"/>
      <c r="E755" s="85"/>
      <c r="F755" s="85"/>
      <c r="G755" s="86"/>
      <c r="H755" s="87"/>
      <c r="I755" s="88"/>
      <c r="J755" s="89" t="str">
        <f aca="false">IF($B755="","",IF(N($H755)&lt;=0,"Montant ?",IF($D755="RECETTE",IF(COUNTIF(PARAMETRES!$E$5:$E$9,$E755)=0,"Catégorie ?","OK"),IF($D755="DEPENSE",IF(COUNTIF(PARAMETRES!$G$5:$G$20,$E755)=0,"Catégorie ?","OK"),"Type ?"))))</f>
        <v/>
      </c>
    </row>
    <row r="756" customFormat="false" ht="16.5" hidden="false" customHeight="true" outlineLevel="0" collapsed="false">
      <c r="A756" s="72" t="str">
        <f aca="false">IF($B756="","",ROW()-7)</f>
        <v/>
      </c>
      <c r="B756" s="73"/>
      <c r="C756" s="74" t="str">
        <f aca="false">IF($B756="","",YEAR($B756)*100+MONTH($B756))</f>
        <v/>
      </c>
      <c r="D756" s="75"/>
      <c r="E756" s="76"/>
      <c r="F756" s="76"/>
      <c r="G756" s="77"/>
      <c r="H756" s="78"/>
      <c r="I756" s="79"/>
      <c r="J756" s="80" t="str">
        <f aca="false">IF($B756="","",IF(N($H756)&lt;=0,"Montant ?",IF($D756="RECETTE",IF(COUNTIF(PARAMETRES!$E$5:$E$9,$E756)=0,"Catégorie ?","OK"),IF($D756="DEPENSE",IF(COUNTIF(PARAMETRES!$G$5:$G$20,$E756)=0,"Catégorie ?","OK"),"Type ?"))))</f>
        <v/>
      </c>
    </row>
    <row r="757" customFormat="false" ht="16.5" hidden="false" customHeight="true" outlineLevel="0" collapsed="false">
      <c r="A757" s="81" t="str">
        <f aca="false">IF($B757="","",ROW()-7)</f>
        <v/>
      </c>
      <c r="B757" s="82"/>
      <c r="C757" s="83" t="str">
        <f aca="false">IF($B757="","",YEAR($B757)*100+MONTH($B757))</f>
        <v/>
      </c>
      <c r="D757" s="84"/>
      <c r="E757" s="85"/>
      <c r="F757" s="85"/>
      <c r="G757" s="86"/>
      <c r="H757" s="87"/>
      <c r="I757" s="88"/>
      <c r="J757" s="89" t="str">
        <f aca="false">IF($B757="","",IF(N($H757)&lt;=0,"Montant ?",IF($D757="RECETTE",IF(COUNTIF(PARAMETRES!$E$5:$E$9,$E757)=0,"Catégorie ?","OK"),IF($D757="DEPENSE",IF(COUNTIF(PARAMETRES!$G$5:$G$20,$E757)=0,"Catégorie ?","OK"),"Type ?"))))</f>
        <v/>
      </c>
    </row>
    <row r="758" customFormat="false" ht="16.5" hidden="false" customHeight="true" outlineLevel="0" collapsed="false">
      <c r="A758" s="72" t="str">
        <f aca="false">IF($B758="","",ROW()-7)</f>
        <v/>
      </c>
      <c r="B758" s="73"/>
      <c r="C758" s="74" t="str">
        <f aca="false">IF($B758="","",YEAR($B758)*100+MONTH($B758))</f>
        <v/>
      </c>
      <c r="D758" s="75"/>
      <c r="E758" s="76"/>
      <c r="F758" s="76"/>
      <c r="G758" s="77"/>
      <c r="H758" s="78"/>
      <c r="I758" s="79"/>
      <c r="J758" s="80" t="str">
        <f aca="false">IF($B758="","",IF(N($H758)&lt;=0,"Montant ?",IF($D758="RECETTE",IF(COUNTIF(PARAMETRES!$E$5:$E$9,$E758)=0,"Catégorie ?","OK"),IF($D758="DEPENSE",IF(COUNTIF(PARAMETRES!$G$5:$G$20,$E758)=0,"Catégorie ?","OK"),"Type ?"))))</f>
        <v/>
      </c>
    </row>
    <row r="759" customFormat="false" ht="16.5" hidden="false" customHeight="true" outlineLevel="0" collapsed="false">
      <c r="A759" s="81" t="str">
        <f aca="false">IF($B759="","",ROW()-7)</f>
        <v/>
      </c>
      <c r="B759" s="82"/>
      <c r="C759" s="83" t="str">
        <f aca="false">IF($B759="","",YEAR($B759)*100+MONTH($B759))</f>
        <v/>
      </c>
      <c r="D759" s="84"/>
      <c r="E759" s="85"/>
      <c r="F759" s="85"/>
      <c r="G759" s="86"/>
      <c r="H759" s="87"/>
      <c r="I759" s="88"/>
      <c r="J759" s="89" t="str">
        <f aca="false">IF($B759="","",IF(N($H759)&lt;=0,"Montant ?",IF($D759="RECETTE",IF(COUNTIF(PARAMETRES!$E$5:$E$9,$E759)=0,"Catégorie ?","OK"),IF($D759="DEPENSE",IF(COUNTIF(PARAMETRES!$G$5:$G$20,$E759)=0,"Catégorie ?","OK"),"Type ?"))))</f>
        <v/>
      </c>
    </row>
    <row r="760" customFormat="false" ht="16.5" hidden="false" customHeight="true" outlineLevel="0" collapsed="false">
      <c r="A760" s="72" t="str">
        <f aca="false">IF($B760="","",ROW()-7)</f>
        <v/>
      </c>
      <c r="B760" s="73"/>
      <c r="C760" s="74" t="str">
        <f aca="false">IF($B760="","",YEAR($B760)*100+MONTH($B760))</f>
        <v/>
      </c>
      <c r="D760" s="75"/>
      <c r="E760" s="76"/>
      <c r="F760" s="76"/>
      <c r="G760" s="77"/>
      <c r="H760" s="78"/>
      <c r="I760" s="79"/>
      <c r="J760" s="80" t="str">
        <f aca="false">IF($B760="","",IF(N($H760)&lt;=0,"Montant ?",IF($D760="RECETTE",IF(COUNTIF(PARAMETRES!$E$5:$E$9,$E760)=0,"Catégorie ?","OK"),IF($D760="DEPENSE",IF(COUNTIF(PARAMETRES!$G$5:$G$20,$E760)=0,"Catégorie ?","OK"),"Type ?"))))</f>
        <v/>
      </c>
    </row>
    <row r="761" customFormat="false" ht="16.5" hidden="false" customHeight="true" outlineLevel="0" collapsed="false">
      <c r="A761" s="81" t="str">
        <f aca="false">IF($B761="","",ROW()-7)</f>
        <v/>
      </c>
      <c r="B761" s="82"/>
      <c r="C761" s="83" t="str">
        <f aca="false">IF($B761="","",YEAR($B761)*100+MONTH($B761))</f>
        <v/>
      </c>
      <c r="D761" s="84"/>
      <c r="E761" s="85"/>
      <c r="F761" s="85"/>
      <c r="G761" s="86"/>
      <c r="H761" s="87"/>
      <c r="I761" s="88"/>
      <c r="J761" s="89" t="str">
        <f aca="false">IF($B761="","",IF(N($H761)&lt;=0,"Montant ?",IF($D761="RECETTE",IF(COUNTIF(PARAMETRES!$E$5:$E$9,$E761)=0,"Catégorie ?","OK"),IF($D761="DEPENSE",IF(COUNTIF(PARAMETRES!$G$5:$G$20,$E761)=0,"Catégorie ?","OK"),"Type ?"))))</f>
        <v/>
      </c>
    </row>
    <row r="762" customFormat="false" ht="16.5" hidden="false" customHeight="true" outlineLevel="0" collapsed="false">
      <c r="A762" s="72" t="str">
        <f aca="false">IF($B762="","",ROW()-7)</f>
        <v/>
      </c>
      <c r="B762" s="73"/>
      <c r="C762" s="74" t="str">
        <f aca="false">IF($B762="","",YEAR($B762)*100+MONTH($B762))</f>
        <v/>
      </c>
      <c r="D762" s="75"/>
      <c r="E762" s="76"/>
      <c r="F762" s="76"/>
      <c r="G762" s="77"/>
      <c r="H762" s="78"/>
      <c r="I762" s="79"/>
      <c r="J762" s="80" t="str">
        <f aca="false">IF($B762="","",IF(N($H762)&lt;=0,"Montant ?",IF($D762="RECETTE",IF(COUNTIF(PARAMETRES!$E$5:$E$9,$E762)=0,"Catégorie ?","OK"),IF($D762="DEPENSE",IF(COUNTIF(PARAMETRES!$G$5:$G$20,$E762)=0,"Catégorie ?","OK"),"Type ?"))))</f>
        <v/>
      </c>
    </row>
    <row r="763" customFormat="false" ht="16.5" hidden="false" customHeight="true" outlineLevel="0" collapsed="false">
      <c r="A763" s="81" t="str">
        <f aca="false">IF($B763="","",ROW()-7)</f>
        <v/>
      </c>
      <c r="B763" s="82"/>
      <c r="C763" s="83" t="str">
        <f aca="false">IF($B763="","",YEAR($B763)*100+MONTH($B763))</f>
        <v/>
      </c>
      <c r="D763" s="84"/>
      <c r="E763" s="85"/>
      <c r="F763" s="85"/>
      <c r="G763" s="86"/>
      <c r="H763" s="87"/>
      <c r="I763" s="88"/>
      <c r="J763" s="89" t="str">
        <f aca="false">IF($B763="","",IF(N($H763)&lt;=0,"Montant ?",IF($D763="RECETTE",IF(COUNTIF(PARAMETRES!$E$5:$E$9,$E763)=0,"Catégorie ?","OK"),IF($D763="DEPENSE",IF(COUNTIF(PARAMETRES!$G$5:$G$20,$E763)=0,"Catégorie ?","OK"),"Type ?"))))</f>
        <v/>
      </c>
    </row>
    <row r="764" customFormat="false" ht="16.5" hidden="false" customHeight="true" outlineLevel="0" collapsed="false">
      <c r="A764" s="72" t="str">
        <f aca="false">IF($B764="","",ROW()-7)</f>
        <v/>
      </c>
      <c r="B764" s="73"/>
      <c r="C764" s="74" t="str">
        <f aca="false">IF($B764="","",YEAR($B764)*100+MONTH($B764))</f>
        <v/>
      </c>
      <c r="D764" s="75"/>
      <c r="E764" s="76"/>
      <c r="F764" s="76"/>
      <c r="G764" s="77"/>
      <c r="H764" s="78"/>
      <c r="I764" s="79"/>
      <c r="J764" s="80" t="str">
        <f aca="false">IF($B764="","",IF(N($H764)&lt;=0,"Montant ?",IF($D764="RECETTE",IF(COUNTIF(PARAMETRES!$E$5:$E$9,$E764)=0,"Catégorie ?","OK"),IF($D764="DEPENSE",IF(COUNTIF(PARAMETRES!$G$5:$G$20,$E764)=0,"Catégorie ?","OK"),"Type ?"))))</f>
        <v/>
      </c>
    </row>
    <row r="765" customFormat="false" ht="16.5" hidden="false" customHeight="true" outlineLevel="0" collapsed="false">
      <c r="A765" s="81" t="str">
        <f aca="false">IF($B765="","",ROW()-7)</f>
        <v/>
      </c>
      <c r="B765" s="82"/>
      <c r="C765" s="83" t="str">
        <f aca="false">IF($B765="","",YEAR($B765)*100+MONTH($B765))</f>
        <v/>
      </c>
      <c r="D765" s="84"/>
      <c r="E765" s="85"/>
      <c r="F765" s="85"/>
      <c r="G765" s="86"/>
      <c r="H765" s="87"/>
      <c r="I765" s="88"/>
      <c r="J765" s="89" t="str">
        <f aca="false">IF($B765="","",IF(N($H765)&lt;=0,"Montant ?",IF($D765="RECETTE",IF(COUNTIF(PARAMETRES!$E$5:$E$9,$E765)=0,"Catégorie ?","OK"),IF($D765="DEPENSE",IF(COUNTIF(PARAMETRES!$G$5:$G$20,$E765)=0,"Catégorie ?","OK"),"Type ?"))))</f>
        <v/>
      </c>
    </row>
    <row r="766" customFormat="false" ht="16.5" hidden="false" customHeight="true" outlineLevel="0" collapsed="false">
      <c r="A766" s="72" t="str">
        <f aca="false">IF($B766="","",ROW()-7)</f>
        <v/>
      </c>
      <c r="B766" s="73"/>
      <c r="C766" s="74" t="str">
        <f aca="false">IF($B766="","",YEAR($B766)*100+MONTH($B766))</f>
        <v/>
      </c>
      <c r="D766" s="75"/>
      <c r="E766" s="76"/>
      <c r="F766" s="76"/>
      <c r="G766" s="77"/>
      <c r="H766" s="78"/>
      <c r="I766" s="79"/>
      <c r="J766" s="80" t="str">
        <f aca="false">IF($B766="","",IF(N($H766)&lt;=0,"Montant ?",IF($D766="RECETTE",IF(COUNTIF(PARAMETRES!$E$5:$E$9,$E766)=0,"Catégorie ?","OK"),IF($D766="DEPENSE",IF(COUNTIF(PARAMETRES!$G$5:$G$20,$E766)=0,"Catégorie ?","OK"),"Type ?"))))</f>
        <v/>
      </c>
    </row>
    <row r="767" customFormat="false" ht="16.5" hidden="false" customHeight="true" outlineLevel="0" collapsed="false">
      <c r="A767" s="81" t="str">
        <f aca="false">IF($B767="","",ROW()-7)</f>
        <v/>
      </c>
      <c r="B767" s="82"/>
      <c r="C767" s="83" t="str">
        <f aca="false">IF($B767="","",YEAR($B767)*100+MONTH($B767))</f>
        <v/>
      </c>
      <c r="D767" s="84"/>
      <c r="E767" s="85"/>
      <c r="F767" s="85"/>
      <c r="G767" s="86"/>
      <c r="H767" s="87"/>
      <c r="I767" s="88"/>
      <c r="J767" s="89" t="str">
        <f aca="false">IF($B767="","",IF(N($H767)&lt;=0,"Montant ?",IF($D767="RECETTE",IF(COUNTIF(PARAMETRES!$E$5:$E$9,$E767)=0,"Catégorie ?","OK"),IF($D767="DEPENSE",IF(COUNTIF(PARAMETRES!$G$5:$G$20,$E767)=0,"Catégorie ?","OK"),"Type ?"))))</f>
        <v/>
      </c>
    </row>
    <row r="768" customFormat="false" ht="16.5" hidden="false" customHeight="true" outlineLevel="0" collapsed="false">
      <c r="A768" s="72" t="str">
        <f aca="false">IF($B768="","",ROW()-7)</f>
        <v/>
      </c>
      <c r="B768" s="73"/>
      <c r="C768" s="74" t="str">
        <f aca="false">IF($B768="","",YEAR($B768)*100+MONTH($B768))</f>
        <v/>
      </c>
      <c r="D768" s="75"/>
      <c r="E768" s="76"/>
      <c r="F768" s="76"/>
      <c r="G768" s="77"/>
      <c r="H768" s="78"/>
      <c r="I768" s="79"/>
      <c r="J768" s="80" t="str">
        <f aca="false">IF($B768="","",IF(N($H768)&lt;=0,"Montant ?",IF($D768="RECETTE",IF(COUNTIF(PARAMETRES!$E$5:$E$9,$E768)=0,"Catégorie ?","OK"),IF($D768="DEPENSE",IF(COUNTIF(PARAMETRES!$G$5:$G$20,$E768)=0,"Catégorie ?","OK"),"Type ?"))))</f>
        <v/>
      </c>
    </row>
    <row r="769" customFormat="false" ht="16.5" hidden="false" customHeight="true" outlineLevel="0" collapsed="false">
      <c r="A769" s="81" t="str">
        <f aca="false">IF($B769="","",ROW()-7)</f>
        <v/>
      </c>
      <c r="B769" s="82"/>
      <c r="C769" s="83" t="str">
        <f aca="false">IF($B769="","",YEAR($B769)*100+MONTH($B769))</f>
        <v/>
      </c>
      <c r="D769" s="84"/>
      <c r="E769" s="85"/>
      <c r="F769" s="85"/>
      <c r="G769" s="86"/>
      <c r="H769" s="87"/>
      <c r="I769" s="88"/>
      <c r="J769" s="89" t="str">
        <f aca="false">IF($B769="","",IF(N($H769)&lt;=0,"Montant ?",IF($D769="RECETTE",IF(COUNTIF(PARAMETRES!$E$5:$E$9,$E769)=0,"Catégorie ?","OK"),IF($D769="DEPENSE",IF(COUNTIF(PARAMETRES!$G$5:$G$20,$E769)=0,"Catégorie ?","OK"),"Type ?"))))</f>
        <v/>
      </c>
    </row>
    <row r="770" customFormat="false" ht="16.5" hidden="false" customHeight="true" outlineLevel="0" collapsed="false">
      <c r="A770" s="72" t="str">
        <f aca="false">IF($B770="","",ROW()-7)</f>
        <v/>
      </c>
      <c r="B770" s="73"/>
      <c r="C770" s="74" t="str">
        <f aca="false">IF($B770="","",YEAR($B770)*100+MONTH($B770))</f>
        <v/>
      </c>
      <c r="D770" s="75"/>
      <c r="E770" s="76"/>
      <c r="F770" s="76"/>
      <c r="G770" s="77"/>
      <c r="H770" s="78"/>
      <c r="I770" s="79"/>
      <c r="J770" s="80" t="str">
        <f aca="false">IF($B770="","",IF(N($H770)&lt;=0,"Montant ?",IF($D770="RECETTE",IF(COUNTIF(PARAMETRES!$E$5:$E$9,$E770)=0,"Catégorie ?","OK"),IF($D770="DEPENSE",IF(COUNTIF(PARAMETRES!$G$5:$G$20,$E770)=0,"Catégorie ?","OK"),"Type ?"))))</f>
        <v/>
      </c>
    </row>
    <row r="771" customFormat="false" ht="16.5" hidden="false" customHeight="true" outlineLevel="0" collapsed="false">
      <c r="A771" s="81" t="str">
        <f aca="false">IF($B771="","",ROW()-7)</f>
        <v/>
      </c>
      <c r="B771" s="82"/>
      <c r="C771" s="83" t="str">
        <f aca="false">IF($B771="","",YEAR($B771)*100+MONTH($B771))</f>
        <v/>
      </c>
      <c r="D771" s="84"/>
      <c r="E771" s="85"/>
      <c r="F771" s="85"/>
      <c r="G771" s="86"/>
      <c r="H771" s="87"/>
      <c r="I771" s="88"/>
      <c r="J771" s="89" t="str">
        <f aca="false">IF($B771="","",IF(N($H771)&lt;=0,"Montant ?",IF($D771="RECETTE",IF(COUNTIF(PARAMETRES!$E$5:$E$9,$E771)=0,"Catégorie ?","OK"),IF($D771="DEPENSE",IF(COUNTIF(PARAMETRES!$G$5:$G$20,$E771)=0,"Catégorie ?","OK"),"Type ?"))))</f>
        <v/>
      </c>
    </row>
    <row r="772" customFormat="false" ht="16.5" hidden="false" customHeight="true" outlineLevel="0" collapsed="false">
      <c r="A772" s="72" t="str">
        <f aca="false">IF($B772="","",ROW()-7)</f>
        <v/>
      </c>
      <c r="B772" s="73"/>
      <c r="C772" s="74" t="str">
        <f aca="false">IF($B772="","",YEAR($B772)*100+MONTH($B772))</f>
        <v/>
      </c>
      <c r="D772" s="75"/>
      <c r="E772" s="76"/>
      <c r="F772" s="76"/>
      <c r="G772" s="77"/>
      <c r="H772" s="78"/>
      <c r="I772" s="79"/>
      <c r="J772" s="80" t="str">
        <f aca="false">IF($B772="","",IF(N($H772)&lt;=0,"Montant ?",IF($D772="RECETTE",IF(COUNTIF(PARAMETRES!$E$5:$E$9,$E772)=0,"Catégorie ?","OK"),IF($D772="DEPENSE",IF(COUNTIF(PARAMETRES!$G$5:$G$20,$E772)=0,"Catégorie ?","OK"),"Type ?"))))</f>
        <v/>
      </c>
    </row>
    <row r="773" customFormat="false" ht="16.5" hidden="false" customHeight="true" outlineLevel="0" collapsed="false">
      <c r="A773" s="81" t="str">
        <f aca="false">IF($B773="","",ROW()-7)</f>
        <v/>
      </c>
      <c r="B773" s="82"/>
      <c r="C773" s="83" t="str">
        <f aca="false">IF($B773="","",YEAR($B773)*100+MONTH($B773))</f>
        <v/>
      </c>
      <c r="D773" s="84"/>
      <c r="E773" s="85"/>
      <c r="F773" s="85"/>
      <c r="G773" s="86"/>
      <c r="H773" s="87"/>
      <c r="I773" s="88"/>
      <c r="J773" s="89" t="str">
        <f aca="false">IF($B773="","",IF(N($H773)&lt;=0,"Montant ?",IF($D773="RECETTE",IF(COUNTIF(PARAMETRES!$E$5:$E$9,$E773)=0,"Catégorie ?","OK"),IF($D773="DEPENSE",IF(COUNTIF(PARAMETRES!$G$5:$G$20,$E773)=0,"Catégorie ?","OK"),"Type ?"))))</f>
        <v/>
      </c>
    </row>
    <row r="774" customFormat="false" ht="16.5" hidden="false" customHeight="true" outlineLevel="0" collapsed="false">
      <c r="A774" s="72" t="str">
        <f aca="false">IF($B774="","",ROW()-7)</f>
        <v/>
      </c>
      <c r="B774" s="73"/>
      <c r="C774" s="74" t="str">
        <f aca="false">IF($B774="","",YEAR($B774)*100+MONTH($B774))</f>
        <v/>
      </c>
      <c r="D774" s="75"/>
      <c r="E774" s="76"/>
      <c r="F774" s="76"/>
      <c r="G774" s="77"/>
      <c r="H774" s="78"/>
      <c r="I774" s="79"/>
      <c r="J774" s="80" t="str">
        <f aca="false">IF($B774="","",IF(N($H774)&lt;=0,"Montant ?",IF($D774="RECETTE",IF(COUNTIF(PARAMETRES!$E$5:$E$9,$E774)=0,"Catégorie ?","OK"),IF($D774="DEPENSE",IF(COUNTIF(PARAMETRES!$G$5:$G$20,$E774)=0,"Catégorie ?","OK"),"Type ?"))))</f>
        <v/>
      </c>
    </row>
    <row r="775" customFormat="false" ht="16.5" hidden="false" customHeight="true" outlineLevel="0" collapsed="false">
      <c r="A775" s="81" t="str">
        <f aca="false">IF($B775="","",ROW()-7)</f>
        <v/>
      </c>
      <c r="B775" s="82"/>
      <c r="C775" s="83" t="str">
        <f aca="false">IF($B775="","",YEAR($B775)*100+MONTH($B775))</f>
        <v/>
      </c>
      <c r="D775" s="84"/>
      <c r="E775" s="85"/>
      <c r="F775" s="85"/>
      <c r="G775" s="86"/>
      <c r="H775" s="87"/>
      <c r="I775" s="88"/>
      <c r="J775" s="89" t="str">
        <f aca="false">IF($B775="","",IF(N($H775)&lt;=0,"Montant ?",IF($D775="RECETTE",IF(COUNTIF(PARAMETRES!$E$5:$E$9,$E775)=0,"Catégorie ?","OK"),IF($D775="DEPENSE",IF(COUNTIF(PARAMETRES!$G$5:$G$20,$E775)=0,"Catégorie ?","OK"),"Type ?"))))</f>
        <v/>
      </c>
    </row>
    <row r="776" customFormat="false" ht="16.5" hidden="false" customHeight="true" outlineLevel="0" collapsed="false">
      <c r="A776" s="72" t="str">
        <f aca="false">IF($B776="","",ROW()-7)</f>
        <v/>
      </c>
      <c r="B776" s="73"/>
      <c r="C776" s="74" t="str">
        <f aca="false">IF($B776="","",YEAR($B776)*100+MONTH($B776))</f>
        <v/>
      </c>
      <c r="D776" s="75"/>
      <c r="E776" s="76"/>
      <c r="F776" s="76"/>
      <c r="G776" s="77"/>
      <c r="H776" s="78"/>
      <c r="I776" s="79"/>
      <c r="J776" s="80" t="str">
        <f aca="false">IF($B776="","",IF(N($H776)&lt;=0,"Montant ?",IF($D776="RECETTE",IF(COUNTIF(PARAMETRES!$E$5:$E$9,$E776)=0,"Catégorie ?","OK"),IF($D776="DEPENSE",IF(COUNTIF(PARAMETRES!$G$5:$G$20,$E776)=0,"Catégorie ?","OK"),"Type ?"))))</f>
        <v/>
      </c>
    </row>
    <row r="777" customFormat="false" ht="16.5" hidden="false" customHeight="true" outlineLevel="0" collapsed="false">
      <c r="A777" s="81" t="str">
        <f aca="false">IF($B777="","",ROW()-7)</f>
        <v/>
      </c>
      <c r="B777" s="82"/>
      <c r="C777" s="83" t="str">
        <f aca="false">IF($B777="","",YEAR($B777)*100+MONTH($B777))</f>
        <v/>
      </c>
      <c r="D777" s="84"/>
      <c r="E777" s="85"/>
      <c r="F777" s="85"/>
      <c r="G777" s="86"/>
      <c r="H777" s="87"/>
      <c r="I777" s="88"/>
      <c r="J777" s="89" t="str">
        <f aca="false">IF($B777="","",IF(N($H777)&lt;=0,"Montant ?",IF($D777="RECETTE",IF(COUNTIF(PARAMETRES!$E$5:$E$9,$E777)=0,"Catégorie ?","OK"),IF($D777="DEPENSE",IF(COUNTIF(PARAMETRES!$G$5:$G$20,$E777)=0,"Catégorie ?","OK"),"Type ?"))))</f>
        <v/>
      </c>
    </row>
    <row r="778" customFormat="false" ht="16.5" hidden="false" customHeight="true" outlineLevel="0" collapsed="false">
      <c r="A778" s="72" t="str">
        <f aca="false">IF($B778="","",ROW()-7)</f>
        <v/>
      </c>
      <c r="B778" s="73"/>
      <c r="C778" s="74" t="str">
        <f aca="false">IF($B778="","",YEAR($B778)*100+MONTH($B778))</f>
        <v/>
      </c>
      <c r="D778" s="75"/>
      <c r="E778" s="76"/>
      <c r="F778" s="76"/>
      <c r="G778" s="77"/>
      <c r="H778" s="78"/>
      <c r="I778" s="79"/>
      <c r="J778" s="80" t="str">
        <f aca="false">IF($B778="","",IF(N($H778)&lt;=0,"Montant ?",IF($D778="RECETTE",IF(COUNTIF(PARAMETRES!$E$5:$E$9,$E778)=0,"Catégorie ?","OK"),IF($D778="DEPENSE",IF(COUNTIF(PARAMETRES!$G$5:$G$20,$E778)=0,"Catégorie ?","OK"),"Type ?"))))</f>
        <v/>
      </c>
    </row>
    <row r="779" customFormat="false" ht="16.5" hidden="false" customHeight="true" outlineLevel="0" collapsed="false">
      <c r="A779" s="81" t="str">
        <f aca="false">IF($B779="","",ROW()-7)</f>
        <v/>
      </c>
      <c r="B779" s="82"/>
      <c r="C779" s="83" t="str">
        <f aca="false">IF($B779="","",YEAR($B779)*100+MONTH($B779))</f>
        <v/>
      </c>
      <c r="D779" s="84"/>
      <c r="E779" s="85"/>
      <c r="F779" s="85"/>
      <c r="G779" s="86"/>
      <c r="H779" s="87"/>
      <c r="I779" s="88"/>
      <c r="J779" s="89" t="str">
        <f aca="false">IF($B779="","",IF(N($H779)&lt;=0,"Montant ?",IF($D779="RECETTE",IF(COUNTIF(PARAMETRES!$E$5:$E$9,$E779)=0,"Catégorie ?","OK"),IF($D779="DEPENSE",IF(COUNTIF(PARAMETRES!$G$5:$G$20,$E779)=0,"Catégorie ?","OK"),"Type ?"))))</f>
        <v/>
      </c>
    </row>
    <row r="780" customFormat="false" ht="16.5" hidden="false" customHeight="true" outlineLevel="0" collapsed="false">
      <c r="A780" s="72" t="str">
        <f aca="false">IF($B780="","",ROW()-7)</f>
        <v/>
      </c>
      <c r="B780" s="73"/>
      <c r="C780" s="74" t="str">
        <f aca="false">IF($B780="","",YEAR($B780)*100+MONTH($B780))</f>
        <v/>
      </c>
      <c r="D780" s="75"/>
      <c r="E780" s="76"/>
      <c r="F780" s="76"/>
      <c r="G780" s="77"/>
      <c r="H780" s="78"/>
      <c r="I780" s="79"/>
      <c r="J780" s="80" t="str">
        <f aca="false">IF($B780="","",IF(N($H780)&lt;=0,"Montant ?",IF($D780="RECETTE",IF(COUNTIF(PARAMETRES!$E$5:$E$9,$E780)=0,"Catégorie ?","OK"),IF($D780="DEPENSE",IF(COUNTIF(PARAMETRES!$G$5:$G$20,$E780)=0,"Catégorie ?","OK"),"Type ?"))))</f>
        <v/>
      </c>
    </row>
    <row r="781" customFormat="false" ht="16.5" hidden="false" customHeight="true" outlineLevel="0" collapsed="false">
      <c r="A781" s="81" t="str">
        <f aca="false">IF($B781="","",ROW()-7)</f>
        <v/>
      </c>
      <c r="B781" s="82"/>
      <c r="C781" s="83" t="str">
        <f aca="false">IF($B781="","",YEAR($B781)*100+MONTH($B781))</f>
        <v/>
      </c>
      <c r="D781" s="84"/>
      <c r="E781" s="85"/>
      <c r="F781" s="85"/>
      <c r="G781" s="86"/>
      <c r="H781" s="87"/>
      <c r="I781" s="88"/>
      <c r="J781" s="89" t="str">
        <f aca="false">IF($B781="","",IF(N($H781)&lt;=0,"Montant ?",IF($D781="RECETTE",IF(COUNTIF(PARAMETRES!$E$5:$E$9,$E781)=0,"Catégorie ?","OK"),IF($D781="DEPENSE",IF(COUNTIF(PARAMETRES!$G$5:$G$20,$E781)=0,"Catégorie ?","OK"),"Type ?"))))</f>
        <v/>
      </c>
    </row>
    <row r="782" customFormat="false" ht="16.5" hidden="false" customHeight="true" outlineLevel="0" collapsed="false">
      <c r="A782" s="72" t="str">
        <f aca="false">IF($B782="","",ROW()-7)</f>
        <v/>
      </c>
      <c r="B782" s="73"/>
      <c r="C782" s="74" t="str">
        <f aca="false">IF($B782="","",YEAR($B782)*100+MONTH($B782))</f>
        <v/>
      </c>
      <c r="D782" s="75"/>
      <c r="E782" s="76"/>
      <c r="F782" s="76"/>
      <c r="G782" s="77"/>
      <c r="H782" s="78"/>
      <c r="I782" s="79"/>
      <c r="J782" s="80" t="str">
        <f aca="false">IF($B782="","",IF(N($H782)&lt;=0,"Montant ?",IF($D782="RECETTE",IF(COUNTIF(PARAMETRES!$E$5:$E$9,$E782)=0,"Catégorie ?","OK"),IF($D782="DEPENSE",IF(COUNTIF(PARAMETRES!$G$5:$G$20,$E782)=0,"Catégorie ?","OK"),"Type ?"))))</f>
        <v/>
      </c>
    </row>
    <row r="783" customFormat="false" ht="16.5" hidden="false" customHeight="true" outlineLevel="0" collapsed="false">
      <c r="A783" s="81" t="str">
        <f aca="false">IF($B783="","",ROW()-7)</f>
        <v/>
      </c>
      <c r="B783" s="82"/>
      <c r="C783" s="83" t="str">
        <f aca="false">IF($B783="","",YEAR($B783)*100+MONTH($B783))</f>
        <v/>
      </c>
      <c r="D783" s="84"/>
      <c r="E783" s="85"/>
      <c r="F783" s="85"/>
      <c r="G783" s="86"/>
      <c r="H783" s="87"/>
      <c r="I783" s="88"/>
      <c r="J783" s="89" t="str">
        <f aca="false">IF($B783="","",IF(N($H783)&lt;=0,"Montant ?",IF($D783="RECETTE",IF(COUNTIF(PARAMETRES!$E$5:$E$9,$E783)=0,"Catégorie ?","OK"),IF($D783="DEPENSE",IF(COUNTIF(PARAMETRES!$G$5:$G$20,$E783)=0,"Catégorie ?","OK"),"Type ?"))))</f>
        <v/>
      </c>
    </row>
    <row r="784" customFormat="false" ht="16.5" hidden="false" customHeight="true" outlineLevel="0" collapsed="false">
      <c r="A784" s="72" t="str">
        <f aca="false">IF($B784="","",ROW()-7)</f>
        <v/>
      </c>
      <c r="B784" s="73"/>
      <c r="C784" s="74" t="str">
        <f aca="false">IF($B784="","",YEAR($B784)*100+MONTH($B784))</f>
        <v/>
      </c>
      <c r="D784" s="75"/>
      <c r="E784" s="76"/>
      <c r="F784" s="76"/>
      <c r="G784" s="77"/>
      <c r="H784" s="78"/>
      <c r="I784" s="79"/>
      <c r="J784" s="80" t="str">
        <f aca="false">IF($B784="","",IF(N($H784)&lt;=0,"Montant ?",IF($D784="RECETTE",IF(COUNTIF(PARAMETRES!$E$5:$E$9,$E784)=0,"Catégorie ?","OK"),IF($D784="DEPENSE",IF(COUNTIF(PARAMETRES!$G$5:$G$20,$E784)=0,"Catégorie ?","OK"),"Type ?"))))</f>
        <v/>
      </c>
    </row>
    <row r="785" customFormat="false" ht="16.5" hidden="false" customHeight="true" outlineLevel="0" collapsed="false">
      <c r="A785" s="81" t="str">
        <f aca="false">IF($B785="","",ROW()-7)</f>
        <v/>
      </c>
      <c r="B785" s="82"/>
      <c r="C785" s="83" t="str">
        <f aca="false">IF($B785="","",YEAR($B785)*100+MONTH($B785))</f>
        <v/>
      </c>
      <c r="D785" s="84"/>
      <c r="E785" s="85"/>
      <c r="F785" s="85"/>
      <c r="G785" s="86"/>
      <c r="H785" s="87"/>
      <c r="I785" s="88"/>
      <c r="J785" s="89" t="str">
        <f aca="false">IF($B785="","",IF(N($H785)&lt;=0,"Montant ?",IF($D785="RECETTE",IF(COUNTIF(PARAMETRES!$E$5:$E$9,$E785)=0,"Catégorie ?","OK"),IF($D785="DEPENSE",IF(COUNTIF(PARAMETRES!$G$5:$G$20,$E785)=0,"Catégorie ?","OK"),"Type ?"))))</f>
        <v/>
      </c>
    </row>
    <row r="786" customFormat="false" ht="16.5" hidden="false" customHeight="true" outlineLevel="0" collapsed="false">
      <c r="A786" s="72" t="str">
        <f aca="false">IF($B786="","",ROW()-7)</f>
        <v/>
      </c>
      <c r="B786" s="73"/>
      <c r="C786" s="74" t="str">
        <f aca="false">IF($B786="","",YEAR($B786)*100+MONTH($B786))</f>
        <v/>
      </c>
      <c r="D786" s="75"/>
      <c r="E786" s="76"/>
      <c r="F786" s="76"/>
      <c r="G786" s="77"/>
      <c r="H786" s="78"/>
      <c r="I786" s="79"/>
      <c r="J786" s="80" t="str">
        <f aca="false">IF($B786="","",IF(N($H786)&lt;=0,"Montant ?",IF($D786="RECETTE",IF(COUNTIF(PARAMETRES!$E$5:$E$9,$E786)=0,"Catégorie ?","OK"),IF($D786="DEPENSE",IF(COUNTIF(PARAMETRES!$G$5:$G$20,$E786)=0,"Catégorie ?","OK"),"Type ?"))))</f>
        <v/>
      </c>
    </row>
    <row r="787" customFormat="false" ht="16.5" hidden="false" customHeight="true" outlineLevel="0" collapsed="false">
      <c r="A787" s="81" t="str">
        <f aca="false">IF($B787="","",ROW()-7)</f>
        <v/>
      </c>
      <c r="B787" s="82"/>
      <c r="C787" s="83" t="str">
        <f aca="false">IF($B787="","",YEAR($B787)*100+MONTH($B787))</f>
        <v/>
      </c>
      <c r="D787" s="84"/>
      <c r="E787" s="85"/>
      <c r="F787" s="85"/>
      <c r="G787" s="86"/>
      <c r="H787" s="87"/>
      <c r="I787" s="88"/>
      <c r="J787" s="89" t="str">
        <f aca="false">IF($B787="","",IF(N($H787)&lt;=0,"Montant ?",IF($D787="RECETTE",IF(COUNTIF(PARAMETRES!$E$5:$E$9,$E787)=0,"Catégorie ?","OK"),IF($D787="DEPENSE",IF(COUNTIF(PARAMETRES!$G$5:$G$20,$E787)=0,"Catégorie ?","OK"),"Type ?"))))</f>
        <v/>
      </c>
    </row>
    <row r="788" customFormat="false" ht="16.5" hidden="false" customHeight="true" outlineLevel="0" collapsed="false">
      <c r="A788" s="72" t="str">
        <f aca="false">IF($B788="","",ROW()-7)</f>
        <v/>
      </c>
      <c r="B788" s="73"/>
      <c r="C788" s="74" t="str">
        <f aca="false">IF($B788="","",YEAR($B788)*100+MONTH($B788))</f>
        <v/>
      </c>
      <c r="D788" s="75"/>
      <c r="E788" s="76"/>
      <c r="F788" s="76"/>
      <c r="G788" s="77"/>
      <c r="H788" s="78"/>
      <c r="I788" s="79"/>
      <c r="J788" s="80" t="str">
        <f aca="false">IF($B788="","",IF(N($H788)&lt;=0,"Montant ?",IF($D788="RECETTE",IF(COUNTIF(PARAMETRES!$E$5:$E$9,$E788)=0,"Catégorie ?","OK"),IF($D788="DEPENSE",IF(COUNTIF(PARAMETRES!$G$5:$G$20,$E788)=0,"Catégorie ?","OK"),"Type ?"))))</f>
        <v/>
      </c>
    </row>
    <row r="789" customFormat="false" ht="16.5" hidden="false" customHeight="true" outlineLevel="0" collapsed="false">
      <c r="A789" s="81" t="str">
        <f aca="false">IF($B789="","",ROW()-7)</f>
        <v/>
      </c>
      <c r="B789" s="82"/>
      <c r="C789" s="83" t="str">
        <f aca="false">IF($B789="","",YEAR($B789)*100+MONTH($B789))</f>
        <v/>
      </c>
      <c r="D789" s="84"/>
      <c r="E789" s="85"/>
      <c r="F789" s="85"/>
      <c r="G789" s="86"/>
      <c r="H789" s="87"/>
      <c r="I789" s="88"/>
      <c r="J789" s="89" t="str">
        <f aca="false">IF($B789="","",IF(N($H789)&lt;=0,"Montant ?",IF($D789="RECETTE",IF(COUNTIF(PARAMETRES!$E$5:$E$9,$E789)=0,"Catégorie ?","OK"),IF($D789="DEPENSE",IF(COUNTIF(PARAMETRES!$G$5:$G$20,$E789)=0,"Catégorie ?","OK"),"Type ?"))))</f>
        <v/>
      </c>
    </row>
    <row r="790" customFormat="false" ht="16.5" hidden="false" customHeight="true" outlineLevel="0" collapsed="false">
      <c r="A790" s="72" t="str">
        <f aca="false">IF($B790="","",ROW()-7)</f>
        <v/>
      </c>
      <c r="B790" s="73"/>
      <c r="C790" s="74" t="str">
        <f aca="false">IF($B790="","",YEAR($B790)*100+MONTH($B790))</f>
        <v/>
      </c>
      <c r="D790" s="75"/>
      <c r="E790" s="76"/>
      <c r="F790" s="76"/>
      <c r="G790" s="77"/>
      <c r="H790" s="78"/>
      <c r="I790" s="79"/>
      <c r="J790" s="80" t="str">
        <f aca="false">IF($B790="","",IF(N($H790)&lt;=0,"Montant ?",IF($D790="RECETTE",IF(COUNTIF(PARAMETRES!$E$5:$E$9,$E790)=0,"Catégorie ?","OK"),IF($D790="DEPENSE",IF(COUNTIF(PARAMETRES!$G$5:$G$20,$E790)=0,"Catégorie ?","OK"),"Type ?"))))</f>
        <v/>
      </c>
    </row>
    <row r="791" customFormat="false" ht="16.5" hidden="false" customHeight="true" outlineLevel="0" collapsed="false">
      <c r="A791" s="81" t="str">
        <f aca="false">IF($B791="","",ROW()-7)</f>
        <v/>
      </c>
      <c r="B791" s="82"/>
      <c r="C791" s="83" t="str">
        <f aca="false">IF($B791="","",YEAR($B791)*100+MONTH($B791))</f>
        <v/>
      </c>
      <c r="D791" s="84"/>
      <c r="E791" s="85"/>
      <c r="F791" s="85"/>
      <c r="G791" s="86"/>
      <c r="H791" s="87"/>
      <c r="I791" s="88"/>
      <c r="J791" s="89" t="str">
        <f aca="false">IF($B791="","",IF(N($H791)&lt;=0,"Montant ?",IF($D791="RECETTE",IF(COUNTIF(PARAMETRES!$E$5:$E$9,$E791)=0,"Catégorie ?","OK"),IF($D791="DEPENSE",IF(COUNTIF(PARAMETRES!$G$5:$G$20,$E791)=0,"Catégorie ?","OK"),"Type ?"))))</f>
        <v/>
      </c>
    </row>
    <row r="792" customFormat="false" ht="16.5" hidden="false" customHeight="true" outlineLevel="0" collapsed="false">
      <c r="A792" s="72" t="str">
        <f aca="false">IF($B792="","",ROW()-7)</f>
        <v/>
      </c>
      <c r="B792" s="73"/>
      <c r="C792" s="74" t="str">
        <f aca="false">IF($B792="","",YEAR($B792)*100+MONTH($B792))</f>
        <v/>
      </c>
      <c r="D792" s="75"/>
      <c r="E792" s="76"/>
      <c r="F792" s="76"/>
      <c r="G792" s="77"/>
      <c r="H792" s="78"/>
      <c r="I792" s="79"/>
      <c r="J792" s="80" t="str">
        <f aca="false">IF($B792="","",IF(N($H792)&lt;=0,"Montant ?",IF($D792="RECETTE",IF(COUNTIF(PARAMETRES!$E$5:$E$9,$E792)=0,"Catégorie ?","OK"),IF($D792="DEPENSE",IF(COUNTIF(PARAMETRES!$G$5:$G$20,$E792)=0,"Catégorie ?","OK"),"Type ?"))))</f>
        <v/>
      </c>
    </row>
    <row r="793" customFormat="false" ht="16.5" hidden="false" customHeight="true" outlineLevel="0" collapsed="false">
      <c r="A793" s="81" t="str">
        <f aca="false">IF($B793="","",ROW()-7)</f>
        <v/>
      </c>
      <c r="B793" s="82"/>
      <c r="C793" s="83" t="str">
        <f aca="false">IF($B793="","",YEAR($B793)*100+MONTH($B793))</f>
        <v/>
      </c>
      <c r="D793" s="84"/>
      <c r="E793" s="85"/>
      <c r="F793" s="85"/>
      <c r="G793" s="86"/>
      <c r="H793" s="87"/>
      <c r="I793" s="88"/>
      <c r="J793" s="89" t="str">
        <f aca="false">IF($B793="","",IF(N($H793)&lt;=0,"Montant ?",IF($D793="RECETTE",IF(COUNTIF(PARAMETRES!$E$5:$E$9,$E793)=0,"Catégorie ?","OK"),IF($D793="DEPENSE",IF(COUNTIF(PARAMETRES!$G$5:$G$20,$E793)=0,"Catégorie ?","OK"),"Type ?"))))</f>
        <v/>
      </c>
    </row>
    <row r="794" customFormat="false" ht="16.5" hidden="false" customHeight="true" outlineLevel="0" collapsed="false">
      <c r="A794" s="72" t="str">
        <f aca="false">IF($B794="","",ROW()-7)</f>
        <v/>
      </c>
      <c r="B794" s="73"/>
      <c r="C794" s="74" t="str">
        <f aca="false">IF($B794="","",YEAR($B794)*100+MONTH($B794))</f>
        <v/>
      </c>
      <c r="D794" s="75"/>
      <c r="E794" s="76"/>
      <c r="F794" s="76"/>
      <c r="G794" s="77"/>
      <c r="H794" s="78"/>
      <c r="I794" s="79"/>
      <c r="J794" s="80" t="str">
        <f aca="false">IF($B794="","",IF(N($H794)&lt;=0,"Montant ?",IF($D794="RECETTE",IF(COUNTIF(PARAMETRES!$E$5:$E$9,$E794)=0,"Catégorie ?","OK"),IF($D794="DEPENSE",IF(COUNTIF(PARAMETRES!$G$5:$G$20,$E794)=0,"Catégorie ?","OK"),"Type ?"))))</f>
        <v/>
      </c>
    </row>
    <row r="795" customFormat="false" ht="16.5" hidden="false" customHeight="true" outlineLevel="0" collapsed="false">
      <c r="A795" s="81" t="str">
        <f aca="false">IF($B795="","",ROW()-7)</f>
        <v/>
      </c>
      <c r="B795" s="82"/>
      <c r="C795" s="83" t="str">
        <f aca="false">IF($B795="","",YEAR($B795)*100+MONTH($B795))</f>
        <v/>
      </c>
      <c r="D795" s="84"/>
      <c r="E795" s="85"/>
      <c r="F795" s="85"/>
      <c r="G795" s="86"/>
      <c r="H795" s="87"/>
      <c r="I795" s="88"/>
      <c r="J795" s="89" t="str">
        <f aca="false">IF($B795="","",IF(N($H795)&lt;=0,"Montant ?",IF($D795="RECETTE",IF(COUNTIF(PARAMETRES!$E$5:$E$9,$E795)=0,"Catégorie ?","OK"),IF($D795="DEPENSE",IF(COUNTIF(PARAMETRES!$G$5:$G$20,$E795)=0,"Catégorie ?","OK"),"Type ?"))))</f>
        <v/>
      </c>
    </row>
    <row r="796" customFormat="false" ht="16.5" hidden="false" customHeight="true" outlineLevel="0" collapsed="false">
      <c r="A796" s="72" t="str">
        <f aca="false">IF($B796="","",ROW()-7)</f>
        <v/>
      </c>
      <c r="B796" s="73"/>
      <c r="C796" s="74" t="str">
        <f aca="false">IF($B796="","",YEAR($B796)*100+MONTH($B796))</f>
        <v/>
      </c>
      <c r="D796" s="75"/>
      <c r="E796" s="76"/>
      <c r="F796" s="76"/>
      <c r="G796" s="77"/>
      <c r="H796" s="78"/>
      <c r="I796" s="79"/>
      <c r="J796" s="80" t="str">
        <f aca="false">IF($B796="","",IF(N($H796)&lt;=0,"Montant ?",IF($D796="RECETTE",IF(COUNTIF(PARAMETRES!$E$5:$E$9,$E796)=0,"Catégorie ?","OK"),IF($D796="DEPENSE",IF(COUNTIF(PARAMETRES!$G$5:$G$20,$E796)=0,"Catégorie ?","OK"),"Type ?"))))</f>
        <v/>
      </c>
    </row>
    <row r="797" customFormat="false" ht="16.5" hidden="false" customHeight="true" outlineLevel="0" collapsed="false">
      <c r="A797" s="81" t="str">
        <f aca="false">IF($B797="","",ROW()-7)</f>
        <v/>
      </c>
      <c r="B797" s="82"/>
      <c r="C797" s="83" t="str">
        <f aca="false">IF($B797="","",YEAR($B797)*100+MONTH($B797))</f>
        <v/>
      </c>
      <c r="D797" s="84"/>
      <c r="E797" s="85"/>
      <c r="F797" s="85"/>
      <c r="G797" s="86"/>
      <c r="H797" s="87"/>
      <c r="I797" s="88"/>
      <c r="J797" s="89" t="str">
        <f aca="false">IF($B797="","",IF(N($H797)&lt;=0,"Montant ?",IF($D797="RECETTE",IF(COUNTIF(PARAMETRES!$E$5:$E$9,$E797)=0,"Catégorie ?","OK"),IF($D797="DEPENSE",IF(COUNTIF(PARAMETRES!$G$5:$G$20,$E797)=0,"Catégorie ?","OK"),"Type ?"))))</f>
        <v/>
      </c>
    </row>
    <row r="798" customFormat="false" ht="16.5" hidden="false" customHeight="true" outlineLevel="0" collapsed="false">
      <c r="A798" s="72" t="str">
        <f aca="false">IF($B798="","",ROW()-7)</f>
        <v/>
      </c>
      <c r="B798" s="73"/>
      <c r="C798" s="74" t="str">
        <f aca="false">IF($B798="","",YEAR($B798)*100+MONTH($B798))</f>
        <v/>
      </c>
      <c r="D798" s="75"/>
      <c r="E798" s="76"/>
      <c r="F798" s="76"/>
      <c r="G798" s="77"/>
      <c r="H798" s="78"/>
      <c r="I798" s="79"/>
      <c r="J798" s="80" t="str">
        <f aca="false">IF($B798="","",IF(N($H798)&lt;=0,"Montant ?",IF($D798="RECETTE",IF(COUNTIF(PARAMETRES!$E$5:$E$9,$E798)=0,"Catégorie ?","OK"),IF($D798="DEPENSE",IF(COUNTIF(PARAMETRES!$G$5:$G$20,$E798)=0,"Catégorie ?","OK"),"Type ?"))))</f>
        <v/>
      </c>
    </row>
    <row r="799" customFormat="false" ht="16.5" hidden="false" customHeight="true" outlineLevel="0" collapsed="false">
      <c r="A799" s="81" t="str">
        <f aca="false">IF($B799="","",ROW()-7)</f>
        <v/>
      </c>
      <c r="B799" s="82"/>
      <c r="C799" s="83" t="str">
        <f aca="false">IF($B799="","",YEAR($B799)*100+MONTH($B799))</f>
        <v/>
      </c>
      <c r="D799" s="84"/>
      <c r="E799" s="85"/>
      <c r="F799" s="85"/>
      <c r="G799" s="86"/>
      <c r="H799" s="87"/>
      <c r="I799" s="88"/>
      <c r="J799" s="89" t="str">
        <f aca="false">IF($B799="","",IF(N($H799)&lt;=0,"Montant ?",IF($D799="RECETTE",IF(COUNTIF(PARAMETRES!$E$5:$E$9,$E799)=0,"Catégorie ?","OK"),IF($D799="DEPENSE",IF(COUNTIF(PARAMETRES!$G$5:$G$20,$E799)=0,"Catégorie ?","OK"),"Type ?"))))</f>
        <v/>
      </c>
    </row>
    <row r="800" customFormat="false" ht="16.5" hidden="false" customHeight="true" outlineLevel="0" collapsed="false">
      <c r="A800" s="72" t="str">
        <f aca="false">IF($B800="","",ROW()-7)</f>
        <v/>
      </c>
      <c r="B800" s="73"/>
      <c r="C800" s="74" t="str">
        <f aca="false">IF($B800="","",YEAR($B800)*100+MONTH($B800))</f>
        <v/>
      </c>
      <c r="D800" s="75"/>
      <c r="E800" s="76"/>
      <c r="F800" s="76"/>
      <c r="G800" s="77"/>
      <c r="H800" s="78"/>
      <c r="I800" s="79"/>
      <c r="J800" s="80" t="str">
        <f aca="false">IF($B800="","",IF(N($H800)&lt;=0,"Montant ?",IF($D800="RECETTE",IF(COUNTIF(PARAMETRES!$E$5:$E$9,$E800)=0,"Catégorie ?","OK"),IF($D800="DEPENSE",IF(COUNTIF(PARAMETRES!$G$5:$G$20,$E800)=0,"Catégorie ?","OK"),"Type ?"))))</f>
        <v/>
      </c>
    </row>
    <row r="801" customFormat="false" ht="16.5" hidden="false" customHeight="true" outlineLevel="0" collapsed="false">
      <c r="A801" s="81" t="str">
        <f aca="false">IF($B801="","",ROW()-7)</f>
        <v/>
      </c>
      <c r="B801" s="82"/>
      <c r="C801" s="83" t="str">
        <f aca="false">IF($B801="","",YEAR($B801)*100+MONTH($B801))</f>
        <v/>
      </c>
      <c r="D801" s="84"/>
      <c r="E801" s="85"/>
      <c r="F801" s="85"/>
      <c r="G801" s="86"/>
      <c r="H801" s="87"/>
      <c r="I801" s="88"/>
      <c r="J801" s="89" t="str">
        <f aca="false">IF($B801="","",IF(N($H801)&lt;=0,"Montant ?",IF($D801="RECETTE",IF(COUNTIF(PARAMETRES!$E$5:$E$9,$E801)=0,"Catégorie ?","OK"),IF($D801="DEPENSE",IF(COUNTIF(PARAMETRES!$G$5:$G$20,$E801)=0,"Catégorie ?","OK"),"Type ?"))))</f>
        <v/>
      </c>
    </row>
    <row r="802" customFormat="false" ht="16.5" hidden="false" customHeight="true" outlineLevel="0" collapsed="false">
      <c r="A802" s="72" t="str">
        <f aca="false">IF($B802="","",ROW()-7)</f>
        <v/>
      </c>
      <c r="B802" s="73"/>
      <c r="C802" s="74" t="str">
        <f aca="false">IF($B802="","",YEAR($B802)*100+MONTH($B802))</f>
        <v/>
      </c>
      <c r="D802" s="75"/>
      <c r="E802" s="76"/>
      <c r="F802" s="76"/>
      <c r="G802" s="77"/>
      <c r="H802" s="78"/>
      <c r="I802" s="79"/>
      <c r="J802" s="80" t="str">
        <f aca="false">IF($B802="","",IF(N($H802)&lt;=0,"Montant ?",IF($D802="RECETTE",IF(COUNTIF(PARAMETRES!$E$5:$E$9,$E802)=0,"Catégorie ?","OK"),IF($D802="DEPENSE",IF(COUNTIF(PARAMETRES!$G$5:$G$20,$E802)=0,"Catégorie ?","OK"),"Type ?"))))</f>
        <v/>
      </c>
    </row>
    <row r="803" customFormat="false" ht="16.5" hidden="false" customHeight="true" outlineLevel="0" collapsed="false">
      <c r="A803" s="81" t="str">
        <f aca="false">IF($B803="","",ROW()-7)</f>
        <v/>
      </c>
      <c r="B803" s="82"/>
      <c r="C803" s="83" t="str">
        <f aca="false">IF($B803="","",YEAR($B803)*100+MONTH($B803))</f>
        <v/>
      </c>
      <c r="D803" s="84"/>
      <c r="E803" s="85"/>
      <c r="F803" s="85"/>
      <c r="G803" s="86"/>
      <c r="H803" s="87"/>
      <c r="I803" s="88"/>
      <c r="J803" s="89" t="str">
        <f aca="false">IF($B803="","",IF(N($H803)&lt;=0,"Montant ?",IF($D803="RECETTE",IF(COUNTIF(PARAMETRES!$E$5:$E$9,$E803)=0,"Catégorie ?","OK"),IF($D803="DEPENSE",IF(COUNTIF(PARAMETRES!$G$5:$G$20,$E803)=0,"Catégorie ?","OK"),"Type ?"))))</f>
        <v/>
      </c>
    </row>
    <row r="804" customFormat="false" ht="16.5" hidden="false" customHeight="true" outlineLevel="0" collapsed="false">
      <c r="A804" s="72" t="str">
        <f aca="false">IF($B804="","",ROW()-7)</f>
        <v/>
      </c>
      <c r="B804" s="73"/>
      <c r="C804" s="74" t="str">
        <f aca="false">IF($B804="","",YEAR($B804)*100+MONTH($B804))</f>
        <v/>
      </c>
      <c r="D804" s="75"/>
      <c r="E804" s="76"/>
      <c r="F804" s="76"/>
      <c r="G804" s="77"/>
      <c r="H804" s="78"/>
      <c r="I804" s="79"/>
      <c r="J804" s="80" t="str">
        <f aca="false">IF($B804="","",IF(N($H804)&lt;=0,"Montant ?",IF($D804="RECETTE",IF(COUNTIF(PARAMETRES!$E$5:$E$9,$E804)=0,"Catégorie ?","OK"),IF($D804="DEPENSE",IF(COUNTIF(PARAMETRES!$G$5:$G$20,$E804)=0,"Catégorie ?","OK"),"Type ?"))))</f>
        <v/>
      </c>
    </row>
    <row r="805" customFormat="false" ht="16.5" hidden="false" customHeight="true" outlineLevel="0" collapsed="false">
      <c r="A805" s="81" t="str">
        <f aca="false">IF($B805="","",ROW()-7)</f>
        <v/>
      </c>
      <c r="B805" s="82"/>
      <c r="C805" s="83" t="str">
        <f aca="false">IF($B805="","",YEAR($B805)*100+MONTH($B805))</f>
        <v/>
      </c>
      <c r="D805" s="84"/>
      <c r="E805" s="85"/>
      <c r="F805" s="85"/>
      <c r="G805" s="86"/>
      <c r="H805" s="87"/>
      <c r="I805" s="88"/>
      <c r="J805" s="89" t="str">
        <f aca="false">IF($B805="","",IF(N($H805)&lt;=0,"Montant ?",IF($D805="RECETTE",IF(COUNTIF(PARAMETRES!$E$5:$E$9,$E805)=0,"Catégorie ?","OK"),IF($D805="DEPENSE",IF(COUNTIF(PARAMETRES!$G$5:$G$20,$E805)=0,"Catégorie ?","OK"),"Type ?"))))</f>
        <v/>
      </c>
    </row>
    <row r="806" customFormat="false" ht="16.5" hidden="false" customHeight="true" outlineLevel="0" collapsed="false">
      <c r="A806" s="72" t="str">
        <f aca="false">IF($B806="","",ROW()-7)</f>
        <v/>
      </c>
      <c r="B806" s="73"/>
      <c r="C806" s="74" t="str">
        <f aca="false">IF($B806="","",YEAR($B806)*100+MONTH($B806))</f>
        <v/>
      </c>
      <c r="D806" s="75"/>
      <c r="E806" s="76"/>
      <c r="F806" s="76"/>
      <c r="G806" s="77"/>
      <c r="H806" s="78"/>
      <c r="I806" s="79"/>
      <c r="J806" s="80" t="str">
        <f aca="false">IF($B806="","",IF(N($H806)&lt;=0,"Montant ?",IF($D806="RECETTE",IF(COUNTIF(PARAMETRES!$E$5:$E$9,$E806)=0,"Catégorie ?","OK"),IF($D806="DEPENSE",IF(COUNTIF(PARAMETRES!$G$5:$G$20,$E806)=0,"Catégorie ?","OK"),"Type ?"))))</f>
        <v/>
      </c>
    </row>
    <row r="807" customFormat="false" ht="16.5" hidden="false" customHeight="true" outlineLevel="0" collapsed="false">
      <c r="A807" s="81" t="str">
        <f aca="false">IF($B807="","",ROW()-7)</f>
        <v/>
      </c>
      <c r="B807" s="82"/>
      <c r="C807" s="83" t="str">
        <f aca="false">IF($B807="","",YEAR($B807)*100+MONTH($B807))</f>
        <v/>
      </c>
      <c r="D807" s="84"/>
      <c r="E807" s="85"/>
      <c r="F807" s="85"/>
      <c r="G807" s="86"/>
      <c r="H807" s="87"/>
      <c r="I807" s="88"/>
      <c r="J807" s="89" t="str">
        <f aca="false">IF($B807="","",IF(N($H807)&lt;=0,"Montant ?",IF($D807="RECETTE",IF(COUNTIF(PARAMETRES!$E$5:$E$9,$E807)=0,"Catégorie ?","OK"),IF($D807="DEPENSE",IF(COUNTIF(PARAMETRES!$G$5:$G$20,$E807)=0,"Catégorie ?","OK"),"Type ?"))))</f>
        <v/>
      </c>
    </row>
    <row r="808" customFormat="false" ht="16.5" hidden="false" customHeight="true" outlineLevel="0" collapsed="false">
      <c r="A808" s="72" t="str">
        <f aca="false">IF($B808="","",ROW()-7)</f>
        <v/>
      </c>
      <c r="B808" s="73"/>
      <c r="C808" s="74" t="str">
        <f aca="false">IF($B808="","",YEAR($B808)*100+MONTH($B808))</f>
        <v/>
      </c>
      <c r="D808" s="75"/>
      <c r="E808" s="76"/>
      <c r="F808" s="76"/>
      <c r="G808" s="77"/>
      <c r="H808" s="78"/>
      <c r="I808" s="79"/>
      <c r="J808" s="80" t="str">
        <f aca="false">IF($B808="","",IF(N($H808)&lt;=0,"Montant ?",IF($D808="RECETTE",IF(COUNTIF(PARAMETRES!$E$5:$E$9,$E808)=0,"Catégorie ?","OK"),IF($D808="DEPENSE",IF(COUNTIF(PARAMETRES!$G$5:$G$20,$E808)=0,"Catégorie ?","OK"),"Type ?"))))</f>
        <v/>
      </c>
    </row>
    <row r="809" customFormat="false" ht="16.5" hidden="false" customHeight="true" outlineLevel="0" collapsed="false">
      <c r="A809" s="81" t="str">
        <f aca="false">IF($B809="","",ROW()-7)</f>
        <v/>
      </c>
      <c r="B809" s="82"/>
      <c r="C809" s="83" t="str">
        <f aca="false">IF($B809="","",YEAR($B809)*100+MONTH($B809))</f>
        <v/>
      </c>
      <c r="D809" s="84"/>
      <c r="E809" s="85"/>
      <c r="F809" s="85"/>
      <c r="G809" s="86"/>
      <c r="H809" s="87"/>
      <c r="I809" s="88"/>
      <c r="J809" s="89" t="str">
        <f aca="false">IF($B809="","",IF(N($H809)&lt;=0,"Montant ?",IF($D809="RECETTE",IF(COUNTIF(PARAMETRES!$E$5:$E$9,$E809)=0,"Catégorie ?","OK"),IF($D809="DEPENSE",IF(COUNTIF(PARAMETRES!$G$5:$G$20,$E809)=0,"Catégorie ?","OK"),"Type ?"))))</f>
        <v/>
      </c>
    </row>
    <row r="810" customFormat="false" ht="16.5" hidden="false" customHeight="true" outlineLevel="0" collapsed="false">
      <c r="A810" s="72" t="str">
        <f aca="false">IF($B810="","",ROW()-7)</f>
        <v/>
      </c>
      <c r="B810" s="73"/>
      <c r="C810" s="74" t="str">
        <f aca="false">IF($B810="","",YEAR($B810)*100+MONTH($B810))</f>
        <v/>
      </c>
      <c r="D810" s="75"/>
      <c r="E810" s="76"/>
      <c r="F810" s="76"/>
      <c r="G810" s="77"/>
      <c r="H810" s="78"/>
      <c r="I810" s="79"/>
      <c r="J810" s="80" t="str">
        <f aca="false">IF($B810="","",IF(N($H810)&lt;=0,"Montant ?",IF($D810="RECETTE",IF(COUNTIF(PARAMETRES!$E$5:$E$9,$E810)=0,"Catégorie ?","OK"),IF($D810="DEPENSE",IF(COUNTIF(PARAMETRES!$G$5:$G$20,$E810)=0,"Catégorie ?","OK"),"Type ?"))))</f>
        <v/>
      </c>
    </row>
    <row r="811" customFormat="false" ht="16.5" hidden="false" customHeight="true" outlineLevel="0" collapsed="false">
      <c r="A811" s="81" t="str">
        <f aca="false">IF($B811="","",ROW()-7)</f>
        <v/>
      </c>
      <c r="B811" s="82"/>
      <c r="C811" s="83" t="str">
        <f aca="false">IF($B811="","",YEAR($B811)*100+MONTH($B811))</f>
        <v/>
      </c>
      <c r="D811" s="84"/>
      <c r="E811" s="85"/>
      <c r="F811" s="85"/>
      <c r="G811" s="86"/>
      <c r="H811" s="87"/>
      <c r="I811" s="88"/>
      <c r="J811" s="89" t="str">
        <f aca="false">IF($B811="","",IF(N($H811)&lt;=0,"Montant ?",IF($D811="RECETTE",IF(COUNTIF(PARAMETRES!$E$5:$E$9,$E811)=0,"Catégorie ?","OK"),IF($D811="DEPENSE",IF(COUNTIF(PARAMETRES!$G$5:$G$20,$E811)=0,"Catégorie ?","OK"),"Type ?"))))</f>
        <v/>
      </c>
    </row>
    <row r="812" customFormat="false" ht="16.5" hidden="false" customHeight="true" outlineLevel="0" collapsed="false">
      <c r="A812" s="72" t="str">
        <f aca="false">IF($B812="","",ROW()-7)</f>
        <v/>
      </c>
      <c r="B812" s="73"/>
      <c r="C812" s="74" t="str">
        <f aca="false">IF($B812="","",YEAR($B812)*100+MONTH($B812))</f>
        <v/>
      </c>
      <c r="D812" s="75"/>
      <c r="E812" s="76"/>
      <c r="F812" s="76"/>
      <c r="G812" s="77"/>
      <c r="H812" s="78"/>
      <c r="I812" s="79"/>
      <c r="J812" s="80" t="str">
        <f aca="false">IF($B812="","",IF(N($H812)&lt;=0,"Montant ?",IF($D812="RECETTE",IF(COUNTIF(PARAMETRES!$E$5:$E$9,$E812)=0,"Catégorie ?","OK"),IF($D812="DEPENSE",IF(COUNTIF(PARAMETRES!$G$5:$G$20,$E812)=0,"Catégorie ?","OK"),"Type ?"))))</f>
        <v/>
      </c>
    </row>
    <row r="813" customFormat="false" ht="16.5" hidden="false" customHeight="true" outlineLevel="0" collapsed="false">
      <c r="A813" s="81" t="str">
        <f aca="false">IF($B813="","",ROW()-7)</f>
        <v/>
      </c>
      <c r="B813" s="82"/>
      <c r="C813" s="83" t="str">
        <f aca="false">IF($B813="","",YEAR($B813)*100+MONTH($B813))</f>
        <v/>
      </c>
      <c r="D813" s="84"/>
      <c r="E813" s="85"/>
      <c r="F813" s="85"/>
      <c r="G813" s="86"/>
      <c r="H813" s="87"/>
      <c r="I813" s="88"/>
      <c r="J813" s="89" t="str">
        <f aca="false">IF($B813="","",IF(N($H813)&lt;=0,"Montant ?",IF($D813="RECETTE",IF(COUNTIF(PARAMETRES!$E$5:$E$9,$E813)=0,"Catégorie ?","OK"),IF($D813="DEPENSE",IF(COUNTIF(PARAMETRES!$G$5:$G$20,$E813)=0,"Catégorie ?","OK"),"Type ?"))))</f>
        <v/>
      </c>
    </row>
    <row r="814" customFormat="false" ht="16.5" hidden="false" customHeight="true" outlineLevel="0" collapsed="false">
      <c r="A814" s="72" t="str">
        <f aca="false">IF($B814="","",ROW()-7)</f>
        <v/>
      </c>
      <c r="B814" s="73"/>
      <c r="C814" s="74" t="str">
        <f aca="false">IF($B814="","",YEAR($B814)*100+MONTH($B814))</f>
        <v/>
      </c>
      <c r="D814" s="75"/>
      <c r="E814" s="76"/>
      <c r="F814" s="76"/>
      <c r="G814" s="77"/>
      <c r="H814" s="78"/>
      <c r="I814" s="79"/>
      <c r="J814" s="80" t="str">
        <f aca="false">IF($B814="","",IF(N($H814)&lt;=0,"Montant ?",IF($D814="RECETTE",IF(COUNTIF(PARAMETRES!$E$5:$E$9,$E814)=0,"Catégorie ?","OK"),IF($D814="DEPENSE",IF(COUNTIF(PARAMETRES!$G$5:$G$20,$E814)=0,"Catégorie ?","OK"),"Type ?"))))</f>
        <v/>
      </c>
    </row>
    <row r="815" customFormat="false" ht="16.5" hidden="false" customHeight="true" outlineLevel="0" collapsed="false">
      <c r="A815" s="81" t="str">
        <f aca="false">IF($B815="","",ROW()-7)</f>
        <v/>
      </c>
      <c r="B815" s="82"/>
      <c r="C815" s="83" t="str">
        <f aca="false">IF($B815="","",YEAR($B815)*100+MONTH($B815))</f>
        <v/>
      </c>
      <c r="D815" s="84"/>
      <c r="E815" s="85"/>
      <c r="F815" s="85"/>
      <c r="G815" s="86"/>
      <c r="H815" s="87"/>
      <c r="I815" s="88"/>
      <c r="J815" s="89" t="str">
        <f aca="false">IF($B815="","",IF(N($H815)&lt;=0,"Montant ?",IF($D815="RECETTE",IF(COUNTIF(PARAMETRES!$E$5:$E$9,$E815)=0,"Catégorie ?","OK"),IF($D815="DEPENSE",IF(COUNTIF(PARAMETRES!$G$5:$G$20,$E815)=0,"Catégorie ?","OK"),"Type ?"))))</f>
        <v/>
      </c>
    </row>
    <row r="816" customFormat="false" ht="16.5" hidden="false" customHeight="true" outlineLevel="0" collapsed="false">
      <c r="A816" s="72" t="str">
        <f aca="false">IF($B816="","",ROW()-7)</f>
        <v/>
      </c>
      <c r="B816" s="73"/>
      <c r="C816" s="74" t="str">
        <f aca="false">IF($B816="","",YEAR($B816)*100+MONTH($B816))</f>
        <v/>
      </c>
      <c r="D816" s="75"/>
      <c r="E816" s="76"/>
      <c r="F816" s="76"/>
      <c r="G816" s="77"/>
      <c r="H816" s="78"/>
      <c r="I816" s="79"/>
      <c r="J816" s="80" t="str">
        <f aca="false">IF($B816="","",IF(N($H816)&lt;=0,"Montant ?",IF($D816="RECETTE",IF(COUNTIF(PARAMETRES!$E$5:$E$9,$E816)=0,"Catégorie ?","OK"),IF($D816="DEPENSE",IF(COUNTIF(PARAMETRES!$G$5:$G$20,$E816)=0,"Catégorie ?","OK"),"Type ?"))))</f>
        <v/>
      </c>
    </row>
    <row r="817" customFormat="false" ht="16.5" hidden="false" customHeight="true" outlineLevel="0" collapsed="false">
      <c r="A817" s="81" t="str">
        <f aca="false">IF($B817="","",ROW()-7)</f>
        <v/>
      </c>
      <c r="B817" s="82"/>
      <c r="C817" s="83" t="str">
        <f aca="false">IF($B817="","",YEAR($B817)*100+MONTH($B817))</f>
        <v/>
      </c>
      <c r="D817" s="84"/>
      <c r="E817" s="85"/>
      <c r="F817" s="85"/>
      <c r="G817" s="86"/>
      <c r="H817" s="87"/>
      <c r="I817" s="88"/>
      <c r="J817" s="89" t="str">
        <f aca="false">IF($B817="","",IF(N($H817)&lt;=0,"Montant ?",IF($D817="RECETTE",IF(COUNTIF(PARAMETRES!$E$5:$E$9,$E817)=0,"Catégorie ?","OK"),IF($D817="DEPENSE",IF(COUNTIF(PARAMETRES!$G$5:$G$20,$E817)=0,"Catégorie ?","OK"),"Type ?"))))</f>
        <v/>
      </c>
    </row>
    <row r="818" customFormat="false" ht="16.5" hidden="false" customHeight="true" outlineLevel="0" collapsed="false">
      <c r="A818" s="72" t="str">
        <f aca="false">IF($B818="","",ROW()-7)</f>
        <v/>
      </c>
      <c r="B818" s="73"/>
      <c r="C818" s="74" t="str">
        <f aca="false">IF($B818="","",YEAR($B818)*100+MONTH($B818))</f>
        <v/>
      </c>
      <c r="D818" s="75"/>
      <c r="E818" s="76"/>
      <c r="F818" s="76"/>
      <c r="G818" s="77"/>
      <c r="H818" s="78"/>
      <c r="I818" s="79"/>
      <c r="J818" s="80" t="str">
        <f aca="false">IF($B818="","",IF(N($H818)&lt;=0,"Montant ?",IF($D818="RECETTE",IF(COUNTIF(PARAMETRES!$E$5:$E$9,$E818)=0,"Catégorie ?","OK"),IF($D818="DEPENSE",IF(COUNTIF(PARAMETRES!$G$5:$G$20,$E818)=0,"Catégorie ?","OK"),"Type ?"))))</f>
        <v/>
      </c>
    </row>
    <row r="819" customFormat="false" ht="16.5" hidden="false" customHeight="true" outlineLevel="0" collapsed="false">
      <c r="A819" s="81" t="str">
        <f aca="false">IF($B819="","",ROW()-7)</f>
        <v/>
      </c>
      <c r="B819" s="82"/>
      <c r="C819" s="83" t="str">
        <f aca="false">IF($B819="","",YEAR($B819)*100+MONTH($B819))</f>
        <v/>
      </c>
      <c r="D819" s="84"/>
      <c r="E819" s="85"/>
      <c r="F819" s="85"/>
      <c r="G819" s="86"/>
      <c r="H819" s="87"/>
      <c r="I819" s="88"/>
      <c r="J819" s="89" t="str">
        <f aca="false">IF($B819="","",IF(N($H819)&lt;=0,"Montant ?",IF($D819="RECETTE",IF(COUNTIF(PARAMETRES!$E$5:$E$9,$E819)=0,"Catégorie ?","OK"),IF($D819="DEPENSE",IF(COUNTIF(PARAMETRES!$G$5:$G$20,$E819)=0,"Catégorie ?","OK"),"Type ?"))))</f>
        <v/>
      </c>
    </row>
    <row r="820" customFormat="false" ht="16.5" hidden="false" customHeight="true" outlineLevel="0" collapsed="false">
      <c r="A820" s="72" t="str">
        <f aca="false">IF($B820="","",ROW()-7)</f>
        <v/>
      </c>
      <c r="B820" s="73"/>
      <c r="C820" s="74" t="str">
        <f aca="false">IF($B820="","",YEAR($B820)*100+MONTH($B820))</f>
        <v/>
      </c>
      <c r="D820" s="75"/>
      <c r="E820" s="76"/>
      <c r="F820" s="76"/>
      <c r="G820" s="77"/>
      <c r="H820" s="78"/>
      <c r="I820" s="79"/>
      <c r="J820" s="80" t="str">
        <f aca="false">IF($B820="","",IF(N($H820)&lt;=0,"Montant ?",IF($D820="RECETTE",IF(COUNTIF(PARAMETRES!$E$5:$E$9,$E820)=0,"Catégorie ?","OK"),IF($D820="DEPENSE",IF(COUNTIF(PARAMETRES!$G$5:$G$20,$E820)=0,"Catégorie ?","OK"),"Type ?"))))</f>
        <v/>
      </c>
    </row>
    <row r="821" customFormat="false" ht="16.5" hidden="false" customHeight="true" outlineLevel="0" collapsed="false">
      <c r="A821" s="81" t="str">
        <f aca="false">IF($B821="","",ROW()-7)</f>
        <v/>
      </c>
      <c r="B821" s="82"/>
      <c r="C821" s="83" t="str">
        <f aca="false">IF($B821="","",YEAR($B821)*100+MONTH($B821))</f>
        <v/>
      </c>
      <c r="D821" s="84"/>
      <c r="E821" s="85"/>
      <c r="F821" s="85"/>
      <c r="G821" s="86"/>
      <c r="H821" s="87"/>
      <c r="I821" s="88"/>
      <c r="J821" s="89" t="str">
        <f aca="false">IF($B821="","",IF(N($H821)&lt;=0,"Montant ?",IF($D821="RECETTE",IF(COUNTIF(PARAMETRES!$E$5:$E$9,$E821)=0,"Catégorie ?","OK"),IF($D821="DEPENSE",IF(COUNTIF(PARAMETRES!$G$5:$G$20,$E821)=0,"Catégorie ?","OK"),"Type ?"))))</f>
        <v/>
      </c>
    </row>
    <row r="822" customFormat="false" ht="16.5" hidden="false" customHeight="true" outlineLevel="0" collapsed="false">
      <c r="A822" s="72" t="str">
        <f aca="false">IF($B822="","",ROW()-7)</f>
        <v/>
      </c>
      <c r="B822" s="73"/>
      <c r="C822" s="74" t="str">
        <f aca="false">IF($B822="","",YEAR($B822)*100+MONTH($B822))</f>
        <v/>
      </c>
      <c r="D822" s="75"/>
      <c r="E822" s="76"/>
      <c r="F822" s="76"/>
      <c r="G822" s="77"/>
      <c r="H822" s="78"/>
      <c r="I822" s="79"/>
      <c r="J822" s="80" t="str">
        <f aca="false">IF($B822="","",IF(N($H822)&lt;=0,"Montant ?",IF($D822="RECETTE",IF(COUNTIF(PARAMETRES!$E$5:$E$9,$E822)=0,"Catégorie ?","OK"),IF($D822="DEPENSE",IF(COUNTIF(PARAMETRES!$G$5:$G$20,$E822)=0,"Catégorie ?","OK"),"Type ?"))))</f>
        <v/>
      </c>
    </row>
    <row r="823" customFormat="false" ht="16.5" hidden="false" customHeight="true" outlineLevel="0" collapsed="false">
      <c r="A823" s="81" t="str">
        <f aca="false">IF($B823="","",ROW()-7)</f>
        <v/>
      </c>
      <c r="B823" s="82"/>
      <c r="C823" s="83" t="str">
        <f aca="false">IF($B823="","",YEAR($B823)*100+MONTH($B823))</f>
        <v/>
      </c>
      <c r="D823" s="84"/>
      <c r="E823" s="85"/>
      <c r="F823" s="85"/>
      <c r="G823" s="86"/>
      <c r="H823" s="87"/>
      <c r="I823" s="88"/>
      <c r="J823" s="89" t="str">
        <f aca="false">IF($B823="","",IF(N($H823)&lt;=0,"Montant ?",IF($D823="RECETTE",IF(COUNTIF(PARAMETRES!$E$5:$E$9,$E823)=0,"Catégorie ?","OK"),IF($D823="DEPENSE",IF(COUNTIF(PARAMETRES!$G$5:$G$20,$E823)=0,"Catégorie ?","OK"),"Type ?"))))</f>
        <v/>
      </c>
    </row>
    <row r="824" customFormat="false" ht="16.5" hidden="false" customHeight="true" outlineLevel="0" collapsed="false">
      <c r="A824" s="72" t="str">
        <f aca="false">IF($B824="","",ROW()-7)</f>
        <v/>
      </c>
      <c r="B824" s="73"/>
      <c r="C824" s="74" t="str">
        <f aca="false">IF($B824="","",YEAR($B824)*100+MONTH($B824))</f>
        <v/>
      </c>
      <c r="D824" s="75"/>
      <c r="E824" s="76"/>
      <c r="F824" s="76"/>
      <c r="G824" s="77"/>
      <c r="H824" s="78"/>
      <c r="I824" s="79"/>
      <c r="J824" s="80" t="str">
        <f aca="false">IF($B824="","",IF(N($H824)&lt;=0,"Montant ?",IF($D824="RECETTE",IF(COUNTIF(PARAMETRES!$E$5:$E$9,$E824)=0,"Catégorie ?","OK"),IF($D824="DEPENSE",IF(COUNTIF(PARAMETRES!$G$5:$G$20,$E824)=0,"Catégorie ?","OK"),"Type ?"))))</f>
        <v/>
      </c>
    </row>
    <row r="825" customFormat="false" ht="16.5" hidden="false" customHeight="true" outlineLevel="0" collapsed="false">
      <c r="A825" s="81" t="str">
        <f aca="false">IF($B825="","",ROW()-7)</f>
        <v/>
      </c>
      <c r="B825" s="82"/>
      <c r="C825" s="83" t="str">
        <f aca="false">IF($B825="","",YEAR($B825)*100+MONTH($B825))</f>
        <v/>
      </c>
      <c r="D825" s="84"/>
      <c r="E825" s="85"/>
      <c r="F825" s="85"/>
      <c r="G825" s="86"/>
      <c r="H825" s="87"/>
      <c r="I825" s="88"/>
      <c r="J825" s="89" t="str">
        <f aca="false">IF($B825="","",IF(N($H825)&lt;=0,"Montant ?",IF($D825="RECETTE",IF(COUNTIF(PARAMETRES!$E$5:$E$9,$E825)=0,"Catégorie ?","OK"),IF($D825="DEPENSE",IF(COUNTIF(PARAMETRES!$G$5:$G$20,$E825)=0,"Catégorie ?","OK"),"Type ?"))))</f>
        <v/>
      </c>
    </row>
    <row r="826" customFormat="false" ht="16.5" hidden="false" customHeight="true" outlineLevel="0" collapsed="false">
      <c r="A826" s="72" t="str">
        <f aca="false">IF($B826="","",ROW()-7)</f>
        <v/>
      </c>
      <c r="B826" s="73"/>
      <c r="C826" s="74" t="str">
        <f aca="false">IF($B826="","",YEAR($B826)*100+MONTH($B826))</f>
        <v/>
      </c>
      <c r="D826" s="75"/>
      <c r="E826" s="76"/>
      <c r="F826" s="76"/>
      <c r="G826" s="77"/>
      <c r="H826" s="78"/>
      <c r="I826" s="79"/>
      <c r="J826" s="80" t="str">
        <f aca="false">IF($B826="","",IF(N($H826)&lt;=0,"Montant ?",IF($D826="RECETTE",IF(COUNTIF(PARAMETRES!$E$5:$E$9,$E826)=0,"Catégorie ?","OK"),IF($D826="DEPENSE",IF(COUNTIF(PARAMETRES!$G$5:$G$20,$E826)=0,"Catégorie ?","OK"),"Type ?"))))</f>
        <v/>
      </c>
    </row>
    <row r="827" customFormat="false" ht="16.5" hidden="false" customHeight="true" outlineLevel="0" collapsed="false">
      <c r="A827" s="81" t="str">
        <f aca="false">IF($B827="","",ROW()-7)</f>
        <v/>
      </c>
      <c r="B827" s="82"/>
      <c r="C827" s="83" t="str">
        <f aca="false">IF($B827="","",YEAR($B827)*100+MONTH($B827))</f>
        <v/>
      </c>
      <c r="D827" s="84"/>
      <c r="E827" s="85"/>
      <c r="F827" s="85"/>
      <c r="G827" s="86"/>
      <c r="H827" s="87"/>
      <c r="I827" s="88"/>
      <c r="J827" s="89" t="str">
        <f aca="false">IF($B827="","",IF(N($H827)&lt;=0,"Montant ?",IF($D827="RECETTE",IF(COUNTIF(PARAMETRES!$E$5:$E$9,$E827)=0,"Catégorie ?","OK"),IF($D827="DEPENSE",IF(COUNTIF(PARAMETRES!$G$5:$G$20,$E827)=0,"Catégorie ?","OK"),"Type ?"))))</f>
        <v/>
      </c>
    </row>
    <row r="828" customFormat="false" ht="16.5" hidden="false" customHeight="true" outlineLevel="0" collapsed="false">
      <c r="A828" s="72" t="str">
        <f aca="false">IF($B828="","",ROW()-7)</f>
        <v/>
      </c>
      <c r="B828" s="73"/>
      <c r="C828" s="74" t="str">
        <f aca="false">IF($B828="","",YEAR($B828)*100+MONTH($B828))</f>
        <v/>
      </c>
      <c r="D828" s="75"/>
      <c r="E828" s="76"/>
      <c r="F828" s="76"/>
      <c r="G828" s="77"/>
      <c r="H828" s="78"/>
      <c r="I828" s="79"/>
      <c r="J828" s="80" t="str">
        <f aca="false">IF($B828="","",IF(N($H828)&lt;=0,"Montant ?",IF($D828="RECETTE",IF(COUNTIF(PARAMETRES!$E$5:$E$9,$E828)=0,"Catégorie ?","OK"),IF($D828="DEPENSE",IF(COUNTIF(PARAMETRES!$G$5:$G$20,$E828)=0,"Catégorie ?","OK"),"Type ?"))))</f>
        <v/>
      </c>
    </row>
    <row r="829" customFormat="false" ht="16.5" hidden="false" customHeight="true" outlineLevel="0" collapsed="false">
      <c r="A829" s="81" t="str">
        <f aca="false">IF($B829="","",ROW()-7)</f>
        <v/>
      </c>
      <c r="B829" s="82"/>
      <c r="C829" s="83" t="str">
        <f aca="false">IF($B829="","",YEAR($B829)*100+MONTH($B829))</f>
        <v/>
      </c>
      <c r="D829" s="84"/>
      <c r="E829" s="85"/>
      <c r="F829" s="85"/>
      <c r="G829" s="86"/>
      <c r="H829" s="87"/>
      <c r="I829" s="88"/>
      <c r="J829" s="89" t="str">
        <f aca="false">IF($B829="","",IF(N($H829)&lt;=0,"Montant ?",IF($D829="RECETTE",IF(COUNTIF(PARAMETRES!$E$5:$E$9,$E829)=0,"Catégorie ?","OK"),IF($D829="DEPENSE",IF(COUNTIF(PARAMETRES!$G$5:$G$20,$E829)=0,"Catégorie ?","OK"),"Type ?"))))</f>
        <v/>
      </c>
    </row>
    <row r="830" customFormat="false" ht="16.5" hidden="false" customHeight="true" outlineLevel="0" collapsed="false">
      <c r="A830" s="72" t="str">
        <f aca="false">IF($B830="","",ROW()-7)</f>
        <v/>
      </c>
      <c r="B830" s="73"/>
      <c r="C830" s="74" t="str">
        <f aca="false">IF($B830="","",YEAR($B830)*100+MONTH($B830))</f>
        <v/>
      </c>
      <c r="D830" s="75"/>
      <c r="E830" s="76"/>
      <c r="F830" s="76"/>
      <c r="G830" s="77"/>
      <c r="H830" s="78"/>
      <c r="I830" s="79"/>
      <c r="J830" s="80" t="str">
        <f aca="false">IF($B830="","",IF(N($H830)&lt;=0,"Montant ?",IF($D830="RECETTE",IF(COUNTIF(PARAMETRES!$E$5:$E$9,$E830)=0,"Catégorie ?","OK"),IF($D830="DEPENSE",IF(COUNTIF(PARAMETRES!$G$5:$G$20,$E830)=0,"Catégorie ?","OK"),"Type ?"))))</f>
        <v/>
      </c>
    </row>
    <row r="831" customFormat="false" ht="16.5" hidden="false" customHeight="true" outlineLevel="0" collapsed="false">
      <c r="A831" s="81" t="str">
        <f aca="false">IF($B831="","",ROW()-7)</f>
        <v/>
      </c>
      <c r="B831" s="82"/>
      <c r="C831" s="83" t="str">
        <f aca="false">IF($B831="","",YEAR($B831)*100+MONTH($B831))</f>
        <v/>
      </c>
      <c r="D831" s="84"/>
      <c r="E831" s="85"/>
      <c r="F831" s="85"/>
      <c r="G831" s="86"/>
      <c r="H831" s="87"/>
      <c r="I831" s="88"/>
      <c r="J831" s="89" t="str">
        <f aca="false">IF($B831="","",IF(N($H831)&lt;=0,"Montant ?",IF($D831="RECETTE",IF(COUNTIF(PARAMETRES!$E$5:$E$9,$E831)=0,"Catégorie ?","OK"),IF($D831="DEPENSE",IF(COUNTIF(PARAMETRES!$G$5:$G$20,$E831)=0,"Catégorie ?","OK"),"Type ?"))))</f>
        <v/>
      </c>
    </row>
    <row r="832" customFormat="false" ht="16.5" hidden="false" customHeight="true" outlineLevel="0" collapsed="false">
      <c r="A832" s="72" t="str">
        <f aca="false">IF($B832="","",ROW()-7)</f>
        <v/>
      </c>
      <c r="B832" s="73"/>
      <c r="C832" s="74" t="str">
        <f aca="false">IF($B832="","",YEAR($B832)*100+MONTH($B832))</f>
        <v/>
      </c>
      <c r="D832" s="75"/>
      <c r="E832" s="76"/>
      <c r="F832" s="76"/>
      <c r="G832" s="77"/>
      <c r="H832" s="78"/>
      <c r="I832" s="79"/>
      <c r="J832" s="80" t="str">
        <f aca="false">IF($B832="","",IF(N($H832)&lt;=0,"Montant ?",IF($D832="RECETTE",IF(COUNTIF(PARAMETRES!$E$5:$E$9,$E832)=0,"Catégorie ?","OK"),IF($D832="DEPENSE",IF(COUNTIF(PARAMETRES!$G$5:$G$20,$E832)=0,"Catégorie ?","OK"),"Type ?"))))</f>
        <v/>
      </c>
    </row>
    <row r="833" customFormat="false" ht="16.5" hidden="false" customHeight="true" outlineLevel="0" collapsed="false">
      <c r="A833" s="81" t="str">
        <f aca="false">IF($B833="","",ROW()-7)</f>
        <v/>
      </c>
      <c r="B833" s="82"/>
      <c r="C833" s="83" t="str">
        <f aca="false">IF($B833="","",YEAR($B833)*100+MONTH($B833))</f>
        <v/>
      </c>
      <c r="D833" s="84"/>
      <c r="E833" s="85"/>
      <c r="F833" s="85"/>
      <c r="G833" s="86"/>
      <c r="H833" s="87"/>
      <c r="I833" s="88"/>
      <c r="J833" s="89" t="str">
        <f aca="false">IF($B833="","",IF(N($H833)&lt;=0,"Montant ?",IF($D833="RECETTE",IF(COUNTIF(PARAMETRES!$E$5:$E$9,$E833)=0,"Catégorie ?","OK"),IF($D833="DEPENSE",IF(COUNTIF(PARAMETRES!$G$5:$G$20,$E833)=0,"Catégorie ?","OK"),"Type ?"))))</f>
        <v/>
      </c>
    </row>
    <row r="834" customFormat="false" ht="16.5" hidden="false" customHeight="true" outlineLevel="0" collapsed="false">
      <c r="A834" s="72" t="str">
        <f aca="false">IF($B834="","",ROW()-7)</f>
        <v/>
      </c>
      <c r="B834" s="73"/>
      <c r="C834" s="74" t="str">
        <f aca="false">IF($B834="","",YEAR($B834)*100+MONTH($B834))</f>
        <v/>
      </c>
      <c r="D834" s="75"/>
      <c r="E834" s="76"/>
      <c r="F834" s="76"/>
      <c r="G834" s="77"/>
      <c r="H834" s="78"/>
      <c r="I834" s="79"/>
      <c r="J834" s="80" t="str">
        <f aca="false">IF($B834="","",IF(N($H834)&lt;=0,"Montant ?",IF($D834="RECETTE",IF(COUNTIF(PARAMETRES!$E$5:$E$9,$E834)=0,"Catégorie ?","OK"),IF($D834="DEPENSE",IF(COUNTIF(PARAMETRES!$G$5:$G$20,$E834)=0,"Catégorie ?","OK"),"Type ?"))))</f>
        <v/>
      </c>
    </row>
    <row r="835" customFormat="false" ht="16.5" hidden="false" customHeight="true" outlineLevel="0" collapsed="false">
      <c r="A835" s="81" t="str">
        <f aca="false">IF($B835="","",ROW()-7)</f>
        <v/>
      </c>
      <c r="B835" s="82"/>
      <c r="C835" s="83" t="str">
        <f aca="false">IF($B835="","",YEAR($B835)*100+MONTH($B835))</f>
        <v/>
      </c>
      <c r="D835" s="84"/>
      <c r="E835" s="85"/>
      <c r="F835" s="85"/>
      <c r="G835" s="86"/>
      <c r="H835" s="87"/>
      <c r="I835" s="88"/>
      <c r="J835" s="89" t="str">
        <f aca="false">IF($B835="","",IF(N($H835)&lt;=0,"Montant ?",IF($D835="RECETTE",IF(COUNTIF(PARAMETRES!$E$5:$E$9,$E835)=0,"Catégorie ?","OK"),IF($D835="DEPENSE",IF(COUNTIF(PARAMETRES!$G$5:$G$20,$E835)=0,"Catégorie ?","OK"),"Type ?"))))</f>
        <v/>
      </c>
    </row>
    <row r="836" customFormat="false" ht="16.5" hidden="false" customHeight="true" outlineLevel="0" collapsed="false">
      <c r="A836" s="72" t="str">
        <f aca="false">IF($B836="","",ROW()-7)</f>
        <v/>
      </c>
      <c r="B836" s="73"/>
      <c r="C836" s="74" t="str">
        <f aca="false">IF($B836="","",YEAR($B836)*100+MONTH($B836))</f>
        <v/>
      </c>
      <c r="D836" s="75"/>
      <c r="E836" s="76"/>
      <c r="F836" s="76"/>
      <c r="G836" s="77"/>
      <c r="H836" s="78"/>
      <c r="I836" s="79"/>
      <c r="J836" s="80" t="str">
        <f aca="false">IF($B836="","",IF(N($H836)&lt;=0,"Montant ?",IF($D836="RECETTE",IF(COUNTIF(PARAMETRES!$E$5:$E$9,$E836)=0,"Catégorie ?","OK"),IF($D836="DEPENSE",IF(COUNTIF(PARAMETRES!$G$5:$G$20,$E836)=0,"Catégorie ?","OK"),"Type ?"))))</f>
        <v/>
      </c>
    </row>
    <row r="837" customFormat="false" ht="16.5" hidden="false" customHeight="true" outlineLevel="0" collapsed="false">
      <c r="A837" s="81" t="str">
        <f aca="false">IF($B837="","",ROW()-7)</f>
        <v/>
      </c>
      <c r="B837" s="82"/>
      <c r="C837" s="83" t="str">
        <f aca="false">IF($B837="","",YEAR($B837)*100+MONTH($B837))</f>
        <v/>
      </c>
      <c r="D837" s="84"/>
      <c r="E837" s="85"/>
      <c r="F837" s="85"/>
      <c r="G837" s="86"/>
      <c r="H837" s="87"/>
      <c r="I837" s="88"/>
      <c r="J837" s="89" t="str">
        <f aca="false">IF($B837="","",IF(N($H837)&lt;=0,"Montant ?",IF($D837="RECETTE",IF(COUNTIF(PARAMETRES!$E$5:$E$9,$E837)=0,"Catégorie ?","OK"),IF($D837="DEPENSE",IF(COUNTIF(PARAMETRES!$G$5:$G$20,$E837)=0,"Catégorie ?","OK"),"Type ?"))))</f>
        <v/>
      </c>
    </row>
    <row r="838" customFormat="false" ht="16.5" hidden="false" customHeight="true" outlineLevel="0" collapsed="false">
      <c r="A838" s="72" t="str">
        <f aca="false">IF($B838="","",ROW()-7)</f>
        <v/>
      </c>
      <c r="B838" s="73"/>
      <c r="C838" s="74" t="str">
        <f aca="false">IF($B838="","",YEAR($B838)*100+MONTH($B838))</f>
        <v/>
      </c>
      <c r="D838" s="75"/>
      <c r="E838" s="76"/>
      <c r="F838" s="76"/>
      <c r="G838" s="77"/>
      <c r="H838" s="78"/>
      <c r="I838" s="79"/>
      <c r="J838" s="80" t="str">
        <f aca="false">IF($B838="","",IF(N($H838)&lt;=0,"Montant ?",IF($D838="RECETTE",IF(COUNTIF(PARAMETRES!$E$5:$E$9,$E838)=0,"Catégorie ?","OK"),IF($D838="DEPENSE",IF(COUNTIF(PARAMETRES!$G$5:$G$20,$E838)=0,"Catégorie ?","OK"),"Type ?"))))</f>
        <v/>
      </c>
    </row>
    <row r="839" customFormat="false" ht="16.5" hidden="false" customHeight="true" outlineLevel="0" collapsed="false">
      <c r="A839" s="81" t="str">
        <f aca="false">IF($B839="","",ROW()-7)</f>
        <v/>
      </c>
      <c r="B839" s="82"/>
      <c r="C839" s="83" t="str">
        <f aca="false">IF($B839="","",YEAR($B839)*100+MONTH($B839))</f>
        <v/>
      </c>
      <c r="D839" s="84"/>
      <c r="E839" s="85"/>
      <c r="F839" s="85"/>
      <c r="G839" s="86"/>
      <c r="H839" s="87"/>
      <c r="I839" s="88"/>
      <c r="J839" s="89" t="str">
        <f aca="false">IF($B839="","",IF(N($H839)&lt;=0,"Montant ?",IF($D839="RECETTE",IF(COUNTIF(PARAMETRES!$E$5:$E$9,$E839)=0,"Catégorie ?","OK"),IF($D839="DEPENSE",IF(COUNTIF(PARAMETRES!$G$5:$G$20,$E839)=0,"Catégorie ?","OK"),"Type ?"))))</f>
        <v/>
      </c>
    </row>
    <row r="840" customFormat="false" ht="16.5" hidden="false" customHeight="true" outlineLevel="0" collapsed="false">
      <c r="A840" s="72" t="str">
        <f aca="false">IF($B840="","",ROW()-7)</f>
        <v/>
      </c>
      <c r="B840" s="73"/>
      <c r="C840" s="74" t="str">
        <f aca="false">IF($B840="","",YEAR($B840)*100+MONTH($B840))</f>
        <v/>
      </c>
      <c r="D840" s="75"/>
      <c r="E840" s="76"/>
      <c r="F840" s="76"/>
      <c r="G840" s="77"/>
      <c r="H840" s="78"/>
      <c r="I840" s="79"/>
      <c r="J840" s="80" t="str">
        <f aca="false">IF($B840="","",IF(N($H840)&lt;=0,"Montant ?",IF($D840="RECETTE",IF(COUNTIF(PARAMETRES!$E$5:$E$9,$E840)=0,"Catégorie ?","OK"),IF($D840="DEPENSE",IF(COUNTIF(PARAMETRES!$G$5:$G$20,$E840)=0,"Catégorie ?","OK"),"Type ?"))))</f>
        <v/>
      </c>
    </row>
    <row r="841" customFormat="false" ht="16.5" hidden="false" customHeight="true" outlineLevel="0" collapsed="false">
      <c r="A841" s="81" t="str">
        <f aca="false">IF($B841="","",ROW()-7)</f>
        <v/>
      </c>
      <c r="B841" s="82"/>
      <c r="C841" s="83" t="str">
        <f aca="false">IF($B841="","",YEAR($B841)*100+MONTH($B841))</f>
        <v/>
      </c>
      <c r="D841" s="84"/>
      <c r="E841" s="85"/>
      <c r="F841" s="85"/>
      <c r="G841" s="86"/>
      <c r="H841" s="87"/>
      <c r="I841" s="88"/>
      <c r="J841" s="89" t="str">
        <f aca="false">IF($B841="","",IF(N($H841)&lt;=0,"Montant ?",IF($D841="RECETTE",IF(COUNTIF(PARAMETRES!$E$5:$E$9,$E841)=0,"Catégorie ?","OK"),IF($D841="DEPENSE",IF(COUNTIF(PARAMETRES!$G$5:$G$20,$E841)=0,"Catégorie ?","OK"),"Type ?"))))</f>
        <v/>
      </c>
    </row>
    <row r="842" customFormat="false" ht="16.5" hidden="false" customHeight="true" outlineLevel="0" collapsed="false">
      <c r="A842" s="72" t="str">
        <f aca="false">IF($B842="","",ROW()-7)</f>
        <v/>
      </c>
      <c r="B842" s="73"/>
      <c r="C842" s="74" t="str">
        <f aca="false">IF($B842="","",YEAR($B842)*100+MONTH($B842))</f>
        <v/>
      </c>
      <c r="D842" s="75"/>
      <c r="E842" s="76"/>
      <c r="F842" s="76"/>
      <c r="G842" s="77"/>
      <c r="H842" s="78"/>
      <c r="I842" s="79"/>
      <c r="J842" s="80" t="str">
        <f aca="false">IF($B842="","",IF(N($H842)&lt;=0,"Montant ?",IF($D842="RECETTE",IF(COUNTIF(PARAMETRES!$E$5:$E$9,$E842)=0,"Catégorie ?","OK"),IF($D842="DEPENSE",IF(COUNTIF(PARAMETRES!$G$5:$G$20,$E842)=0,"Catégorie ?","OK"),"Type ?"))))</f>
        <v/>
      </c>
    </row>
    <row r="843" customFormat="false" ht="16.5" hidden="false" customHeight="true" outlineLevel="0" collapsed="false">
      <c r="A843" s="81" t="str">
        <f aca="false">IF($B843="","",ROW()-7)</f>
        <v/>
      </c>
      <c r="B843" s="82"/>
      <c r="C843" s="83" t="str">
        <f aca="false">IF($B843="","",YEAR($B843)*100+MONTH($B843))</f>
        <v/>
      </c>
      <c r="D843" s="84"/>
      <c r="E843" s="85"/>
      <c r="F843" s="85"/>
      <c r="G843" s="86"/>
      <c r="H843" s="87"/>
      <c r="I843" s="88"/>
      <c r="J843" s="89" t="str">
        <f aca="false">IF($B843="","",IF(N($H843)&lt;=0,"Montant ?",IF($D843="RECETTE",IF(COUNTIF(PARAMETRES!$E$5:$E$9,$E843)=0,"Catégorie ?","OK"),IF($D843="DEPENSE",IF(COUNTIF(PARAMETRES!$G$5:$G$20,$E843)=0,"Catégorie ?","OK"),"Type ?"))))</f>
        <v/>
      </c>
    </row>
    <row r="844" customFormat="false" ht="16.5" hidden="false" customHeight="true" outlineLevel="0" collapsed="false">
      <c r="A844" s="72" t="str">
        <f aca="false">IF($B844="","",ROW()-7)</f>
        <v/>
      </c>
      <c r="B844" s="73"/>
      <c r="C844" s="74" t="str">
        <f aca="false">IF($B844="","",YEAR($B844)*100+MONTH($B844))</f>
        <v/>
      </c>
      <c r="D844" s="75"/>
      <c r="E844" s="76"/>
      <c r="F844" s="76"/>
      <c r="G844" s="77"/>
      <c r="H844" s="78"/>
      <c r="I844" s="79"/>
      <c r="J844" s="80" t="str">
        <f aca="false">IF($B844="","",IF(N($H844)&lt;=0,"Montant ?",IF($D844="RECETTE",IF(COUNTIF(PARAMETRES!$E$5:$E$9,$E844)=0,"Catégorie ?","OK"),IF($D844="DEPENSE",IF(COUNTIF(PARAMETRES!$G$5:$G$20,$E844)=0,"Catégorie ?","OK"),"Type ?"))))</f>
        <v/>
      </c>
    </row>
    <row r="845" customFormat="false" ht="16.5" hidden="false" customHeight="true" outlineLevel="0" collapsed="false">
      <c r="A845" s="81" t="str">
        <f aca="false">IF($B845="","",ROW()-7)</f>
        <v/>
      </c>
      <c r="B845" s="82"/>
      <c r="C845" s="83" t="str">
        <f aca="false">IF($B845="","",YEAR($B845)*100+MONTH($B845))</f>
        <v/>
      </c>
      <c r="D845" s="84"/>
      <c r="E845" s="85"/>
      <c r="F845" s="85"/>
      <c r="G845" s="86"/>
      <c r="H845" s="87"/>
      <c r="I845" s="88"/>
      <c r="J845" s="89" t="str">
        <f aca="false">IF($B845="","",IF(N($H845)&lt;=0,"Montant ?",IF($D845="RECETTE",IF(COUNTIF(PARAMETRES!$E$5:$E$9,$E845)=0,"Catégorie ?","OK"),IF($D845="DEPENSE",IF(COUNTIF(PARAMETRES!$G$5:$G$20,$E845)=0,"Catégorie ?","OK"),"Type ?"))))</f>
        <v/>
      </c>
    </row>
    <row r="846" customFormat="false" ht="16.5" hidden="false" customHeight="true" outlineLevel="0" collapsed="false">
      <c r="A846" s="72" t="str">
        <f aca="false">IF($B846="","",ROW()-7)</f>
        <v/>
      </c>
      <c r="B846" s="73"/>
      <c r="C846" s="74" t="str">
        <f aca="false">IF($B846="","",YEAR($B846)*100+MONTH($B846))</f>
        <v/>
      </c>
      <c r="D846" s="75"/>
      <c r="E846" s="76"/>
      <c r="F846" s="76"/>
      <c r="G846" s="77"/>
      <c r="H846" s="78"/>
      <c r="I846" s="79"/>
      <c r="J846" s="80" t="str">
        <f aca="false">IF($B846="","",IF(N($H846)&lt;=0,"Montant ?",IF($D846="RECETTE",IF(COUNTIF(PARAMETRES!$E$5:$E$9,$E846)=0,"Catégorie ?","OK"),IF($D846="DEPENSE",IF(COUNTIF(PARAMETRES!$G$5:$G$20,$E846)=0,"Catégorie ?","OK"),"Type ?"))))</f>
        <v/>
      </c>
    </row>
    <row r="847" customFormat="false" ht="16.5" hidden="false" customHeight="true" outlineLevel="0" collapsed="false">
      <c r="A847" s="81" t="str">
        <f aca="false">IF($B847="","",ROW()-7)</f>
        <v/>
      </c>
      <c r="B847" s="82"/>
      <c r="C847" s="83" t="str">
        <f aca="false">IF($B847="","",YEAR($B847)*100+MONTH($B847))</f>
        <v/>
      </c>
      <c r="D847" s="84"/>
      <c r="E847" s="85"/>
      <c r="F847" s="85"/>
      <c r="G847" s="86"/>
      <c r="H847" s="87"/>
      <c r="I847" s="88"/>
      <c r="J847" s="89" t="str">
        <f aca="false">IF($B847="","",IF(N($H847)&lt;=0,"Montant ?",IF($D847="RECETTE",IF(COUNTIF(PARAMETRES!$E$5:$E$9,$E847)=0,"Catégorie ?","OK"),IF($D847="DEPENSE",IF(COUNTIF(PARAMETRES!$G$5:$G$20,$E847)=0,"Catégorie ?","OK"),"Type ?"))))</f>
        <v/>
      </c>
    </row>
    <row r="848" customFormat="false" ht="16.5" hidden="false" customHeight="true" outlineLevel="0" collapsed="false">
      <c r="A848" s="72" t="str">
        <f aca="false">IF($B848="","",ROW()-7)</f>
        <v/>
      </c>
      <c r="B848" s="73"/>
      <c r="C848" s="74" t="str">
        <f aca="false">IF($B848="","",YEAR($B848)*100+MONTH($B848))</f>
        <v/>
      </c>
      <c r="D848" s="75"/>
      <c r="E848" s="76"/>
      <c r="F848" s="76"/>
      <c r="G848" s="77"/>
      <c r="H848" s="78"/>
      <c r="I848" s="79"/>
      <c r="J848" s="80" t="str">
        <f aca="false">IF($B848="","",IF(N($H848)&lt;=0,"Montant ?",IF($D848="RECETTE",IF(COUNTIF(PARAMETRES!$E$5:$E$9,$E848)=0,"Catégorie ?","OK"),IF($D848="DEPENSE",IF(COUNTIF(PARAMETRES!$G$5:$G$20,$E848)=0,"Catégorie ?","OK"),"Type ?"))))</f>
        <v/>
      </c>
    </row>
    <row r="849" customFormat="false" ht="16.5" hidden="false" customHeight="true" outlineLevel="0" collapsed="false">
      <c r="A849" s="81" t="str">
        <f aca="false">IF($B849="","",ROW()-7)</f>
        <v/>
      </c>
      <c r="B849" s="82"/>
      <c r="C849" s="83" t="str">
        <f aca="false">IF($B849="","",YEAR($B849)*100+MONTH($B849))</f>
        <v/>
      </c>
      <c r="D849" s="84"/>
      <c r="E849" s="85"/>
      <c r="F849" s="85"/>
      <c r="G849" s="86"/>
      <c r="H849" s="87"/>
      <c r="I849" s="88"/>
      <c r="J849" s="89" t="str">
        <f aca="false">IF($B849="","",IF(N($H849)&lt;=0,"Montant ?",IF($D849="RECETTE",IF(COUNTIF(PARAMETRES!$E$5:$E$9,$E849)=0,"Catégorie ?","OK"),IF($D849="DEPENSE",IF(COUNTIF(PARAMETRES!$G$5:$G$20,$E849)=0,"Catégorie ?","OK"),"Type ?"))))</f>
        <v/>
      </c>
    </row>
    <row r="850" customFormat="false" ht="16.5" hidden="false" customHeight="true" outlineLevel="0" collapsed="false">
      <c r="A850" s="72" t="str">
        <f aca="false">IF($B850="","",ROW()-7)</f>
        <v/>
      </c>
      <c r="B850" s="73"/>
      <c r="C850" s="74" t="str">
        <f aca="false">IF($B850="","",YEAR($B850)*100+MONTH($B850))</f>
        <v/>
      </c>
      <c r="D850" s="75"/>
      <c r="E850" s="76"/>
      <c r="F850" s="76"/>
      <c r="G850" s="77"/>
      <c r="H850" s="78"/>
      <c r="I850" s="79"/>
      <c r="J850" s="80" t="str">
        <f aca="false">IF($B850="","",IF(N($H850)&lt;=0,"Montant ?",IF($D850="RECETTE",IF(COUNTIF(PARAMETRES!$E$5:$E$9,$E850)=0,"Catégorie ?","OK"),IF($D850="DEPENSE",IF(COUNTIF(PARAMETRES!$G$5:$G$20,$E850)=0,"Catégorie ?","OK"),"Type ?"))))</f>
        <v/>
      </c>
    </row>
    <row r="851" customFormat="false" ht="16.5" hidden="false" customHeight="true" outlineLevel="0" collapsed="false">
      <c r="A851" s="81" t="str">
        <f aca="false">IF($B851="","",ROW()-7)</f>
        <v/>
      </c>
      <c r="B851" s="82"/>
      <c r="C851" s="83" t="str">
        <f aca="false">IF($B851="","",YEAR($B851)*100+MONTH($B851))</f>
        <v/>
      </c>
      <c r="D851" s="84"/>
      <c r="E851" s="85"/>
      <c r="F851" s="85"/>
      <c r="G851" s="86"/>
      <c r="H851" s="87"/>
      <c r="I851" s="88"/>
      <c r="J851" s="89" t="str">
        <f aca="false">IF($B851="","",IF(N($H851)&lt;=0,"Montant ?",IF($D851="RECETTE",IF(COUNTIF(PARAMETRES!$E$5:$E$9,$E851)=0,"Catégorie ?","OK"),IF($D851="DEPENSE",IF(COUNTIF(PARAMETRES!$G$5:$G$20,$E851)=0,"Catégorie ?","OK"),"Type ?"))))</f>
        <v/>
      </c>
    </row>
    <row r="852" customFormat="false" ht="16.5" hidden="false" customHeight="true" outlineLevel="0" collapsed="false">
      <c r="A852" s="72" t="str">
        <f aca="false">IF($B852="","",ROW()-7)</f>
        <v/>
      </c>
      <c r="B852" s="73"/>
      <c r="C852" s="74" t="str">
        <f aca="false">IF($B852="","",YEAR($B852)*100+MONTH($B852))</f>
        <v/>
      </c>
      <c r="D852" s="75"/>
      <c r="E852" s="76"/>
      <c r="F852" s="76"/>
      <c r="G852" s="77"/>
      <c r="H852" s="78"/>
      <c r="I852" s="79"/>
      <c r="J852" s="80" t="str">
        <f aca="false">IF($B852="","",IF(N($H852)&lt;=0,"Montant ?",IF($D852="RECETTE",IF(COUNTIF(PARAMETRES!$E$5:$E$9,$E852)=0,"Catégorie ?","OK"),IF($D852="DEPENSE",IF(COUNTIF(PARAMETRES!$G$5:$G$20,$E852)=0,"Catégorie ?","OK"),"Type ?"))))</f>
        <v/>
      </c>
    </row>
    <row r="853" customFormat="false" ht="16.5" hidden="false" customHeight="true" outlineLevel="0" collapsed="false">
      <c r="A853" s="81" t="str">
        <f aca="false">IF($B853="","",ROW()-7)</f>
        <v/>
      </c>
      <c r="B853" s="82"/>
      <c r="C853" s="83" t="str">
        <f aca="false">IF($B853="","",YEAR($B853)*100+MONTH($B853))</f>
        <v/>
      </c>
      <c r="D853" s="84"/>
      <c r="E853" s="85"/>
      <c r="F853" s="85"/>
      <c r="G853" s="86"/>
      <c r="H853" s="87"/>
      <c r="I853" s="88"/>
      <c r="J853" s="89" t="str">
        <f aca="false">IF($B853="","",IF(N($H853)&lt;=0,"Montant ?",IF($D853="RECETTE",IF(COUNTIF(PARAMETRES!$E$5:$E$9,$E853)=0,"Catégorie ?","OK"),IF($D853="DEPENSE",IF(COUNTIF(PARAMETRES!$G$5:$G$20,$E853)=0,"Catégorie ?","OK"),"Type ?"))))</f>
        <v/>
      </c>
    </row>
    <row r="854" customFormat="false" ht="16.5" hidden="false" customHeight="true" outlineLevel="0" collapsed="false">
      <c r="A854" s="72" t="str">
        <f aca="false">IF($B854="","",ROW()-7)</f>
        <v/>
      </c>
      <c r="B854" s="73"/>
      <c r="C854" s="74" t="str">
        <f aca="false">IF($B854="","",YEAR($B854)*100+MONTH($B854))</f>
        <v/>
      </c>
      <c r="D854" s="75"/>
      <c r="E854" s="76"/>
      <c r="F854" s="76"/>
      <c r="G854" s="77"/>
      <c r="H854" s="78"/>
      <c r="I854" s="79"/>
      <c r="J854" s="80" t="str">
        <f aca="false">IF($B854="","",IF(N($H854)&lt;=0,"Montant ?",IF($D854="RECETTE",IF(COUNTIF(PARAMETRES!$E$5:$E$9,$E854)=0,"Catégorie ?","OK"),IF($D854="DEPENSE",IF(COUNTIF(PARAMETRES!$G$5:$G$20,$E854)=0,"Catégorie ?","OK"),"Type ?"))))</f>
        <v/>
      </c>
    </row>
    <row r="855" customFormat="false" ht="16.5" hidden="false" customHeight="true" outlineLevel="0" collapsed="false">
      <c r="A855" s="81" t="str">
        <f aca="false">IF($B855="","",ROW()-7)</f>
        <v/>
      </c>
      <c r="B855" s="82"/>
      <c r="C855" s="83" t="str">
        <f aca="false">IF($B855="","",YEAR($B855)*100+MONTH($B855))</f>
        <v/>
      </c>
      <c r="D855" s="84"/>
      <c r="E855" s="85"/>
      <c r="F855" s="85"/>
      <c r="G855" s="86"/>
      <c r="H855" s="87"/>
      <c r="I855" s="88"/>
      <c r="J855" s="89" t="str">
        <f aca="false">IF($B855="","",IF(N($H855)&lt;=0,"Montant ?",IF($D855="RECETTE",IF(COUNTIF(PARAMETRES!$E$5:$E$9,$E855)=0,"Catégorie ?","OK"),IF($D855="DEPENSE",IF(COUNTIF(PARAMETRES!$G$5:$G$20,$E855)=0,"Catégorie ?","OK"),"Type ?"))))</f>
        <v/>
      </c>
    </row>
    <row r="856" customFormat="false" ht="16.5" hidden="false" customHeight="true" outlineLevel="0" collapsed="false">
      <c r="A856" s="72" t="str">
        <f aca="false">IF($B856="","",ROW()-7)</f>
        <v/>
      </c>
      <c r="B856" s="73"/>
      <c r="C856" s="74" t="str">
        <f aca="false">IF($B856="","",YEAR($B856)*100+MONTH($B856))</f>
        <v/>
      </c>
      <c r="D856" s="75"/>
      <c r="E856" s="76"/>
      <c r="F856" s="76"/>
      <c r="G856" s="77"/>
      <c r="H856" s="78"/>
      <c r="I856" s="79"/>
      <c r="J856" s="80" t="str">
        <f aca="false">IF($B856="","",IF(N($H856)&lt;=0,"Montant ?",IF($D856="RECETTE",IF(COUNTIF(PARAMETRES!$E$5:$E$9,$E856)=0,"Catégorie ?","OK"),IF($D856="DEPENSE",IF(COUNTIF(PARAMETRES!$G$5:$G$20,$E856)=0,"Catégorie ?","OK"),"Type ?"))))</f>
        <v/>
      </c>
    </row>
    <row r="857" customFormat="false" ht="16.5" hidden="false" customHeight="true" outlineLevel="0" collapsed="false">
      <c r="A857" s="81" t="str">
        <f aca="false">IF($B857="","",ROW()-7)</f>
        <v/>
      </c>
      <c r="B857" s="82"/>
      <c r="C857" s="83" t="str">
        <f aca="false">IF($B857="","",YEAR($B857)*100+MONTH($B857))</f>
        <v/>
      </c>
      <c r="D857" s="84"/>
      <c r="E857" s="85"/>
      <c r="F857" s="85"/>
      <c r="G857" s="86"/>
      <c r="H857" s="87"/>
      <c r="I857" s="88"/>
      <c r="J857" s="89" t="str">
        <f aca="false">IF($B857="","",IF(N($H857)&lt;=0,"Montant ?",IF($D857="RECETTE",IF(COUNTIF(PARAMETRES!$E$5:$E$9,$E857)=0,"Catégorie ?","OK"),IF($D857="DEPENSE",IF(COUNTIF(PARAMETRES!$G$5:$G$20,$E857)=0,"Catégorie ?","OK"),"Type ?"))))</f>
        <v/>
      </c>
    </row>
    <row r="858" customFormat="false" ht="16.5" hidden="false" customHeight="true" outlineLevel="0" collapsed="false">
      <c r="A858" s="72" t="str">
        <f aca="false">IF($B858="","",ROW()-7)</f>
        <v/>
      </c>
      <c r="B858" s="73"/>
      <c r="C858" s="74" t="str">
        <f aca="false">IF($B858="","",YEAR($B858)*100+MONTH($B858))</f>
        <v/>
      </c>
      <c r="D858" s="75"/>
      <c r="E858" s="76"/>
      <c r="F858" s="76"/>
      <c r="G858" s="77"/>
      <c r="H858" s="78"/>
      <c r="I858" s="79"/>
      <c r="J858" s="80" t="str">
        <f aca="false">IF($B858="","",IF(N($H858)&lt;=0,"Montant ?",IF($D858="RECETTE",IF(COUNTIF(PARAMETRES!$E$5:$E$9,$E858)=0,"Catégorie ?","OK"),IF($D858="DEPENSE",IF(COUNTIF(PARAMETRES!$G$5:$G$20,$E858)=0,"Catégorie ?","OK"),"Type ?"))))</f>
        <v/>
      </c>
    </row>
    <row r="859" customFormat="false" ht="16.5" hidden="false" customHeight="true" outlineLevel="0" collapsed="false">
      <c r="A859" s="81" t="str">
        <f aca="false">IF($B859="","",ROW()-7)</f>
        <v/>
      </c>
      <c r="B859" s="82"/>
      <c r="C859" s="83" t="str">
        <f aca="false">IF($B859="","",YEAR($B859)*100+MONTH($B859))</f>
        <v/>
      </c>
      <c r="D859" s="84"/>
      <c r="E859" s="85"/>
      <c r="F859" s="85"/>
      <c r="G859" s="86"/>
      <c r="H859" s="87"/>
      <c r="I859" s="88"/>
      <c r="J859" s="89" t="str">
        <f aca="false">IF($B859="","",IF(N($H859)&lt;=0,"Montant ?",IF($D859="RECETTE",IF(COUNTIF(PARAMETRES!$E$5:$E$9,$E859)=0,"Catégorie ?","OK"),IF($D859="DEPENSE",IF(COUNTIF(PARAMETRES!$G$5:$G$20,$E859)=0,"Catégorie ?","OK"),"Type ?"))))</f>
        <v/>
      </c>
    </row>
    <row r="860" customFormat="false" ht="16.5" hidden="false" customHeight="true" outlineLevel="0" collapsed="false">
      <c r="A860" s="72" t="str">
        <f aca="false">IF($B860="","",ROW()-7)</f>
        <v/>
      </c>
      <c r="B860" s="73"/>
      <c r="C860" s="74" t="str">
        <f aca="false">IF($B860="","",YEAR($B860)*100+MONTH($B860))</f>
        <v/>
      </c>
      <c r="D860" s="75"/>
      <c r="E860" s="76"/>
      <c r="F860" s="76"/>
      <c r="G860" s="77"/>
      <c r="H860" s="78"/>
      <c r="I860" s="79"/>
      <c r="J860" s="80" t="str">
        <f aca="false">IF($B860="","",IF(N($H860)&lt;=0,"Montant ?",IF($D860="RECETTE",IF(COUNTIF(PARAMETRES!$E$5:$E$9,$E860)=0,"Catégorie ?","OK"),IF($D860="DEPENSE",IF(COUNTIF(PARAMETRES!$G$5:$G$20,$E860)=0,"Catégorie ?","OK"),"Type ?"))))</f>
        <v/>
      </c>
    </row>
    <row r="861" customFormat="false" ht="16.5" hidden="false" customHeight="true" outlineLevel="0" collapsed="false">
      <c r="A861" s="81" t="str">
        <f aca="false">IF($B861="","",ROW()-7)</f>
        <v/>
      </c>
      <c r="B861" s="82"/>
      <c r="C861" s="83" t="str">
        <f aca="false">IF($B861="","",YEAR($B861)*100+MONTH($B861))</f>
        <v/>
      </c>
      <c r="D861" s="84"/>
      <c r="E861" s="85"/>
      <c r="F861" s="85"/>
      <c r="G861" s="86"/>
      <c r="H861" s="87"/>
      <c r="I861" s="88"/>
      <c r="J861" s="89" t="str">
        <f aca="false">IF($B861="","",IF(N($H861)&lt;=0,"Montant ?",IF($D861="RECETTE",IF(COUNTIF(PARAMETRES!$E$5:$E$9,$E861)=0,"Catégorie ?","OK"),IF($D861="DEPENSE",IF(COUNTIF(PARAMETRES!$G$5:$G$20,$E861)=0,"Catégorie ?","OK"),"Type ?"))))</f>
        <v/>
      </c>
    </row>
    <row r="862" customFormat="false" ht="16.5" hidden="false" customHeight="true" outlineLevel="0" collapsed="false">
      <c r="A862" s="72" t="str">
        <f aca="false">IF($B862="","",ROW()-7)</f>
        <v/>
      </c>
      <c r="B862" s="73"/>
      <c r="C862" s="74" t="str">
        <f aca="false">IF($B862="","",YEAR($B862)*100+MONTH($B862))</f>
        <v/>
      </c>
      <c r="D862" s="75"/>
      <c r="E862" s="76"/>
      <c r="F862" s="76"/>
      <c r="G862" s="77"/>
      <c r="H862" s="78"/>
      <c r="I862" s="79"/>
      <c r="J862" s="80" t="str">
        <f aca="false">IF($B862="","",IF(N($H862)&lt;=0,"Montant ?",IF($D862="RECETTE",IF(COUNTIF(PARAMETRES!$E$5:$E$9,$E862)=0,"Catégorie ?","OK"),IF($D862="DEPENSE",IF(COUNTIF(PARAMETRES!$G$5:$G$20,$E862)=0,"Catégorie ?","OK"),"Type ?"))))</f>
        <v/>
      </c>
    </row>
    <row r="863" customFormat="false" ht="16.5" hidden="false" customHeight="true" outlineLevel="0" collapsed="false">
      <c r="A863" s="81" t="str">
        <f aca="false">IF($B863="","",ROW()-7)</f>
        <v/>
      </c>
      <c r="B863" s="82"/>
      <c r="C863" s="83" t="str">
        <f aca="false">IF($B863="","",YEAR($B863)*100+MONTH($B863))</f>
        <v/>
      </c>
      <c r="D863" s="84"/>
      <c r="E863" s="85"/>
      <c r="F863" s="85"/>
      <c r="G863" s="86"/>
      <c r="H863" s="87"/>
      <c r="I863" s="88"/>
      <c r="J863" s="89" t="str">
        <f aca="false">IF($B863="","",IF(N($H863)&lt;=0,"Montant ?",IF($D863="RECETTE",IF(COUNTIF(PARAMETRES!$E$5:$E$9,$E863)=0,"Catégorie ?","OK"),IF($D863="DEPENSE",IF(COUNTIF(PARAMETRES!$G$5:$G$20,$E863)=0,"Catégorie ?","OK"),"Type ?"))))</f>
        <v/>
      </c>
    </row>
    <row r="864" customFormat="false" ht="16.5" hidden="false" customHeight="true" outlineLevel="0" collapsed="false">
      <c r="A864" s="72" t="str">
        <f aca="false">IF($B864="","",ROW()-7)</f>
        <v/>
      </c>
      <c r="B864" s="73"/>
      <c r="C864" s="74" t="str">
        <f aca="false">IF($B864="","",YEAR($B864)*100+MONTH($B864))</f>
        <v/>
      </c>
      <c r="D864" s="75"/>
      <c r="E864" s="76"/>
      <c r="F864" s="76"/>
      <c r="G864" s="77"/>
      <c r="H864" s="78"/>
      <c r="I864" s="79"/>
      <c r="J864" s="80" t="str">
        <f aca="false">IF($B864="","",IF(N($H864)&lt;=0,"Montant ?",IF($D864="RECETTE",IF(COUNTIF(PARAMETRES!$E$5:$E$9,$E864)=0,"Catégorie ?","OK"),IF($D864="DEPENSE",IF(COUNTIF(PARAMETRES!$G$5:$G$20,$E864)=0,"Catégorie ?","OK"),"Type ?"))))</f>
        <v/>
      </c>
    </row>
    <row r="865" customFormat="false" ht="16.5" hidden="false" customHeight="true" outlineLevel="0" collapsed="false">
      <c r="A865" s="81" t="str">
        <f aca="false">IF($B865="","",ROW()-7)</f>
        <v/>
      </c>
      <c r="B865" s="82"/>
      <c r="C865" s="83" t="str">
        <f aca="false">IF($B865="","",YEAR($B865)*100+MONTH($B865))</f>
        <v/>
      </c>
      <c r="D865" s="84"/>
      <c r="E865" s="85"/>
      <c r="F865" s="85"/>
      <c r="G865" s="86"/>
      <c r="H865" s="87"/>
      <c r="I865" s="88"/>
      <c r="J865" s="89" t="str">
        <f aca="false">IF($B865="","",IF(N($H865)&lt;=0,"Montant ?",IF($D865="RECETTE",IF(COUNTIF(PARAMETRES!$E$5:$E$9,$E865)=0,"Catégorie ?","OK"),IF($D865="DEPENSE",IF(COUNTIF(PARAMETRES!$G$5:$G$20,$E865)=0,"Catégorie ?","OK"),"Type ?"))))</f>
        <v/>
      </c>
    </row>
    <row r="866" customFormat="false" ht="16.5" hidden="false" customHeight="true" outlineLevel="0" collapsed="false">
      <c r="A866" s="72" t="str">
        <f aca="false">IF($B866="","",ROW()-7)</f>
        <v/>
      </c>
      <c r="B866" s="73"/>
      <c r="C866" s="74" t="str">
        <f aca="false">IF($B866="","",YEAR($B866)*100+MONTH($B866))</f>
        <v/>
      </c>
      <c r="D866" s="75"/>
      <c r="E866" s="76"/>
      <c r="F866" s="76"/>
      <c r="G866" s="77"/>
      <c r="H866" s="78"/>
      <c r="I866" s="79"/>
      <c r="J866" s="80" t="str">
        <f aca="false">IF($B866="","",IF(N($H866)&lt;=0,"Montant ?",IF($D866="RECETTE",IF(COUNTIF(PARAMETRES!$E$5:$E$9,$E866)=0,"Catégorie ?","OK"),IF($D866="DEPENSE",IF(COUNTIF(PARAMETRES!$G$5:$G$20,$E866)=0,"Catégorie ?","OK"),"Type ?"))))</f>
        <v/>
      </c>
    </row>
    <row r="867" customFormat="false" ht="16.5" hidden="false" customHeight="true" outlineLevel="0" collapsed="false">
      <c r="A867" s="81" t="str">
        <f aca="false">IF($B867="","",ROW()-7)</f>
        <v/>
      </c>
      <c r="B867" s="82"/>
      <c r="C867" s="83" t="str">
        <f aca="false">IF($B867="","",YEAR($B867)*100+MONTH($B867))</f>
        <v/>
      </c>
      <c r="D867" s="84"/>
      <c r="E867" s="85"/>
      <c r="F867" s="85"/>
      <c r="G867" s="86"/>
      <c r="H867" s="87"/>
      <c r="I867" s="88"/>
      <c r="J867" s="89" t="str">
        <f aca="false">IF($B867="","",IF(N($H867)&lt;=0,"Montant ?",IF($D867="RECETTE",IF(COUNTIF(PARAMETRES!$E$5:$E$9,$E867)=0,"Catégorie ?","OK"),IF($D867="DEPENSE",IF(COUNTIF(PARAMETRES!$G$5:$G$20,$E867)=0,"Catégorie ?","OK"),"Type ?"))))</f>
        <v/>
      </c>
    </row>
    <row r="868" customFormat="false" ht="16.5" hidden="false" customHeight="true" outlineLevel="0" collapsed="false">
      <c r="A868" s="72" t="str">
        <f aca="false">IF($B868="","",ROW()-7)</f>
        <v/>
      </c>
      <c r="B868" s="73"/>
      <c r="C868" s="74" t="str">
        <f aca="false">IF($B868="","",YEAR($B868)*100+MONTH($B868))</f>
        <v/>
      </c>
      <c r="D868" s="75"/>
      <c r="E868" s="76"/>
      <c r="F868" s="76"/>
      <c r="G868" s="77"/>
      <c r="H868" s="78"/>
      <c r="I868" s="79"/>
      <c r="J868" s="80" t="str">
        <f aca="false">IF($B868="","",IF(N($H868)&lt;=0,"Montant ?",IF($D868="RECETTE",IF(COUNTIF(PARAMETRES!$E$5:$E$9,$E868)=0,"Catégorie ?","OK"),IF($D868="DEPENSE",IF(COUNTIF(PARAMETRES!$G$5:$G$20,$E868)=0,"Catégorie ?","OK"),"Type ?"))))</f>
        <v/>
      </c>
    </row>
    <row r="869" customFormat="false" ht="16.5" hidden="false" customHeight="true" outlineLevel="0" collapsed="false">
      <c r="A869" s="81" t="str">
        <f aca="false">IF($B869="","",ROW()-7)</f>
        <v/>
      </c>
      <c r="B869" s="82"/>
      <c r="C869" s="83" t="str">
        <f aca="false">IF($B869="","",YEAR($B869)*100+MONTH($B869))</f>
        <v/>
      </c>
      <c r="D869" s="84"/>
      <c r="E869" s="85"/>
      <c r="F869" s="85"/>
      <c r="G869" s="86"/>
      <c r="H869" s="87"/>
      <c r="I869" s="88"/>
      <c r="J869" s="89" t="str">
        <f aca="false">IF($B869="","",IF(N($H869)&lt;=0,"Montant ?",IF($D869="RECETTE",IF(COUNTIF(PARAMETRES!$E$5:$E$9,$E869)=0,"Catégorie ?","OK"),IF($D869="DEPENSE",IF(COUNTIF(PARAMETRES!$G$5:$G$20,$E869)=0,"Catégorie ?","OK"),"Type ?"))))</f>
        <v/>
      </c>
    </row>
    <row r="870" customFormat="false" ht="16.5" hidden="false" customHeight="true" outlineLevel="0" collapsed="false">
      <c r="A870" s="72" t="str">
        <f aca="false">IF($B870="","",ROW()-7)</f>
        <v/>
      </c>
      <c r="B870" s="73"/>
      <c r="C870" s="74" t="str">
        <f aca="false">IF($B870="","",YEAR($B870)*100+MONTH($B870))</f>
        <v/>
      </c>
      <c r="D870" s="75"/>
      <c r="E870" s="76"/>
      <c r="F870" s="76"/>
      <c r="G870" s="77"/>
      <c r="H870" s="78"/>
      <c r="I870" s="79"/>
      <c r="J870" s="80" t="str">
        <f aca="false">IF($B870="","",IF(N($H870)&lt;=0,"Montant ?",IF($D870="RECETTE",IF(COUNTIF(PARAMETRES!$E$5:$E$9,$E870)=0,"Catégorie ?","OK"),IF($D870="DEPENSE",IF(COUNTIF(PARAMETRES!$G$5:$G$20,$E870)=0,"Catégorie ?","OK"),"Type ?"))))</f>
        <v/>
      </c>
    </row>
    <row r="871" customFormat="false" ht="16.5" hidden="false" customHeight="true" outlineLevel="0" collapsed="false">
      <c r="A871" s="81" t="str">
        <f aca="false">IF($B871="","",ROW()-7)</f>
        <v/>
      </c>
      <c r="B871" s="82"/>
      <c r="C871" s="83" t="str">
        <f aca="false">IF($B871="","",YEAR($B871)*100+MONTH($B871))</f>
        <v/>
      </c>
      <c r="D871" s="84"/>
      <c r="E871" s="85"/>
      <c r="F871" s="85"/>
      <c r="G871" s="86"/>
      <c r="H871" s="87"/>
      <c r="I871" s="88"/>
      <c r="J871" s="89" t="str">
        <f aca="false">IF($B871="","",IF(N($H871)&lt;=0,"Montant ?",IF($D871="RECETTE",IF(COUNTIF(PARAMETRES!$E$5:$E$9,$E871)=0,"Catégorie ?","OK"),IF($D871="DEPENSE",IF(COUNTIF(PARAMETRES!$G$5:$G$20,$E871)=0,"Catégorie ?","OK"),"Type ?"))))</f>
        <v/>
      </c>
    </row>
    <row r="872" customFormat="false" ht="16.5" hidden="false" customHeight="true" outlineLevel="0" collapsed="false">
      <c r="A872" s="72" t="str">
        <f aca="false">IF($B872="","",ROW()-7)</f>
        <v/>
      </c>
      <c r="B872" s="73"/>
      <c r="C872" s="74" t="str">
        <f aca="false">IF($B872="","",YEAR($B872)*100+MONTH($B872))</f>
        <v/>
      </c>
      <c r="D872" s="75"/>
      <c r="E872" s="76"/>
      <c r="F872" s="76"/>
      <c r="G872" s="77"/>
      <c r="H872" s="78"/>
      <c r="I872" s="79"/>
      <c r="J872" s="80" t="str">
        <f aca="false">IF($B872="","",IF(N($H872)&lt;=0,"Montant ?",IF($D872="RECETTE",IF(COUNTIF(PARAMETRES!$E$5:$E$9,$E872)=0,"Catégorie ?","OK"),IF($D872="DEPENSE",IF(COUNTIF(PARAMETRES!$G$5:$G$20,$E872)=0,"Catégorie ?","OK"),"Type ?"))))</f>
        <v/>
      </c>
    </row>
    <row r="873" customFormat="false" ht="16.5" hidden="false" customHeight="true" outlineLevel="0" collapsed="false">
      <c r="A873" s="81" t="str">
        <f aca="false">IF($B873="","",ROW()-7)</f>
        <v/>
      </c>
      <c r="B873" s="82"/>
      <c r="C873" s="83" t="str">
        <f aca="false">IF($B873="","",YEAR($B873)*100+MONTH($B873))</f>
        <v/>
      </c>
      <c r="D873" s="84"/>
      <c r="E873" s="85"/>
      <c r="F873" s="85"/>
      <c r="G873" s="86"/>
      <c r="H873" s="87"/>
      <c r="I873" s="88"/>
      <c r="J873" s="89" t="str">
        <f aca="false">IF($B873="","",IF(N($H873)&lt;=0,"Montant ?",IF($D873="RECETTE",IF(COUNTIF(PARAMETRES!$E$5:$E$9,$E873)=0,"Catégorie ?","OK"),IF($D873="DEPENSE",IF(COUNTIF(PARAMETRES!$G$5:$G$20,$E873)=0,"Catégorie ?","OK"),"Type ?"))))</f>
        <v/>
      </c>
    </row>
    <row r="874" customFormat="false" ht="16.5" hidden="false" customHeight="true" outlineLevel="0" collapsed="false">
      <c r="A874" s="72" t="str">
        <f aca="false">IF($B874="","",ROW()-7)</f>
        <v/>
      </c>
      <c r="B874" s="73"/>
      <c r="C874" s="74" t="str">
        <f aca="false">IF($B874="","",YEAR($B874)*100+MONTH($B874))</f>
        <v/>
      </c>
      <c r="D874" s="75"/>
      <c r="E874" s="76"/>
      <c r="F874" s="76"/>
      <c r="G874" s="77"/>
      <c r="H874" s="78"/>
      <c r="I874" s="79"/>
      <c r="J874" s="80" t="str">
        <f aca="false">IF($B874="","",IF(N($H874)&lt;=0,"Montant ?",IF($D874="RECETTE",IF(COUNTIF(PARAMETRES!$E$5:$E$9,$E874)=0,"Catégorie ?","OK"),IF($D874="DEPENSE",IF(COUNTIF(PARAMETRES!$G$5:$G$20,$E874)=0,"Catégorie ?","OK"),"Type ?"))))</f>
        <v/>
      </c>
    </row>
    <row r="875" customFormat="false" ht="16.5" hidden="false" customHeight="true" outlineLevel="0" collapsed="false">
      <c r="A875" s="81" t="str">
        <f aca="false">IF($B875="","",ROW()-7)</f>
        <v/>
      </c>
      <c r="B875" s="82"/>
      <c r="C875" s="83" t="str">
        <f aca="false">IF($B875="","",YEAR($B875)*100+MONTH($B875))</f>
        <v/>
      </c>
      <c r="D875" s="84"/>
      <c r="E875" s="85"/>
      <c r="F875" s="85"/>
      <c r="G875" s="86"/>
      <c r="H875" s="87"/>
      <c r="I875" s="88"/>
      <c r="J875" s="89" t="str">
        <f aca="false">IF($B875="","",IF(N($H875)&lt;=0,"Montant ?",IF($D875="RECETTE",IF(COUNTIF(PARAMETRES!$E$5:$E$9,$E875)=0,"Catégorie ?","OK"),IF($D875="DEPENSE",IF(COUNTIF(PARAMETRES!$G$5:$G$20,$E875)=0,"Catégorie ?","OK"),"Type ?"))))</f>
        <v/>
      </c>
    </row>
    <row r="876" customFormat="false" ht="16.5" hidden="false" customHeight="true" outlineLevel="0" collapsed="false">
      <c r="A876" s="72" t="str">
        <f aca="false">IF($B876="","",ROW()-7)</f>
        <v/>
      </c>
      <c r="B876" s="73"/>
      <c r="C876" s="74" t="str">
        <f aca="false">IF($B876="","",YEAR($B876)*100+MONTH($B876))</f>
        <v/>
      </c>
      <c r="D876" s="75"/>
      <c r="E876" s="76"/>
      <c r="F876" s="76"/>
      <c r="G876" s="77"/>
      <c r="H876" s="78"/>
      <c r="I876" s="79"/>
      <c r="J876" s="80" t="str">
        <f aca="false">IF($B876="","",IF(N($H876)&lt;=0,"Montant ?",IF($D876="RECETTE",IF(COUNTIF(PARAMETRES!$E$5:$E$9,$E876)=0,"Catégorie ?","OK"),IF($D876="DEPENSE",IF(COUNTIF(PARAMETRES!$G$5:$G$20,$E876)=0,"Catégorie ?","OK"),"Type ?"))))</f>
        <v/>
      </c>
    </row>
    <row r="877" customFormat="false" ht="16.5" hidden="false" customHeight="true" outlineLevel="0" collapsed="false">
      <c r="A877" s="81" t="str">
        <f aca="false">IF($B877="","",ROW()-7)</f>
        <v/>
      </c>
      <c r="B877" s="82"/>
      <c r="C877" s="83" t="str">
        <f aca="false">IF($B877="","",YEAR($B877)*100+MONTH($B877))</f>
        <v/>
      </c>
      <c r="D877" s="84"/>
      <c r="E877" s="85"/>
      <c r="F877" s="85"/>
      <c r="G877" s="86"/>
      <c r="H877" s="87"/>
      <c r="I877" s="88"/>
      <c r="J877" s="89" t="str">
        <f aca="false">IF($B877="","",IF(N($H877)&lt;=0,"Montant ?",IF($D877="RECETTE",IF(COUNTIF(PARAMETRES!$E$5:$E$9,$E877)=0,"Catégorie ?","OK"),IF($D877="DEPENSE",IF(COUNTIF(PARAMETRES!$G$5:$G$20,$E877)=0,"Catégorie ?","OK"),"Type ?"))))</f>
        <v/>
      </c>
    </row>
    <row r="878" customFormat="false" ht="16.5" hidden="false" customHeight="true" outlineLevel="0" collapsed="false">
      <c r="A878" s="72" t="str">
        <f aca="false">IF($B878="","",ROW()-7)</f>
        <v/>
      </c>
      <c r="B878" s="73"/>
      <c r="C878" s="74" t="str">
        <f aca="false">IF($B878="","",YEAR($B878)*100+MONTH($B878))</f>
        <v/>
      </c>
      <c r="D878" s="75"/>
      <c r="E878" s="76"/>
      <c r="F878" s="76"/>
      <c r="G878" s="77"/>
      <c r="H878" s="78"/>
      <c r="I878" s="79"/>
      <c r="J878" s="80" t="str">
        <f aca="false">IF($B878="","",IF(N($H878)&lt;=0,"Montant ?",IF($D878="RECETTE",IF(COUNTIF(PARAMETRES!$E$5:$E$9,$E878)=0,"Catégorie ?","OK"),IF($D878="DEPENSE",IF(COUNTIF(PARAMETRES!$G$5:$G$20,$E878)=0,"Catégorie ?","OK"),"Type ?"))))</f>
        <v/>
      </c>
    </row>
    <row r="879" customFormat="false" ht="16.5" hidden="false" customHeight="true" outlineLevel="0" collapsed="false">
      <c r="A879" s="81" t="str">
        <f aca="false">IF($B879="","",ROW()-7)</f>
        <v/>
      </c>
      <c r="B879" s="82"/>
      <c r="C879" s="83" t="str">
        <f aca="false">IF($B879="","",YEAR($B879)*100+MONTH($B879))</f>
        <v/>
      </c>
      <c r="D879" s="84"/>
      <c r="E879" s="85"/>
      <c r="F879" s="85"/>
      <c r="G879" s="86"/>
      <c r="H879" s="87"/>
      <c r="I879" s="88"/>
      <c r="J879" s="89" t="str">
        <f aca="false">IF($B879="","",IF(N($H879)&lt;=0,"Montant ?",IF($D879="RECETTE",IF(COUNTIF(PARAMETRES!$E$5:$E$9,$E879)=0,"Catégorie ?","OK"),IF($D879="DEPENSE",IF(COUNTIF(PARAMETRES!$G$5:$G$20,$E879)=0,"Catégorie ?","OK"),"Type ?"))))</f>
        <v/>
      </c>
    </row>
    <row r="880" customFormat="false" ht="16.5" hidden="false" customHeight="true" outlineLevel="0" collapsed="false">
      <c r="A880" s="72" t="str">
        <f aca="false">IF($B880="","",ROW()-7)</f>
        <v/>
      </c>
      <c r="B880" s="73"/>
      <c r="C880" s="74" t="str">
        <f aca="false">IF($B880="","",YEAR($B880)*100+MONTH($B880))</f>
        <v/>
      </c>
      <c r="D880" s="75"/>
      <c r="E880" s="76"/>
      <c r="F880" s="76"/>
      <c r="G880" s="77"/>
      <c r="H880" s="78"/>
      <c r="I880" s="79"/>
      <c r="J880" s="80" t="str">
        <f aca="false">IF($B880="","",IF(N($H880)&lt;=0,"Montant ?",IF($D880="RECETTE",IF(COUNTIF(PARAMETRES!$E$5:$E$9,$E880)=0,"Catégorie ?","OK"),IF($D880="DEPENSE",IF(COUNTIF(PARAMETRES!$G$5:$G$20,$E880)=0,"Catégorie ?","OK"),"Type ?"))))</f>
        <v/>
      </c>
    </row>
    <row r="881" customFormat="false" ht="16.5" hidden="false" customHeight="true" outlineLevel="0" collapsed="false">
      <c r="A881" s="81" t="str">
        <f aca="false">IF($B881="","",ROW()-7)</f>
        <v/>
      </c>
      <c r="B881" s="82"/>
      <c r="C881" s="83" t="str">
        <f aca="false">IF($B881="","",YEAR($B881)*100+MONTH($B881))</f>
        <v/>
      </c>
      <c r="D881" s="84"/>
      <c r="E881" s="85"/>
      <c r="F881" s="85"/>
      <c r="G881" s="86"/>
      <c r="H881" s="87"/>
      <c r="I881" s="88"/>
      <c r="J881" s="89" t="str">
        <f aca="false">IF($B881="","",IF(N($H881)&lt;=0,"Montant ?",IF($D881="RECETTE",IF(COUNTIF(PARAMETRES!$E$5:$E$9,$E881)=0,"Catégorie ?","OK"),IF($D881="DEPENSE",IF(COUNTIF(PARAMETRES!$G$5:$G$20,$E881)=0,"Catégorie ?","OK"),"Type ?"))))</f>
        <v/>
      </c>
    </row>
    <row r="882" customFormat="false" ht="16.5" hidden="false" customHeight="true" outlineLevel="0" collapsed="false">
      <c r="A882" s="72" t="str">
        <f aca="false">IF($B882="","",ROW()-7)</f>
        <v/>
      </c>
      <c r="B882" s="73"/>
      <c r="C882" s="74" t="str">
        <f aca="false">IF($B882="","",YEAR($B882)*100+MONTH($B882))</f>
        <v/>
      </c>
      <c r="D882" s="75"/>
      <c r="E882" s="76"/>
      <c r="F882" s="76"/>
      <c r="G882" s="77"/>
      <c r="H882" s="78"/>
      <c r="I882" s="79"/>
      <c r="J882" s="80" t="str">
        <f aca="false">IF($B882="","",IF(N($H882)&lt;=0,"Montant ?",IF($D882="RECETTE",IF(COUNTIF(PARAMETRES!$E$5:$E$9,$E882)=0,"Catégorie ?","OK"),IF($D882="DEPENSE",IF(COUNTIF(PARAMETRES!$G$5:$G$20,$E882)=0,"Catégorie ?","OK"),"Type ?"))))</f>
        <v/>
      </c>
    </row>
    <row r="883" customFormat="false" ht="16.5" hidden="false" customHeight="true" outlineLevel="0" collapsed="false">
      <c r="A883" s="81" t="str">
        <f aca="false">IF($B883="","",ROW()-7)</f>
        <v/>
      </c>
      <c r="B883" s="82"/>
      <c r="C883" s="83" t="str">
        <f aca="false">IF($B883="","",YEAR($B883)*100+MONTH($B883))</f>
        <v/>
      </c>
      <c r="D883" s="84"/>
      <c r="E883" s="85"/>
      <c r="F883" s="85"/>
      <c r="G883" s="86"/>
      <c r="H883" s="87"/>
      <c r="I883" s="88"/>
      <c r="J883" s="89" t="str">
        <f aca="false">IF($B883="","",IF(N($H883)&lt;=0,"Montant ?",IF($D883="RECETTE",IF(COUNTIF(PARAMETRES!$E$5:$E$9,$E883)=0,"Catégorie ?","OK"),IF($D883="DEPENSE",IF(COUNTIF(PARAMETRES!$G$5:$G$20,$E883)=0,"Catégorie ?","OK"),"Type ?"))))</f>
        <v/>
      </c>
    </row>
    <row r="884" customFormat="false" ht="16.5" hidden="false" customHeight="true" outlineLevel="0" collapsed="false">
      <c r="A884" s="72" t="str">
        <f aca="false">IF($B884="","",ROW()-7)</f>
        <v/>
      </c>
      <c r="B884" s="73"/>
      <c r="C884" s="74" t="str">
        <f aca="false">IF($B884="","",YEAR($B884)*100+MONTH($B884))</f>
        <v/>
      </c>
      <c r="D884" s="75"/>
      <c r="E884" s="76"/>
      <c r="F884" s="76"/>
      <c r="G884" s="77"/>
      <c r="H884" s="78"/>
      <c r="I884" s="79"/>
      <c r="J884" s="80" t="str">
        <f aca="false">IF($B884="","",IF(N($H884)&lt;=0,"Montant ?",IF($D884="RECETTE",IF(COUNTIF(PARAMETRES!$E$5:$E$9,$E884)=0,"Catégorie ?","OK"),IF($D884="DEPENSE",IF(COUNTIF(PARAMETRES!$G$5:$G$20,$E884)=0,"Catégorie ?","OK"),"Type ?"))))</f>
        <v/>
      </c>
    </row>
    <row r="885" customFormat="false" ht="16.5" hidden="false" customHeight="true" outlineLevel="0" collapsed="false">
      <c r="A885" s="81" t="str">
        <f aca="false">IF($B885="","",ROW()-7)</f>
        <v/>
      </c>
      <c r="B885" s="82"/>
      <c r="C885" s="83" t="str">
        <f aca="false">IF($B885="","",YEAR($B885)*100+MONTH($B885))</f>
        <v/>
      </c>
      <c r="D885" s="84"/>
      <c r="E885" s="85"/>
      <c r="F885" s="85"/>
      <c r="G885" s="86"/>
      <c r="H885" s="87"/>
      <c r="I885" s="88"/>
      <c r="J885" s="89" t="str">
        <f aca="false">IF($B885="","",IF(N($H885)&lt;=0,"Montant ?",IF($D885="RECETTE",IF(COUNTIF(PARAMETRES!$E$5:$E$9,$E885)=0,"Catégorie ?","OK"),IF($D885="DEPENSE",IF(COUNTIF(PARAMETRES!$G$5:$G$20,$E885)=0,"Catégorie ?","OK"),"Type ?"))))</f>
        <v/>
      </c>
    </row>
    <row r="886" customFormat="false" ht="16.5" hidden="false" customHeight="true" outlineLevel="0" collapsed="false">
      <c r="A886" s="72" t="str">
        <f aca="false">IF($B886="","",ROW()-7)</f>
        <v/>
      </c>
      <c r="B886" s="73"/>
      <c r="C886" s="74" t="str">
        <f aca="false">IF($B886="","",YEAR($B886)*100+MONTH($B886))</f>
        <v/>
      </c>
      <c r="D886" s="75"/>
      <c r="E886" s="76"/>
      <c r="F886" s="76"/>
      <c r="G886" s="77"/>
      <c r="H886" s="78"/>
      <c r="I886" s="79"/>
      <c r="J886" s="80" t="str">
        <f aca="false">IF($B886="","",IF(N($H886)&lt;=0,"Montant ?",IF($D886="RECETTE",IF(COUNTIF(PARAMETRES!$E$5:$E$9,$E886)=0,"Catégorie ?","OK"),IF($D886="DEPENSE",IF(COUNTIF(PARAMETRES!$G$5:$G$20,$E886)=0,"Catégorie ?","OK"),"Type ?"))))</f>
        <v/>
      </c>
    </row>
    <row r="887" customFormat="false" ht="16.5" hidden="false" customHeight="true" outlineLevel="0" collapsed="false">
      <c r="A887" s="81" t="str">
        <f aca="false">IF($B887="","",ROW()-7)</f>
        <v/>
      </c>
      <c r="B887" s="82"/>
      <c r="C887" s="83" t="str">
        <f aca="false">IF($B887="","",YEAR($B887)*100+MONTH($B887))</f>
        <v/>
      </c>
      <c r="D887" s="84"/>
      <c r="E887" s="85"/>
      <c r="F887" s="85"/>
      <c r="G887" s="86"/>
      <c r="H887" s="87"/>
      <c r="I887" s="88"/>
      <c r="J887" s="89" t="str">
        <f aca="false">IF($B887="","",IF(N($H887)&lt;=0,"Montant ?",IF($D887="RECETTE",IF(COUNTIF(PARAMETRES!$E$5:$E$9,$E887)=0,"Catégorie ?","OK"),IF($D887="DEPENSE",IF(COUNTIF(PARAMETRES!$G$5:$G$20,$E887)=0,"Catégorie ?","OK"),"Type ?"))))</f>
        <v/>
      </c>
    </row>
    <row r="888" customFormat="false" ht="16.5" hidden="false" customHeight="true" outlineLevel="0" collapsed="false">
      <c r="A888" s="72" t="str">
        <f aca="false">IF($B888="","",ROW()-7)</f>
        <v/>
      </c>
      <c r="B888" s="73"/>
      <c r="C888" s="74" t="str">
        <f aca="false">IF($B888="","",YEAR($B888)*100+MONTH($B888))</f>
        <v/>
      </c>
      <c r="D888" s="75"/>
      <c r="E888" s="76"/>
      <c r="F888" s="76"/>
      <c r="G888" s="77"/>
      <c r="H888" s="78"/>
      <c r="I888" s="79"/>
      <c r="J888" s="80" t="str">
        <f aca="false">IF($B888="","",IF(N($H888)&lt;=0,"Montant ?",IF($D888="RECETTE",IF(COUNTIF(PARAMETRES!$E$5:$E$9,$E888)=0,"Catégorie ?","OK"),IF($D888="DEPENSE",IF(COUNTIF(PARAMETRES!$G$5:$G$20,$E888)=0,"Catégorie ?","OK"),"Type ?"))))</f>
        <v/>
      </c>
    </row>
    <row r="889" customFormat="false" ht="16.5" hidden="false" customHeight="true" outlineLevel="0" collapsed="false">
      <c r="A889" s="81" t="str">
        <f aca="false">IF($B889="","",ROW()-7)</f>
        <v/>
      </c>
      <c r="B889" s="82"/>
      <c r="C889" s="83" t="str">
        <f aca="false">IF($B889="","",YEAR($B889)*100+MONTH($B889))</f>
        <v/>
      </c>
      <c r="D889" s="84"/>
      <c r="E889" s="85"/>
      <c r="F889" s="85"/>
      <c r="G889" s="86"/>
      <c r="H889" s="87"/>
      <c r="I889" s="88"/>
      <c r="J889" s="89" t="str">
        <f aca="false">IF($B889="","",IF(N($H889)&lt;=0,"Montant ?",IF($D889="RECETTE",IF(COUNTIF(PARAMETRES!$E$5:$E$9,$E889)=0,"Catégorie ?","OK"),IF($D889="DEPENSE",IF(COUNTIF(PARAMETRES!$G$5:$G$20,$E889)=0,"Catégorie ?","OK"),"Type ?"))))</f>
        <v/>
      </c>
    </row>
    <row r="890" customFormat="false" ht="16.5" hidden="false" customHeight="true" outlineLevel="0" collapsed="false">
      <c r="A890" s="72" t="str">
        <f aca="false">IF($B890="","",ROW()-7)</f>
        <v/>
      </c>
      <c r="B890" s="73"/>
      <c r="C890" s="74" t="str">
        <f aca="false">IF($B890="","",YEAR($B890)*100+MONTH($B890))</f>
        <v/>
      </c>
      <c r="D890" s="75"/>
      <c r="E890" s="76"/>
      <c r="F890" s="76"/>
      <c r="G890" s="77"/>
      <c r="H890" s="78"/>
      <c r="I890" s="79"/>
      <c r="J890" s="80" t="str">
        <f aca="false">IF($B890="","",IF(N($H890)&lt;=0,"Montant ?",IF($D890="RECETTE",IF(COUNTIF(PARAMETRES!$E$5:$E$9,$E890)=0,"Catégorie ?","OK"),IF($D890="DEPENSE",IF(COUNTIF(PARAMETRES!$G$5:$G$20,$E890)=0,"Catégorie ?","OK"),"Type ?"))))</f>
        <v/>
      </c>
    </row>
    <row r="891" customFormat="false" ht="16.5" hidden="false" customHeight="true" outlineLevel="0" collapsed="false">
      <c r="A891" s="81" t="str">
        <f aca="false">IF($B891="","",ROW()-7)</f>
        <v/>
      </c>
      <c r="B891" s="82"/>
      <c r="C891" s="83" t="str">
        <f aca="false">IF($B891="","",YEAR($B891)*100+MONTH($B891))</f>
        <v/>
      </c>
      <c r="D891" s="84"/>
      <c r="E891" s="85"/>
      <c r="F891" s="85"/>
      <c r="G891" s="86"/>
      <c r="H891" s="87"/>
      <c r="I891" s="88"/>
      <c r="J891" s="89" t="str">
        <f aca="false">IF($B891="","",IF(N($H891)&lt;=0,"Montant ?",IF($D891="RECETTE",IF(COUNTIF(PARAMETRES!$E$5:$E$9,$E891)=0,"Catégorie ?","OK"),IF($D891="DEPENSE",IF(COUNTIF(PARAMETRES!$G$5:$G$20,$E891)=0,"Catégorie ?","OK"),"Type ?"))))</f>
        <v/>
      </c>
    </row>
    <row r="892" customFormat="false" ht="16.5" hidden="false" customHeight="true" outlineLevel="0" collapsed="false">
      <c r="A892" s="72" t="str">
        <f aca="false">IF($B892="","",ROW()-7)</f>
        <v/>
      </c>
      <c r="B892" s="73"/>
      <c r="C892" s="74" t="str">
        <f aca="false">IF($B892="","",YEAR($B892)*100+MONTH($B892))</f>
        <v/>
      </c>
      <c r="D892" s="75"/>
      <c r="E892" s="76"/>
      <c r="F892" s="76"/>
      <c r="G892" s="77"/>
      <c r="H892" s="78"/>
      <c r="I892" s="79"/>
      <c r="J892" s="80" t="str">
        <f aca="false">IF($B892="","",IF(N($H892)&lt;=0,"Montant ?",IF($D892="RECETTE",IF(COUNTIF(PARAMETRES!$E$5:$E$9,$E892)=0,"Catégorie ?","OK"),IF($D892="DEPENSE",IF(COUNTIF(PARAMETRES!$G$5:$G$20,$E892)=0,"Catégorie ?","OK"),"Type ?"))))</f>
        <v/>
      </c>
    </row>
    <row r="893" customFormat="false" ht="16.5" hidden="false" customHeight="true" outlineLevel="0" collapsed="false">
      <c r="A893" s="81" t="str">
        <f aca="false">IF($B893="","",ROW()-7)</f>
        <v/>
      </c>
      <c r="B893" s="82"/>
      <c r="C893" s="83" t="str">
        <f aca="false">IF($B893="","",YEAR($B893)*100+MONTH($B893))</f>
        <v/>
      </c>
      <c r="D893" s="84"/>
      <c r="E893" s="85"/>
      <c r="F893" s="85"/>
      <c r="G893" s="86"/>
      <c r="H893" s="87"/>
      <c r="I893" s="88"/>
      <c r="J893" s="89" t="str">
        <f aca="false">IF($B893="","",IF(N($H893)&lt;=0,"Montant ?",IF($D893="RECETTE",IF(COUNTIF(PARAMETRES!$E$5:$E$9,$E893)=0,"Catégorie ?","OK"),IF($D893="DEPENSE",IF(COUNTIF(PARAMETRES!$G$5:$G$20,$E893)=0,"Catégorie ?","OK"),"Type ?"))))</f>
        <v/>
      </c>
    </row>
    <row r="894" customFormat="false" ht="16.5" hidden="false" customHeight="true" outlineLevel="0" collapsed="false">
      <c r="A894" s="72" t="str">
        <f aca="false">IF($B894="","",ROW()-7)</f>
        <v/>
      </c>
      <c r="B894" s="73"/>
      <c r="C894" s="74" t="str">
        <f aca="false">IF($B894="","",YEAR($B894)*100+MONTH($B894))</f>
        <v/>
      </c>
      <c r="D894" s="75"/>
      <c r="E894" s="76"/>
      <c r="F894" s="76"/>
      <c r="G894" s="77"/>
      <c r="H894" s="78"/>
      <c r="I894" s="79"/>
      <c r="J894" s="80" t="str">
        <f aca="false">IF($B894="","",IF(N($H894)&lt;=0,"Montant ?",IF($D894="RECETTE",IF(COUNTIF(PARAMETRES!$E$5:$E$9,$E894)=0,"Catégorie ?","OK"),IF($D894="DEPENSE",IF(COUNTIF(PARAMETRES!$G$5:$G$20,$E894)=0,"Catégorie ?","OK"),"Type ?"))))</f>
        <v/>
      </c>
    </row>
    <row r="895" customFormat="false" ht="16.5" hidden="false" customHeight="true" outlineLevel="0" collapsed="false">
      <c r="A895" s="81" t="str">
        <f aca="false">IF($B895="","",ROW()-7)</f>
        <v/>
      </c>
      <c r="B895" s="82"/>
      <c r="C895" s="83" t="str">
        <f aca="false">IF($B895="","",YEAR($B895)*100+MONTH($B895))</f>
        <v/>
      </c>
      <c r="D895" s="84"/>
      <c r="E895" s="85"/>
      <c r="F895" s="85"/>
      <c r="G895" s="86"/>
      <c r="H895" s="87"/>
      <c r="I895" s="88"/>
      <c r="J895" s="89" t="str">
        <f aca="false">IF($B895="","",IF(N($H895)&lt;=0,"Montant ?",IF($D895="RECETTE",IF(COUNTIF(PARAMETRES!$E$5:$E$9,$E895)=0,"Catégorie ?","OK"),IF($D895="DEPENSE",IF(COUNTIF(PARAMETRES!$G$5:$G$20,$E895)=0,"Catégorie ?","OK"),"Type ?"))))</f>
        <v/>
      </c>
    </row>
    <row r="896" customFormat="false" ht="16.5" hidden="false" customHeight="true" outlineLevel="0" collapsed="false">
      <c r="A896" s="72" t="str">
        <f aca="false">IF($B896="","",ROW()-7)</f>
        <v/>
      </c>
      <c r="B896" s="73"/>
      <c r="C896" s="74" t="str">
        <f aca="false">IF($B896="","",YEAR($B896)*100+MONTH($B896))</f>
        <v/>
      </c>
      <c r="D896" s="75"/>
      <c r="E896" s="76"/>
      <c r="F896" s="76"/>
      <c r="G896" s="77"/>
      <c r="H896" s="78"/>
      <c r="I896" s="79"/>
      <c r="J896" s="80" t="str">
        <f aca="false">IF($B896="","",IF(N($H896)&lt;=0,"Montant ?",IF($D896="RECETTE",IF(COUNTIF(PARAMETRES!$E$5:$E$9,$E896)=0,"Catégorie ?","OK"),IF($D896="DEPENSE",IF(COUNTIF(PARAMETRES!$G$5:$G$20,$E896)=0,"Catégorie ?","OK"),"Type ?"))))</f>
        <v/>
      </c>
    </row>
    <row r="897" customFormat="false" ht="16.5" hidden="false" customHeight="true" outlineLevel="0" collapsed="false">
      <c r="A897" s="81" t="str">
        <f aca="false">IF($B897="","",ROW()-7)</f>
        <v/>
      </c>
      <c r="B897" s="82"/>
      <c r="C897" s="83" t="str">
        <f aca="false">IF($B897="","",YEAR($B897)*100+MONTH($B897))</f>
        <v/>
      </c>
      <c r="D897" s="84"/>
      <c r="E897" s="85"/>
      <c r="F897" s="85"/>
      <c r="G897" s="86"/>
      <c r="H897" s="87"/>
      <c r="I897" s="88"/>
      <c r="J897" s="89" t="str">
        <f aca="false">IF($B897="","",IF(N($H897)&lt;=0,"Montant ?",IF($D897="RECETTE",IF(COUNTIF(PARAMETRES!$E$5:$E$9,$E897)=0,"Catégorie ?","OK"),IF($D897="DEPENSE",IF(COUNTIF(PARAMETRES!$G$5:$G$20,$E897)=0,"Catégorie ?","OK"),"Type ?"))))</f>
        <v/>
      </c>
    </row>
    <row r="898" customFormat="false" ht="16.5" hidden="false" customHeight="true" outlineLevel="0" collapsed="false">
      <c r="A898" s="72" t="str">
        <f aca="false">IF($B898="","",ROW()-7)</f>
        <v/>
      </c>
      <c r="B898" s="73"/>
      <c r="C898" s="74" t="str">
        <f aca="false">IF($B898="","",YEAR($B898)*100+MONTH($B898))</f>
        <v/>
      </c>
      <c r="D898" s="75"/>
      <c r="E898" s="76"/>
      <c r="F898" s="76"/>
      <c r="G898" s="77"/>
      <c r="H898" s="78"/>
      <c r="I898" s="79"/>
      <c r="J898" s="80" t="str">
        <f aca="false">IF($B898="","",IF(N($H898)&lt;=0,"Montant ?",IF($D898="RECETTE",IF(COUNTIF(PARAMETRES!$E$5:$E$9,$E898)=0,"Catégorie ?","OK"),IF($D898="DEPENSE",IF(COUNTIF(PARAMETRES!$G$5:$G$20,$E898)=0,"Catégorie ?","OK"),"Type ?"))))</f>
        <v/>
      </c>
    </row>
    <row r="899" customFormat="false" ht="16.5" hidden="false" customHeight="true" outlineLevel="0" collapsed="false">
      <c r="A899" s="81" t="str">
        <f aca="false">IF($B899="","",ROW()-7)</f>
        <v/>
      </c>
      <c r="B899" s="82"/>
      <c r="C899" s="83" t="str">
        <f aca="false">IF($B899="","",YEAR($B899)*100+MONTH($B899))</f>
        <v/>
      </c>
      <c r="D899" s="84"/>
      <c r="E899" s="85"/>
      <c r="F899" s="85"/>
      <c r="G899" s="86"/>
      <c r="H899" s="87"/>
      <c r="I899" s="88"/>
      <c r="J899" s="89" t="str">
        <f aca="false">IF($B899="","",IF(N($H899)&lt;=0,"Montant ?",IF($D899="RECETTE",IF(COUNTIF(PARAMETRES!$E$5:$E$9,$E899)=0,"Catégorie ?","OK"),IF($D899="DEPENSE",IF(COUNTIF(PARAMETRES!$G$5:$G$20,$E899)=0,"Catégorie ?","OK"),"Type ?"))))</f>
        <v/>
      </c>
    </row>
    <row r="900" customFormat="false" ht="16.5" hidden="false" customHeight="true" outlineLevel="0" collapsed="false">
      <c r="A900" s="72" t="str">
        <f aca="false">IF($B900="","",ROW()-7)</f>
        <v/>
      </c>
      <c r="B900" s="73"/>
      <c r="C900" s="74" t="str">
        <f aca="false">IF($B900="","",YEAR($B900)*100+MONTH($B900))</f>
        <v/>
      </c>
      <c r="D900" s="75"/>
      <c r="E900" s="76"/>
      <c r="F900" s="76"/>
      <c r="G900" s="77"/>
      <c r="H900" s="78"/>
      <c r="I900" s="79"/>
      <c r="J900" s="80" t="str">
        <f aca="false">IF($B900="","",IF(N($H900)&lt;=0,"Montant ?",IF($D900="RECETTE",IF(COUNTIF(PARAMETRES!$E$5:$E$9,$E900)=0,"Catégorie ?","OK"),IF($D900="DEPENSE",IF(COUNTIF(PARAMETRES!$G$5:$G$20,$E900)=0,"Catégorie ?","OK"),"Type ?"))))</f>
        <v/>
      </c>
    </row>
    <row r="901" customFormat="false" ht="16.5" hidden="false" customHeight="true" outlineLevel="0" collapsed="false">
      <c r="A901" s="81" t="str">
        <f aca="false">IF($B901="","",ROW()-7)</f>
        <v/>
      </c>
      <c r="B901" s="82"/>
      <c r="C901" s="83" t="str">
        <f aca="false">IF($B901="","",YEAR($B901)*100+MONTH($B901))</f>
        <v/>
      </c>
      <c r="D901" s="84"/>
      <c r="E901" s="85"/>
      <c r="F901" s="85"/>
      <c r="G901" s="86"/>
      <c r="H901" s="87"/>
      <c r="I901" s="88"/>
      <c r="J901" s="89" t="str">
        <f aca="false">IF($B901="","",IF(N($H901)&lt;=0,"Montant ?",IF($D901="RECETTE",IF(COUNTIF(PARAMETRES!$E$5:$E$9,$E901)=0,"Catégorie ?","OK"),IF($D901="DEPENSE",IF(COUNTIF(PARAMETRES!$G$5:$G$20,$E901)=0,"Catégorie ?","OK"),"Type ?"))))</f>
        <v/>
      </c>
    </row>
    <row r="902" customFormat="false" ht="16.5" hidden="false" customHeight="true" outlineLevel="0" collapsed="false">
      <c r="A902" s="72" t="str">
        <f aca="false">IF($B902="","",ROW()-7)</f>
        <v/>
      </c>
      <c r="B902" s="73"/>
      <c r="C902" s="74" t="str">
        <f aca="false">IF($B902="","",YEAR($B902)*100+MONTH($B902))</f>
        <v/>
      </c>
      <c r="D902" s="75"/>
      <c r="E902" s="76"/>
      <c r="F902" s="76"/>
      <c r="G902" s="77"/>
      <c r="H902" s="78"/>
      <c r="I902" s="79"/>
      <c r="J902" s="80" t="str">
        <f aca="false">IF($B902="","",IF(N($H902)&lt;=0,"Montant ?",IF($D902="RECETTE",IF(COUNTIF(PARAMETRES!$E$5:$E$9,$E902)=0,"Catégorie ?","OK"),IF($D902="DEPENSE",IF(COUNTIF(PARAMETRES!$G$5:$G$20,$E902)=0,"Catégorie ?","OK"),"Type ?"))))</f>
        <v/>
      </c>
    </row>
    <row r="903" customFormat="false" ht="16.5" hidden="false" customHeight="true" outlineLevel="0" collapsed="false">
      <c r="A903" s="81" t="str">
        <f aca="false">IF($B903="","",ROW()-7)</f>
        <v/>
      </c>
      <c r="B903" s="82"/>
      <c r="C903" s="83" t="str">
        <f aca="false">IF($B903="","",YEAR($B903)*100+MONTH($B903))</f>
        <v/>
      </c>
      <c r="D903" s="84"/>
      <c r="E903" s="85"/>
      <c r="F903" s="85"/>
      <c r="G903" s="86"/>
      <c r="H903" s="87"/>
      <c r="I903" s="88"/>
      <c r="J903" s="89" t="str">
        <f aca="false">IF($B903="","",IF(N($H903)&lt;=0,"Montant ?",IF($D903="RECETTE",IF(COUNTIF(PARAMETRES!$E$5:$E$9,$E903)=0,"Catégorie ?","OK"),IF($D903="DEPENSE",IF(COUNTIF(PARAMETRES!$G$5:$G$20,$E903)=0,"Catégorie ?","OK"),"Type ?"))))</f>
        <v/>
      </c>
    </row>
    <row r="904" customFormat="false" ht="16.5" hidden="false" customHeight="true" outlineLevel="0" collapsed="false">
      <c r="A904" s="72" t="str">
        <f aca="false">IF($B904="","",ROW()-7)</f>
        <v/>
      </c>
      <c r="B904" s="73"/>
      <c r="C904" s="74" t="str">
        <f aca="false">IF($B904="","",YEAR($B904)*100+MONTH($B904))</f>
        <v/>
      </c>
      <c r="D904" s="75"/>
      <c r="E904" s="76"/>
      <c r="F904" s="76"/>
      <c r="G904" s="77"/>
      <c r="H904" s="78"/>
      <c r="I904" s="79"/>
      <c r="J904" s="80" t="str">
        <f aca="false">IF($B904="","",IF(N($H904)&lt;=0,"Montant ?",IF($D904="RECETTE",IF(COUNTIF(PARAMETRES!$E$5:$E$9,$E904)=0,"Catégorie ?","OK"),IF($D904="DEPENSE",IF(COUNTIF(PARAMETRES!$G$5:$G$20,$E904)=0,"Catégorie ?","OK"),"Type ?"))))</f>
        <v/>
      </c>
    </row>
    <row r="905" customFormat="false" ht="16.5" hidden="false" customHeight="true" outlineLevel="0" collapsed="false">
      <c r="A905" s="81" t="str">
        <f aca="false">IF($B905="","",ROW()-7)</f>
        <v/>
      </c>
      <c r="B905" s="82"/>
      <c r="C905" s="83" t="str">
        <f aca="false">IF($B905="","",YEAR($B905)*100+MONTH($B905))</f>
        <v/>
      </c>
      <c r="D905" s="84"/>
      <c r="E905" s="85"/>
      <c r="F905" s="85"/>
      <c r="G905" s="86"/>
      <c r="H905" s="87"/>
      <c r="I905" s="88"/>
      <c r="J905" s="89" t="str">
        <f aca="false">IF($B905="","",IF(N($H905)&lt;=0,"Montant ?",IF($D905="RECETTE",IF(COUNTIF(PARAMETRES!$E$5:$E$9,$E905)=0,"Catégorie ?","OK"),IF($D905="DEPENSE",IF(COUNTIF(PARAMETRES!$G$5:$G$20,$E905)=0,"Catégorie ?","OK"),"Type ?"))))</f>
        <v/>
      </c>
    </row>
    <row r="906" customFormat="false" ht="16.5" hidden="false" customHeight="true" outlineLevel="0" collapsed="false">
      <c r="A906" s="72" t="str">
        <f aca="false">IF($B906="","",ROW()-7)</f>
        <v/>
      </c>
      <c r="B906" s="73"/>
      <c r="C906" s="74" t="str">
        <f aca="false">IF($B906="","",YEAR($B906)*100+MONTH($B906))</f>
        <v/>
      </c>
      <c r="D906" s="75"/>
      <c r="E906" s="76"/>
      <c r="F906" s="76"/>
      <c r="G906" s="77"/>
      <c r="H906" s="78"/>
      <c r="I906" s="79"/>
      <c r="J906" s="80" t="str">
        <f aca="false">IF($B906="","",IF(N($H906)&lt;=0,"Montant ?",IF($D906="RECETTE",IF(COUNTIF(PARAMETRES!$E$5:$E$9,$E906)=0,"Catégorie ?","OK"),IF($D906="DEPENSE",IF(COUNTIF(PARAMETRES!$G$5:$G$20,$E906)=0,"Catégorie ?","OK"),"Type ?"))))</f>
        <v/>
      </c>
    </row>
    <row r="907" customFormat="false" ht="16.5" hidden="false" customHeight="true" outlineLevel="0" collapsed="false">
      <c r="A907" s="81" t="str">
        <f aca="false">IF($B907="","",ROW()-7)</f>
        <v/>
      </c>
      <c r="B907" s="82"/>
      <c r="C907" s="83" t="str">
        <f aca="false">IF($B907="","",YEAR($B907)*100+MONTH($B907))</f>
        <v/>
      </c>
      <c r="D907" s="84"/>
      <c r="E907" s="85"/>
      <c r="F907" s="85"/>
      <c r="G907" s="86"/>
      <c r="H907" s="87"/>
      <c r="I907" s="88"/>
      <c r="J907" s="89" t="str">
        <f aca="false">IF($B907="","",IF(N($H907)&lt;=0,"Montant ?",IF($D907="RECETTE",IF(COUNTIF(PARAMETRES!$E$5:$E$9,$E907)=0,"Catégorie ?","OK"),IF($D907="DEPENSE",IF(COUNTIF(PARAMETRES!$G$5:$G$20,$E907)=0,"Catégorie ?","OK"),"Type ?"))))</f>
        <v/>
      </c>
    </row>
    <row r="908" customFormat="false" ht="16.5" hidden="false" customHeight="true" outlineLevel="0" collapsed="false">
      <c r="A908" s="72" t="str">
        <f aca="false">IF($B908="","",ROW()-7)</f>
        <v/>
      </c>
      <c r="B908" s="73"/>
      <c r="C908" s="74" t="str">
        <f aca="false">IF($B908="","",YEAR($B908)*100+MONTH($B908))</f>
        <v/>
      </c>
      <c r="D908" s="75"/>
      <c r="E908" s="76"/>
      <c r="F908" s="76"/>
      <c r="G908" s="77"/>
      <c r="H908" s="78"/>
      <c r="I908" s="79"/>
      <c r="J908" s="80" t="str">
        <f aca="false">IF($B908="","",IF(N($H908)&lt;=0,"Montant ?",IF($D908="RECETTE",IF(COUNTIF(PARAMETRES!$E$5:$E$9,$E908)=0,"Catégorie ?","OK"),IF($D908="DEPENSE",IF(COUNTIF(PARAMETRES!$G$5:$G$20,$E908)=0,"Catégorie ?","OK"),"Type ?"))))</f>
        <v/>
      </c>
    </row>
    <row r="909" customFormat="false" ht="16.5" hidden="false" customHeight="true" outlineLevel="0" collapsed="false">
      <c r="A909" s="81" t="str">
        <f aca="false">IF($B909="","",ROW()-7)</f>
        <v/>
      </c>
      <c r="B909" s="82"/>
      <c r="C909" s="83" t="str">
        <f aca="false">IF($B909="","",YEAR($B909)*100+MONTH($B909))</f>
        <v/>
      </c>
      <c r="D909" s="84"/>
      <c r="E909" s="85"/>
      <c r="F909" s="85"/>
      <c r="G909" s="86"/>
      <c r="H909" s="87"/>
      <c r="I909" s="88"/>
      <c r="J909" s="89" t="str">
        <f aca="false">IF($B909="","",IF(N($H909)&lt;=0,"Montant ?",IF($D909="RECETTE",IF(COUNTIF(PARAMETRES!$E$5:$E$9,$E909)=0,"Catégorie ?","OK"),IF($D909="DEPENSE",IF(COUNTIF(PARAMETRES!$G$5:$G$20,$E909)=0,"Catégorie ?","OK"),"Type ?"))))</f>
        <v/>
      </c>
    </row>
    <row r="910" customFormat="false" ht="16.5" hidden="false" customHeight="true" outlineLevel="0" collapsed="false">
      <c r="A910" s="72" t="str">
        <f aca="false">IF($B910="","",ROW()-7)</f>
        <v/>
      </c>
      <c r="B910" s="73"/>
      <c r="C910" s="74" t="str">
        <f aca="false">IF($B910="","",YEAR($B910)*100+MONTH($B910))</f>
        <v/>
      </c>
      <c r="D910" s="75"/>
      <c r="E910" s="76"/>
      <c r="F910" s="76"/>
      <c r="G910" s="77"/>
      <c r="H910" s="78"/>
      <c r="I910" s="79"/>
      <c r="J910" s="80" t="str">
        <f aca="false">IF($B910="","",IF(N($H910)&lt;=0,"Montant ?",IF($D910="RECETTE",IF(COUNTIF(PARAMETRES!$E$5:$E$9,$E910)=0,"Catégorie ?","OK"),IF($D910="DEPENSE",IF(COUNTIF(PARAMETRES!$G$5:$G$20,$E910)=0,"Catégorie ?","OK"),"Type ?"))))</f>
        <v/>
      </c>
    </row>
    <row r="911" customFormat="false" ht="16.5" hidden="false" customHeight="true" outlineLevel="0" collapsed="false">
      <c r="A911" s="81" t="str">
        <f aca="false">IF($B911="","",ROW()-7)</f>
        <v/>
      </c>
      <c r="B911" s="82"/>
      <c r="C911" s="83" t="str">
        <f aca="false">IF($B911="","",YEAR($B911)*100+MONTH($B911))</f>
        <v/>
      </c>
      <c r="D911" s="84"/>
      <c r="E911" s="85"/>
      <c r="F911" s="85"/>
      <c r="G911" s="86"/>
      <c r="H911" s="87"/>
      <c r="I911" s="88"/>
      <c r="J911" s="89" t="str">
        <f aca="false">IF($B911="","",IF(N($H911)&lt;=0,"Montant ?",IF($D911="RECETTE",IF(COUNTIF(PARAMETRES!$E$5:$E$9,$E911)=0,"Catégorie ?","OK"),IF($D911="DEPENSE",IF(COUNTIF(PARAMETRES!$G$5:$G$20,$E911)=0,"Catégorie ?","OK"),"Type ?"))))</f>
        <v/>
      </c>
    </row>
    <row r="912" customFormat="false" ht="16.5" hidden="false" customHeight="true" outlineLevel="0" collapsed="false">
      <c r="A912" s="72" t="str">
        <f aca="false">IF($B912="","",ROW()-7)</f>
        <v/>
      </c>
      <c r="B912" s="73"/>
      <c r="C912" s="74" t="str">
        <f aca="false">IF($B912="","",YEAR($B912)*100+MONTH($B912))</f>
        <v/>
      </c>
      <c r="D912" s="75"/>
      <c r="E912" s="76"/>
      <c r="F912" s="76"/>
      <c r="G912" s="77"/>
      <c r="H912" s="78"/>
      <c r="I912" s="79"/>
      <c r="J912" s="80" t="str">
        <f aca="false">IF($B912="","",IF(N($H912)&lt;=0,"Montant ?",IF($D912="RECETTE",IF(COUNTIF(PARAMETRES!$E$5:$E$9,$E912)=0,"Catégorie ?","OK"),IF($D912="DEPENSE",IF(COUNTIF(PARAMETRES!$G$5:$G$20,$E912)=0,"Catégorie ?","OK"),"Type ?"))))</f>
        <v/>
      </c>
    </row>
    <row r="913" customFormat="false" ht="16.5" hidden="false" customHeight="true" outlineLevel="0" collapsed="false">
      <c r="A913" s="81" t="str">
        <f aca="false">IF($B913="","",ROW()-7)</f>
        <v/>
      </c>
      <c r="B913" s="82"/>
      <c r="C913" s="83" t="str">
        <f aca="false">IF($B913="","",YEAR($B913)*100+MONTH($B913))</f>
        <v/>
      </c>
      <c r="D913" s="84"/>
      <c r="E913" s="85"/>
      <c r="F913" s="85"/>
      <c r="G913" s="86"/>
      <c r="H913" s="87"/>
      <c r="I913" s="88"/>
      <c r="J913" s="89" t="str">
        <f aca="false">IF($B913="","",IF(N($H913)&lt;=0,"Montant ?",IF($D913="RECETTE",IF(COUNTIF(PARAMETRES!$E$5:$E$9,$E913)=0,"Catégorie ?","OK"),IF($D913="DEPENSE",IF(COUNTIF(PARAMETRES!$G$5:$G$20,$E913)=0,"Catégorie ?","OK"),"Type ?"))))</f>
        <v/>
      </c>
    </row>
    <row r="914" customFormat="false" ht="16.5" hidden="false" customHeight="true" outlineLevel="0" collapsed="false">
      <c r="A914" s="72" t="str">
        <f aca="false">IF($B914="","",ROW()-7)</f>
        <v/>
      </c>
      <c r="B914" s="73"/>
      <c r="C914" s="74" t="str">
        <f aca="false">IF($B914="","",YEAR($B914)*100+MONTH($B914))</f>
        <v/>
      </c>
      <c r="D914" s="75"/>
      <c r="E914" s="76"/>
      <c r="F914" s="76"/>
      <c r="G914" s="77"/>
      <c r="H914" s="78"/>
      <c r="I914" s="79"/>
      <c r="J914" s="80" t="str">
        <f aca="false">IF($B914="","",IF(N($H914)&lt;=0,"Montant ?",IF($D914="RECETTE",IF(COUNTIF(PARAMETRES!$E$5:$E$9,$E914)=0,"Catégorie ?","OK"),IF($D914="DEPENSE",IF(COUNTIF(PARAMETRES!$G$5:$G$20,$E914)=0,"Catégorie ?","OK"),"Type ?"))))</f>
        <v/>
      </c>
    </row>
    <row r="915" customFormat="false" ht="16.5" hidden="false" customHeight="true" outlineLevel="0" collapsed="false">
      <c r="A915" s="81" t="str">
        <f aca="false">IF($B915="","",ROW()-7)</f>
        <v/>
      </c>
      <c r="B915" s="82"/>
      <c r="C915" s="83" t="str">
        <f aca="false">IF($B915="","",YEAR($B915)*100+MONTH($B915))</f>
        <v/>
      </c>
      <c r="D915" s="84"/>
      <c r="E915" s="85"/>
      <c r="F915" s="85"/>
      <c r="G915" s="86"/>
      <c r="H915" s="87"/>
      <c r="I915" s="88"/>
      <c r="J915" s="89" t="str">
        <f aca="false">IF($B915="","",IF(N($H915)&lt;=0,"Montant ?",IF($D915="RECETTE",IF(COUNTIF(PARAMETRES!$E$5:$E$9,$E915)=0,"Catégorie ?","OK"),IF($D915="DEPENSE",IF(COUNTIF(PARAMETRES!$G$5:$G$20,$E915)=0,"Catégorie ?","OK"),"Type ?"))))</f>
        <v/>
      </c>
    </row>
    <row r="916" customFormat="false" ht="16.5" hidden="false" customHeight="true" outlineLevel="0" collapsed="false">
      <c r="A916" s="72" t="str">
        <f aca="false">IF($B916="","",ROW()-7)</f>
        <v/>
      </c>
      <c r="B916" s="73"/>
      <c r="C916" s="74" t="str">
        <f aca="false">IF($B916="","",YEAR($B916)*100+MONTH($B916))</f>
        <v/>
      </c>
      <c r="D916" s="75"/>
      <c r="E916" s="76"/>
      <c r="F916" s="76"/>
      <c r="G916" s="77"/>
      <c r="H916" s="78"/>
      <c r="I916" s="79"/>
      <c r="J916" s="80" t="str">
        <f aca="false">IF($B916="","",IF(N($H916)&lt;=0,"Montant ?",IF($D916="RECETTE",IF(COUNTIF(PARAMETRES!$E$5:$E$9,$E916)=0,"Catégorie ?","OK"),IF($D916="DEPENSE",IF(COUNTIF(PARAMETRES!$G$5:$G$20,$E916)=0,"Catégorie ?","OK"),"Type ?"))))</f>
        <v/>
      </c>
    </row>
    <row r="917" customFormat="false" ht="16.5" hidden="false" customHeight="true" outlineLevel="0" collapsed="false">
      <c r="A917" s="81" t="str">
        <f aca="false">IF($B917="","",ROW()-7)</f>
        <v/>
      </c>
      <c r="B917" s="82"/>
      <c r="C917" s="83" t="str">
        <f aca="false">IF($B917="","",YEAR($B917)*100+MONTH($B917))</f>
        <v/>
      </c>
      <c r="D917" s="84"/>
      <c r="E917" s="85"/>
      <c r="F917" s="85"/>
      <c r="G917" s="86"/>
      <c r="H917" s="87"/>
      <c r="I917" s="88"/>
      <c r="J917" s="89" t="str">
        <f aca="false">IF($B917="","",IF(N($H917)&lt;=0,"Montant ?",IF($D917="RECETTE",IF(COUNTIF(PARAMETRES!$E$5:$E$9,$E917)=0,"Catégorie ?","OK"),IF($D917="DEPENSE",IF(COUNTIF(PARAMETRES!$G$5:$G$20,$E917)=0,"Catégorie ?","OK"),"Type ?"))))</f>
        <v/>
      </c>
    </row>
    <row r="918" customFormat="false" ht="16.5" hidden="false" customHeight="true" outlineLevel="0" collapsed="false">
      <c r="A918" s="72" t="str">
        <f aca="false">IF($B918="","",ROW()-7)</f>
        <v/>
      </c>
      <c r="B918" s="73"/>
      <c r="C918" s="74" t="str">
        <f aca="false">IF($B918="","",YEAR($B918)*100+MONTH($B918))</f>
        <v/>
      </c>
      <c r="D918" s="75"/>
      <c r="E918" s="76"/>
      <c r="F918" s="76"/>
      <c r="G918" s="77"/>
      <c r="H918" s="78"/>
      <c r="I918" s="79"/>
      <c r="J918" s="80" t="str">
        <f aca="false">IF($B918="","",IF(N($H918)&lt;=0,"Montant ?",IF($D918="RECETTE",IF(COUNTIF(PARAMETRES!$E$5:$E$9,$E918)=0,"Catégorie ?","OK"),IF($D918="DEPENSE",IF(COUNTIF(PARAMETRES!$G$5:$G$20,$E918)=0,"Catégorie ?","OK"),"Type ?"))))</f>
        <v/>
      </c>
    </row>
    <row r="919" customFormat="false" ht="16.5" hidden="false" customHeight="true" outlineLevel="0" collapsed="false">
      <c r="A919" s="81" t="str">
        <f aca="false">IF($B919="","",ROW()-7)</f>
        <v/>
      </c>
      <c r="B919" s="82"/>
      <c r="C919" s="83" t="str">
        <f aca="false">IF($B919="","",YEAR($B919)*100+MONTH($B919))</f>
        <v/>
      </c>
      <c r="D919" s="84"/>
      <c r="E919" s="85"/>
      <c r="F919" s="85"/>
      <c r="G919" s="86"/>
      <c r="H919" s="87"/>
      <c r="I919" s="88"/>
      <c r="J919" s="89" t="str">
        <f aca="false">IF($B919="","",IF(N($H919)&lt;=0,"Montant ?",IF($D919="RECETTE",IF(COUNTIF(PARAMETRES!$E$5:$E$9,$E919)=0,"Catégorie ?","OK"),IF($D919="DEPENSE",IF(COUNTIF(PARAMETRES!$G$5:$G$20,$E919)=0,"Catégorie ?","OK"),"Type ?"))))</f>
        <v/>
      </c>
    </row>
    <row r="920" customFormat="false" ht="16.5" hidden="false" customHeight="true" outlineLevel="0" collapsed="false">
      <c r="A920" s="72" t="str">
        <f aca="false">IF($B920="","",ROW()-7)</f>
        <v/>
      </c>
      <c r="B920" s="73"/>
      <c r="C920" s="74" t="str">
        <f aca="false">IF($B920="","",YEAR($B920)*100+MONTH($B920))</f>
        <v/>
      </c>
      <c r="D920" s="75"/>
      <c r="E920" s="76"/>
      <c r="F920" s="76"/>
      <c r="G920" s="77"/>
      <c r="H920" s="78"/>
      <c r="I920" s="79"/>
      <c r="J920" s="80" t="str">
        <f aca="false">IF($B920="","",IF(N($H920)&lt;=0,"Montant ?",IF($D920="RECETTE",IF(COUNTIF(PARAMETRES!$E$5:$E$9,$E920)=0,"Catégorie ?","OK"),IF($D920="DEPENSE",IF(COUNTIF(PARAMETRES!$G$5:$G$20,$E920)=0,"Catégorie ?","OK"),"Type ?"))))</f>
        <v/>
      </c>
    </row>
    <row r="921" customFormat="false" ht="16.5" hidden="false" customHeight="true" outlineLevel="0" collapsed="false">
      <c r="A921" s="81" t="str">
        <f aca="false">IF($B921="","",ROW()-7)</f>
        <v/>
      </c>
      <c r="B921" s="82"/>
      <c r="C921" s="83" t="str">
        <f aca="false">IF($B921="","",YEAR($B921)*100+MONTH($B921))</f>
        <v/>
      </c>
      <c r="D921" s="84"/>
      <c r="E921" s="85"/>
      <c r="F921" s="85"/>
      <c r="G921" s="86"/>
      <c r="H921" s="87"/>
      <c r="I921" s="88"/>
      <c r="J921" s="89" t="str">
        <f aca="false">IF($B921="","",IF(N($H921)&lt;=0,"Montant ?",IF($D921="RECETTE",IF(COUNTIF(PARAMETRES!$E$5:$E$9,$E921)=0,"Catégorie ?","OK"),IF($D921="DEPENSE",IF(COUNTIF(PARAMETRES!$G$5:$G$20,$E921)=0,"Catégorie ?","OK"),"Type ?"))))</f>
        <v/>
      </c>
    </row>
    <row r="922" customFormat="false" ht="16.5" hidden="false" customHeight="true" outlineLevel="0" collapsed="false">
      <c r="A922" s="72" t="str">
        <f aca="false">IF($B922="","",ROW()-7)</f>
        <v/>
      </c>
      <c r="B922" s="73"/>
      <c r="C922" s="74" t="str">
        <f aca="false">IF($B922="","",YEAR($B922)*100+MONTH($B922))</f>
        <v/>
      </c>
      <c r="D922" s="75"/>
      <c r="E922" s="76"/>
      <c r="F922" s="76"/>
      <c r="G922" s="77"/>
      <c r="H922" s="78"/>
      <c r="I922" s="79"/>
      <c r="J922" s="80" t="str">
        <f aca="false">IF($B922="","",IF(N($H922)&lt;=0,"Montant ?",IF($D922="RECETTE",IF(COUNTIF(PARAMETRES!$E$5:$E$9,$E922)=0,"Catégorie ?","OK"),IF($D922="DEPENSE",IF(COUNTIF(PARAMETRES!$G$5:$G$20,$E922)=0,"Catégorie ?","OK"),"Type ?"))))</f>
        <v/>
      </c>
    </row>
    <row r="923" customFormat="false" ht="16.5" hidden="false" customHeight="true" outlineLevel="0" collapsed="false">
      <c r="A923" s="81" t="str">
        <f aca="false">IF($B923="","",ROW()-7)</f>
        <v/>
      </c>
      <c r="B923" s="82"/>
      <c r="C923" s="83" t="str">
        <f aca="false">IF($B923="","",YEAR($B923)*100+MONTH($B923))</f>
        <v/>
      </c>
      <c r="D923" s="84"/>
      <c r="E923" s="85"/>
      <c r="F923" s="85"/>
      <c r="G923" s="86"/>
      <c r="H923" s="87"/>
      <c r="I923" s="88"/>
      <c r="J923" s="89" t="str">
        <f aca="false">IF($B923="","",IF(N($H923)&lt;=0,"Montant ?",IF($D923="RECETTE",IF(COUNTIF(PARAMETRES!$E$5:$E$9,$E923)=0,"Catégorie ?","OK"),IF($D923="DEPENSE",IF(COUNTIF(PARAMETRES!$G$5:$G$20,$E923)=0,"Catégorie ?","OK"),"Type ?"))))</f>
        <v/>
      </c>
    </row>
    <row r="924" customFormat="false" ht="16.5" hidden="false" customHeight="true" outlineLevel="0" collapsed="false">
      <c r="A924" s="72" t="str">
        <f aca="false">IF($B924="","",ROW()-7)</f>
        <v/>
      </c>
      <c r="B924" s="73"/>
      <c r="C924" s="74" t="str">
        <f aca="false">IF($B924="","",YEAR($B924)*100+MONTH($B924))</f>
        <v/>
      </c>
      <c r="D924" s="75"/>
      <c r="E924" s="76"/>
      <c r="F924" s="76"/>
      <c r="G924" s="77"/>
      <c r="H924" s="78"/>
      <c r="I924" s="79"/>
      <c r="J924" s="80" t="str">
        <f aca="false">IF($B924="","",IF(N($H924)&lt;=0,"Montant ?",IF($D924="RECETTE",IF(COUNTIF(PARAMETRES!$E$5:$E$9,$E924)=0,"Catégorie ?","OK"),IF($D924="DEPENSE",IF(COUNTIF(PARAMETRES!$G$5:$G$20,$E924)=0,"Catégorie ?","OK"),"Type ?"))))</f>
        <v/>
      </c>
    </row>
    <row r="925" customFormat="false" ht="16.5" hidden="false" customHeight="true" outlineLevel="0" collapsed="false">
      <c r="A925" s="81" t="str">
        <f aca="false">IF($B925="","",ROW()-7)</f>
        <v/>
      </c>
      <c r="B925" s="82"/>
      <c r="C925" s="83" t="str">
        <f aca="false">IF($B925="","",YEAR($B925)*100+MONTH($B925))</f>
        <v/>
      </c>
      <c r="D925" s="84"/>
      <c r="E925" s="85"/>
      <c r="F925" s="85"/>
      <c r="G925" s="86"/>
      <c r="H925" s="87"/>
      <c r="I925" s="88"/>
      <c r="J925" s="89" t="str">
        <f aca="false">IF($B925="","",IF(N($H925)&lt;=0,"Montant ?",IF($D925="RECETTE",IF(COUNTIF(PARAMETRES!$E$5:$E$9,$E925)=0,"Catégorie ?","OK"),IF($D925="DEPENSE",IF(COUNTIF(PARAMETRES!$G$5:$G$20,$E925)=0,"Catégorie ?","OK"),"Type ?"))))</f>
        <v/>
      </c>
    </row>
    <row r="926" customFormat="false" ht="16.5" hidden="false" customHeight="true" outlineLevel="0" collapsed="false">
      <c r="A926" s="72" t="str">
        <f aca="false">IF($B926="","",ROW()-7)</f>
        <v/>
      </c>
      <c r="B926" s="73"/>
      <c r="C926" s="74" t="str">
        <f aca="false">IF($B926="","",YEAR($B926)*100+MONTH($B926))</f>
        <v/>
      </c>
      <c r="D926" s="75"/>
      <c r="E926" s="76"/>
      <c r="F926" s="76"/>
      <c r="G926" s="77"/>
      <c r="H926" s="78"/>
      <c r="I926" s="79"/>
      <c r="J926" s="80" t="str">
        <f aca="false">IF($B926="","",IF(N($H926)&lt;=0,"Montant ?",IF($D926="RECETTE",IF(COUNTIF(PARAMETRES!$E$5:$E$9,$E926)=0,"Catégorie ?","OK"),IF($D926="DEPENSE",IF(COUNTIF(PARAMETRES!$G$5:$G$20,$E926)=0,"Catégorie ?","OK"),"Type ?"))))</f>
        <v/>
      </c>
    </row>
    <row r="927" customFormat="false" ht="16.5" hidden="false" customHeight="true" outlineLevel="0" collapsed="false">
      <c r="A927" s="81" t="str">
        <f aca="false">IF($B927="","",ROW()-7)</f>
        <v/>
      </c>
      <c r="B927" s="82"/>
      <c r="C927" s="83" t="str">
        <f aca="false">IF($B927="","",YEAR($B927)*100+MONTH($B927))</f>
        <v/>
      </c>
      <c r="D927" s="84"/>
      <c r="E927" s="85"/>
      <c r="F927" s="85"/>
      <c r="G927" s="86"/>
      <c r="H927" s="87"/>
      <c r="I927" s="88"/>
      <c r="J927" s="89" t="str">
        <f aca="false">IF($B927="","",IF(N($H927)&lt;=0,"Montant ?",IF($D927="RECETTE",IF(COUNTIF(PARAMETRES!$E$5:$E$9,$E927)=0,"Catégorie ?","OK"),IF($D927="DEPENSE",IF(COUNTIF(PARAMETRES!$G$5:$G$20,$E927)=0,"Catégorie ?","OK"),"Type ?"))))</f>
        <v/>
      </c>
    </row>
    <row r="928" customFormat="false" ht="16.5" hidden="false" customHeight="true" outlineLevel="0" collapsed="false">
      <c r="A928" s="72" t="str">
        <f aca="false">IF($B928="","",ROW()-7)</f>
        <v/>
      </c>
      <c r="B928" s="73"/>
      <c r="C928" s="74" t="str">
        <f aca="false">IF($B928="","",YEAR($B928)*100+MONTH($B928))</f>
        <v/>
      </c>
      <c r="D928" s="75"/>
      <c r="E928" s="76"/>
      <c r="F928" s="76"/>
      <c r="G928" s="77"/>
      <c r="H928" s="78"/>
      <c r="I928" s="79"/>
      <c r="J928" s="80" t="str">
        <f aca="false">IF($B928="","",IF(N($H928)&lt;=0,"Montant ?",IF($D928="RECETTE",IF(COUNTIF(PARAMETRES!$E$5:$E$9,$E928)=0,"Catégorie ?","OK"),IF($D928="DEPENSE",IF(COUNTIF(PARAMETRES!$G$5:$G$20,$E928)=0,"Catégorie ?","OK"),"Type ?"))))</f>
        <v/>
      </c>
    </row>
    <row r="929" customFormat="false" ht="16.5" hidden="false" customHeight="true" outlineLevel="0" collapsed="false">
      <c r="A929" s="81" t="str">
        <f aca="false">IF($B929="","",ROW()-7)</f>
        <v/>
      </c>
      <c r="B929" s="82"/>
      <c r="C929" s="83" t="str">
        <f aca="false">IF($B929="","",YEAR($B929)*100+MONTH($B929))</f>
        <v/>
      </c>
      <c r="D929" s="84"/>
      <c r="E929" s="85"/>
      <c r="F929" s="85"/>
      <c r="G929" s="86"/>
      <c r="H929" s="87"/>
      <c r="I929" s="88"/>
      <c r="J929" s="89" t="str">
        <f aca="false">IF($B929="","",IF(N($H929)&lt;=0,"Montant ?",IF($D929="RECETTE",IF(COUNTIF(PARAMETRES!$E$5:$E$9,$E929)=0,"Catégorie ?","OK"),IF($D929="DEPENSE",IF(COUNTIF(PARAMETRES!$G$5:$G$20,$E929)=0,"Catégorie ?","OK"),"Type ?"))))</f>
        <v/>
      </c>
    </row>
    <row r="930" customFormat="false" ht="16.5" hidden="false" customHeight="true" outlineLevel="0" collapsed="false">
      <c r="A930" s="72" t="str">
        <f aca="false">IF($B930="","",ROW()-7)</f>
        <v/>
      </c>
      <c r="B930" s="73"/>
      <c r="C930" s="74" t="str">
        <f aca="false">IF($B930="","",YEAR($B930)*100+MONTH($B930))</f>
        <v/>
      </c>
      <c r="D930" s="75"/>
      <c r="E930" s="76"/>
      <c r="F930" s="76"/>
      <c r="G930" s="77"/>
      <c r="H930" s="78"/>
      <c r="I930" s="79"/>
      <c r="J930" s="80" t="str">
        <f aca="false">IF($B930="","",IF(N($H930)&lt;=0,"Montant ?",IF($D930="RECETTE",IF(COUNTIF(PARAMETRES!$E$5:$E$9,$E930)=0,"Catégorie ?","OK"),IF($D930="DEPENSE",IF(COUNTIF(PARAMETRES!$G$5:$G$20,$E930)=0,"Catégorie ?","OK"),"Type ?"))))</f>
        <v/>
      </c>
    </row>
    <row r="931" customFormat="false" ht="16.5" hidden="false" customHeight="true" outlineLevel="0" collapsed="false">
      <c r="A931" s="81" t="str">
        <f aca="false">IF($B931="","",ROW()-7)</f>
        <v/>
      </c>
      <c r="B931" s="82"/>
      <c r="C931" s="83" t="str">
        <f aca="false">IF($B931="","",YEAR($B931)*100+MONTH($B931))</f>
        <v/>
      </c>
      <c r="D931" s="84"/>
      <c r="E931" s="85"/>
      <c r="F931" s="85"/>
      <c r="G931" s="86"/>
      <c r="H931" s="87"/>
      <c r="I931" s="88"/>
      <c r="J931" s="89" t="str">
        <f aca="false">IF($B931="","",IF(N($H931)&lt;=0,"Montant ?",IF($D931="RECETTE",IF(COUNTIF(PARAMETRES!$E$5:$E$9,$E931)=0,"Catégorie ?","OK"),IF($D931="DEPENSE",IF(COUNTIF(PARAMETRES!$G$5:$G$20,$E931)=0,"Catégorie ?","OK"),"Type ?"))))</f>
        <v/>
      </c>
    </row>
    <row r="932" customFormat="false" ht="16.5" hidden="false" customHeight="true" outlineLevel="0" collapsed="false">
      <c r="A932" s="72" t="str">
        <f aca="false">IF($B932="","",ROW()-7)</f>
        <v/>
      </c>
      <c r="B932" s="73"/>
      <c r="C932" s="74" t="str">
        <f aca="false">IF($B932="","",YEAR($B932)*100+MONTH($B932))</f>
        <v/>
      </c>
      <c r="D932" s="75"/>
      <c r="E932" s="76"/>
      <c r="F932" s="76"/>
      <c r="G932" s="77"/>
      <c r="H932" s="78"/>
      <c r="I932" s="79"/>
      <c r="J932" s="80" t="str">
        <f aca="false">IF($B932="","",IF(N($H932)&lt;=0,"Montant ?",IF($D932="RECETTE",IF(COUNTIF(PARAMETRES!$E$5:$E$9,$E932)=0,"Catégorie ?","OK"),IF($D932="DEPENSE",IF(COUNTIF(PARAMETRES!$G$5:$G$20,$E932)=0,"Catégorie ?","OK"),"Type ?"))))</f>
        <v/>
      </c>
    </row>
    <row r="933" customFormat="false" ht="16.5" hidden="false" customHeight="true" outlineLevel="0" collapsed="false">
      <c r="A933" s="81" t="str">
        <f aca="false">IF($B933="","",ROW()-7)</f>
        <v/>
      </c>
      <c r="B933" s="82"/>
      <c r="C933" s="83" t="str">
        <f aca="false">IF($B933="","",YEAR($B933)*100+MONTH($B933))</f>
        <v/>
      </c>
      <c r="D933" s="84"/>
      <c r="E933" s="85"/>
      <c r="F933" s="85"/>
      <c r="G933" s="86"/>
      <c r="H933" s="87"/>
      <c r="I933" s="88"/>
      <c r="J933" s="89" t="str">
        <f aca="false">IF($B933="","",IF(N($H933)&lt;=0,"Montant ?",IF($D933="RECETTE",IF(COUNTIF(PARAMETRES!$E$5:$E$9,$E933)=0,"Catégorie ?","OK"),IF($D933="DEPENSE",IF(COUNTIF(PARAMETRES!$G$5:$G$20,$E933)=0,"Catégorie ?","OK"),"Type ?"))))</f>
        <v/>
      </c>
    </row>
    <row r="934" customFormat="false" ht="16.5" hidden="false" customHeight="true" outlineLevel="0" collapsed="false">
      <c r="A934" s="72" t="str">
        <f aca="false">IF($B934="","",ROW()-7)</f>
        <v/>
      </c>
      <c r="B934" s="73"/>
      <c r="C934" s="74" t="str">
        <f aca="false">IF($B934="","",YEAR($B934)*100+MONTH($B934))</f>
        <v/>
      </c>
      <c r="D934" s="75"/>
      <c r="E934" s="76"/>
      <c r="F934" s="76"/>
      <c r="G934" s="77"/>
      <c r="H934" s="78"/>
      <c r="I934" s="79"/>
      <c r="J934" s="80" t="str">
        <f aca="false">IF($B934="","",IF(N($H934)&lt;=0,"Montant ?",IF($D934="RECETTE",IF(COUNTIF(PARAMETRES!$E$5:$E$9,$E934)=0,"Catégorie ?","OK"),IF($D934="DEPENSE",IF(COUNTIF(PARAMETRES!$G$5:$G$20,$E934)=0,"Catégorie ?","OK"),"Type ?"))))</f>
        <v/>
      </c>
    </row>
    <row r="935" customFormat="false" ht="16.5" hidden="false" customHeight="true" outlineLevel="0" collapsed="false">
      <c r="A935" s="81" t="str">
        <f aca="false">IF($B935="","",ROW()-7)</f>
        <v/>
      </c>
      <c r="B935" s="82"/>
      <c r="C935" s="83" t="str">
        <f aca="false">IF($B935="","",YEAR($B935)*100+MONTH($B935))</f>
        <v/>
      </c>
      <c r="D935" s="84"/>
      <c r="E935" s="85"/>
      <c r="F935" s="85"/>
      <c r="G935" s="86"/>
      <c r="H935" s="87"/>
      <c r="I935" s="88"/>
      <c r="J935" s="89" t="str">
        <f aca="false">IF($B935="","",IF(N($H935)&lt;=0,"Montant ?",IF($D935="RECETTE",IF(COUNTIF(PARAMETRES!$E$5:$E$9,$E935)=0,"Catégorie ?","OK"),IF($D935="DEPENSE",IF(COUNTIF(PARAMETRES!$G$5:$G$20,$E935)=0,"Catégorie ?","OK"),"Type ?"))))</f>
        <v/>
      </c>
    </row>
    <row r="936" customFormat="false" ht="16.5" hidden="false" customHeight="true" outlineLevel="0" collapsed="false">
      <c r="A936" s="72" t="str">
        <f aca="false">IF($B936="","",ROW()-7)</f>
        <v/>
      </c>
      <c r="B936" s="73"/>
      <c r="C936" s="74" t="str">
        <f aca="false">IF($B936="","",YEAR($B936)*100+MONTH($B936))</f>
        <v/>
      </c>
      <c r="D936" s="75"/>
      <c r="E936" s="76"/>
      <c r="F936" s="76"/>
      <c r="G936" s="77"/>
      <c r="H936" s="78"/>
      <c r="I936" s="79"/>
      <c r="J936" s="80" t="str">
        <f aca="false">IF($B936="","",IF(N($H936)&lt;=0,"Montant ?",IF($D936="RECETTE",IF(COUNTIF(PARAMETRES!$E$5:$E$9,$E936)=0,"Catégorie ?","OK"),IF($D936="DEPENSE",IF(COUNTIF(PARAMETRES!$G$5:$G$20,$E936)=0,"Catégorie ?","OK"),"Type ?"))))</f>
        <v/>
      </c>
    </row>
    <row r="937" customFormat="false" ht="16.5" hidden="false" customHeight="true" outlineLevel="0" collapsed="false">
      <c r="A937" s="81" t="str">
        <f aca="false">IF($B937="","",ROW()-7)</f>
        <v/>
      </c>
      <c r="B937" s="82"/>
      <c r="C937" s="83" t="str">
        <f aca="false">IF($B937="","",YEAR($B937)*100+MONTH($B937))</f>
        <v/>
      </c>
      <c r="D937" s="84"/>
      <c r="E937" s="85"/>
      <c r="F937" s="85"/>
      <c r="G937" s="86"/>
      <c r="H937" s="87"/>
      <c r="I937" s="88"/>
      <c r="J937" s="89" t="str">
        <f aca="false">IF($B937="","",IF(N($H937)&lt;=0,"Montant ?",IF($D937="RECETTE",IF(COUNTIF(PARAMETRES!$E$5:$E$9,$E937)=0,"Catégorie ?","OK"),IF($D937="DEPENSE",IF(COUNTIF(PARAMETRES!$G$5:$G$20,$E937)=0,"Catégorie ?","OK"),"Type ?"))))</f>
        <v/>
      </c>
    </row>
    <row r="938" customFormat="false" ht="16.5" hidden="false" customHeight="true" outlineLevel="0" collapsed="false">
      <c r="A938" s="72" t="str">
        <f aca="false">IF($B938="","",ROW()-7)</f>
        <v/>
      </c>
      <c r="B938" s="73"/>
      <c r="C938" s="74" t="str">
        <f aca="false">IF($B938="","",YEAR($B938)*100+MONTH($B938))</f>
        <v/>
      </c>
      <c r="D938" s="75"/>
      <c r="E938" s="76"/>
      <c r="F938" s="76"/>
      <c r="G938" s="77"/>
      <c r="H938" s="78"/>
      <c r="I938" s="79"/>
      <c r="J938" s="80" t="str">
        <f aca="false">IF($B938="","",IF(N($H938)&lt;=0,"Montant ?",IF($D938="RECETTE",IF(COUNTIF(PARAMETRES!$E$5:$E$9,$E938)=0,"Catégorie ?","OK"),IF($D938="DEPENSE",IF(COUNTIF(PARAMETRES!$G$5:$G$20,$E938)=0,"Catégorie ?","OK"),"Type ?"))))</f>
        <v/>
      </c>
    </row>
    <row r="939" customFormat="false" ht="16.5" hidden="false" customHeight="true" outlineLevel="0" collapsed="false">
      <c r="A939" s="81" t="str">
        <f aca="false">IF($B939="","",ROW()-7)</f>
        <v/>
      </c>
      <c r="B939" s="82"/>
      <c r="C939" s="83" t="str">
        <f aca="false">IF($B939="","",YEAR($B939)*100+MONTH($B939))</f>
        <v/>
      </c>
      <c r="D939" s="84"/>
      <c r="E939" s="85"/>
      <c r="F939" s="85"/>
      <c r="G939" s="86"/>
      <c r="H939" s="87"/>
      <c r="I939" s="88"/>
      <c r="J939" s="89" t="str">
        <f aca="false">IF($B939="","",IF(N($H939)&lt;=0,"Montant ?",IF($D939="RECETTE",IF(COUNTIF(PARAMETRES!$E$5:$E$9,$E939)=0,"Catégorie ?","OK"),IF($D939="DEPENSE",IF(COUNTIF(PARAMETRES!$G$5:$G$20,$E939)=0,"Catégorie ?","OK"),"Type ?"))))</f>
        <v/>
      </c>
    </row>
    <row r="940" customFormat="false" ht="16.5" hidden="false" customHeight="true" outlineLevel="0" collapsed="false">
      <c r="A940" s="72" t="str">
        <f aca="false">IF($B940="","",ROW()-7)</f>
        <v/>
      </c>
      <c r="B940" s="73"/>
      <c r="C940" s="74" t="str">
        <f aca="false">IF($B940="","",YEAR($B940)*100+MONTH($B940))</f>
        <v/>
      </c>
      <c r="D940" s="75"/>
      <c r="E940" s="76"/>
      <c r="F940" s="76"/>
      <c r="G940" s="77"/>
      <c r="H940" s="78"/>
      <c r="I940" s="79"/>
      <c r="J940" s="80" t="str">
        <f aca="false">IF($B940="","",IF(N($H940)&lt;=0,"Montant ?",IF($D940="RECETTE",IF(COUNTIF(PARAMETRES!$E$5:$E$9,$E940)=0,"Catégorie ?","OK"),IF($D940="DEPENSE",IF(COUNTIF(PARAMETRES!$G$5:$G$20,$E940)=0,"Catégorie ?","OK"),"Type ?"))))</f>
        <v/>
      </c>
    </row>
    <row r="941" customFormat="false" ht="16.5" hidden="false" customHeight="true" outlineLevel="0" collapsed="false">
      <c r="A941" s="81" t="str">
        <f aca="false">IF($B941="","",ROW()-7)</f>
        <v/>
      </c>
      <c r="B941" s="82"/>
      <c r="C941" s="83" t="str">
        <f aca="false">IF($B941="","",YEAR($B941)*100+MONTH($B941))</f>
        <v/>
      </c>
      <c r="D941" s="84"/>
      <c r="E941" s="85"/>
      <c r="F941" s="85"/>
      <c r="G941" s="86"/>
      <c r="H941" s="87"/>
      <c r="I941" s="88"/>
      <c r="J941" s="89" t="str">
        <f aca="false">IF($B941="","",IF(N($H941)&lt;=0,"Montant ?",IF($D941="RECETTE",IF(COUNTIF(PARAMETRES!$E$5:$E$9,$E941)=0,"Catégorie ?","OK"),IF($D941="DEPENSE",IF(COUNTIF(PARAMETRES!$G$5:$G$20,$E941)=0,"Catégorie ?","OK"),"Type ?"))))</f>
        <v/>
      </c>
    </row>
    <row r="942" customFormat="false" ht="16.5" hidden="false" customHeight="true" outlineLevel="0" collapsed="false">
      <c r="A942" s="72" t="str">
        <f aca="false">IF($B942="","",ROW()-7)</f>
        <v/>
      </c>
      <c r="B942" s="73"/>
      <c r="C942" s="74" t="str">
        <f aca="false">IF($B942="","",YEAR($B942)*100+MONTH($B942))</f>
        <v/>
      </c>
      <c r="D942" s="75"/>
      <c r="E942" s="76"/>
      <c r="F942" s="76"/>
      <c r="G942" s="77"/>
      <c r="H942" s="78"/>
      <c r="I942" s="79"/>
      <c r="J942" s="80" t="str">
        <f aca="false">IF($B942="","",IF(N($H942)&lt;=0,"Montant ?",IF($D942="RECETTE",IF(COUNTIF(PARAMETRES!$E$5:$E$9,$E942)=0,"Catégorie ?","OK"),IF($D942="DEPENSE",IF(COUNTIF(PARAMETRES!$G$5:$G$20,$E942)=0,"Catégorie ?","OK"),"Type ?"))))</f>
        <v/>
      </c>
    </row>
    <row r="943" customFormat="false" ht="16.5" hidden="false" customHeight="true" outlineLevel="0" collapsed="false">
      <c r="A943" s="81" t="str">
        <f aca="false">IF($B943="","",ROW()-7)</f>
        <v/>
      </c>
      <c r="B943" s="82"/>
      <c r="C943" s="83" t="str">
        <f aca="false">IF($B943="","",YEAR($B943)*100+MONTH($B943))</f>
        <v/>
      </c>
      <c r="D943" s="84"/>
      <c r="E943" s="85"/>
      <c r="F943" s="85"/>
      <c r="G943" s="86"/>
      <c r="H943" s="87"/>
      <c r="I943" s="88"/>
      <c r="J943" s="89" t="str">
        <f aca="false">IF($B943="","",IF(N($H943)&lt;=0,"Montant ?",IF($D943="RECETTE",IF(COUNTIF(PARAMETRES!$E$5:$E$9,$E943)=0,"Catégorie ?","OK"),IF($D943="DEPENSE",IF(COUNTIF(PARAMETRES!$G$5:$G$20,$E943)=0,"Catégorie ?","OK"),"Type ?"))))</f>
        <v/>
      </c>
    </row>
    <row r="944" customFormat="false" ht="16.5" hidden="false" customHeight="true" outlineLevel="0" collapsed="false">
      <c r="A944" s="72" t="str">
        <f aca="false">IF($B944="","",ROW()-7)</f>
        <v/>
      </c>
      <c r="B944" s="73"/>
      <c r="C944" s="74" t="str">
        <f aca="false">IF($B944="","",YEAR($B944)*100+MONTH($B944))</f>
        <v/>
      </c>
      <c r="D944" s="75"/>
      <c r="E944" s="76"/>
      <c r="F944" s="76"/>
      <c r="G944" s="77"/>
      <c r="H944" s="78"/>
      <c r="I944" s="79"/>
      <c r="J944" s="80" t="str">
        <f aca="false">IF($B944="","",IF(N($H944)&lt;=0,"Montant ?",IF($D944="RECETTE",IF(COUNTIF(PARAMETRES!$E$5:$E$9,$E944)=0,"Catégorie ?","OK"),IF($D944="DEPENSE",IF(COUNTIF(PARAMETRES!$G$5:$G$20,$E944)=0,"Catégorie ?","OK"),"Type ?"))))</f>
        <v/>
      </c>
    </row>
    <row r="945" customFormat="false" ht="16.5" hidden="false" customHeight="true" outlineLevel="0" collapsed="false">
      <c r="A945" s="81" t="str">
        <f aca="false">IF($B945="","",ROW()-7)</f>
        <v/>
      </c>
      <c r="B945" s="82"/>
      <c r="C945" s="83" t="str">
        <f aca="false">IF($B945="","",YEAR($B945)*100+MONTH($B945))</f>
        <v/>
      </c>
      <c r="D945" s="84"/>
      <c r="E945" s="85"/>
      <c r="F945" s="85"/>
      <c r="G945" s="86"/>
      <c r="H945" s="87"/>
      <c r="I945" s="88"/>
      <c r="J945" s="89" t="str">
        <f aca="false">IF($B945="","",IF(N($H945)&lt;=0,"Montant ?",IF($D945="RECETTE",IF(COUNTIF(PARAMETRES!$E$5:$E$9,$E945)=0,"Catégorie ?","OK"),IF($D945="DEPENSE",IF(COUNTIF(PARAMETRES!$G$5:$G$20,$E945)=0,"Catégorie ?","OK"),"Type ?"))))</f>
        <v/>
      </c>
    </row>
    <row r="946" customFormat="false" ht="16.5" hidden="false" customHeight="true" outlineLevel="0" collapsed="false">
      <c r="A946" s="72" t="str">
        <f aca="false">IF($B946="","",ROW()-7)</f>
        <v/>
      </c>
      <c r="B946" s="73"/>
      <c r="C946" s="74" t="str">
        <f aca="false">IF($B946="","",YEAR($B946)*100+MONTH($B946))</f>
        <v/>
      </c>
      <c r="D946" s="75"/>
      <c r="E946" s="76"/>
      <c r="F946" s="76"/>
      <c r="G946" s="77"/>
      <c r="H946" s="78"/>
      <c r="I946" s="79"/>
      <c r="J946" s="80" t="str">
        <f aca="false">IF($B946="","",IF(N($H946)&lt;=0,"Montant ?",IF($D946="RECETTE",IF(COUNTIF(PARAMETRES!$E$5:$E$9,$E946)=0,"Catégorie ?","OK"),IF($D946="DEPENSE",IF(COUNTIF(PARAMETRES!$G$5:$G$20,$E946)=0,"Catégorie ?","OK"),"Type ?"))))</f>
        <v/>
      </c>
    </row>
    <row r="947" customFormat="false" ht="16.5" hidden="false" customHeight="true" outlineLevel="0" collapsed="false">
      <c r="A947" s="81" t="str">
        <f aca="false">IF($B947="","",ROW()-7)</f>
        <v/>
      </c>
      <c r="B947" s="82"/>
      <c r="C947" s="83" t="str">
        <f aca="false">IF($B947="","",YEAR($B947)*100+MONTH($B947))</f>
        <v/>
      </c>
      <c r="D947" s="84"/>
      <c r="E947" s="85"/>
      <c r="F947" s="85"/>
      <c r="G947" s="86"/>
      <c r="H947" s="87"/>
      <c r="I947" s="88"/>
      <c r="J947" s="89" t="str">
        <f aca="false">IF($B947="","",IF(N($H947)&lt;=0,"Montant ?",IF($D947="RECETTE",IF(COUNTIF(PARAMETRES!$E$5:$E$9,$E947)=0,"Catégorie ?","OK"),IF($D947="DEPENSE",IF(COUNTIF(PARAMETRES!$G$5:$G$20,$E947)=0,"Catégorie ?","OK"),"Type ?"))))</f>
        <v/>
      </c>
    </row>
    <row r="948" customFormat="false" ht="16.5" hidden="false" customHeight="true" outlineLevel="0" collapsed="false">
      <c r="A948" s="72" t="str">
        <f aca="false">IF($B948="","",ROW()-7)</f>
        <v/>
      </c>
      <c r="B948" s="73"/>
      <c r="C948" s="74" t="str">
        <f aca="false">IF($B948="","",YEAR($B948)*100+MONTH($B948))</f>
        <v/>
      </c>
      <c r="D948" s="75"/>
      <c r="E948" s="76"/>
      <c r="F948" s="76"/>
      <c r="G948" s="77"/>
      <c r="H948" s="78"/>
      <c r="I948" s="79"/>
      <c r="J948" s="80" t="str">
        <f aca="false">IF($B948="","",IF(N($H948)&lt;=0,"Montant ?",IF($D948="RECETTE",IF(COUNTIF(PARAMETRES!$E$5:$E$9,$E948)=0,"Catégorie ?","OK"),IF($D948="DEPENSE",IF(COUNTIF(PARAMETRES!$G$5:$G$20,$E948)=0,"Catégorie ?","OK"),"Type ?"))))</f>
        <v/>
      </c>
    </row>
    <row r="949" customFormat="false" ht="16.5" hidden="false" customHeight="true" outlineLevel="0" collapsed="false">
      <c r="A949" s="81" t="str">
        <f aca="false">IF($B949="","",ROW()-7)</f>
        <v/>
      </c>
      <c r="B949" s="82"/>
      <c r="C949" s="83" t="str">
        <f aca="false">IF($B949="","",YEAR($B949)*100+MONTH($B949))</f>
        <v/>
      </c>
      <c r="D949" s="84"/>
      <c r="E949" s="85"/>
      <c r="F949" s="85"/>
      <c r="G949" s="86"/>
      <c r="H949" s="87"/>
      <c r="I949" s="88"/>
      <c r="J949" s="89" t="str">
        <f aca="false">IF($B949="","",IF(N($H949)&lt;=0,"Montant ?",IF($D949="RECETTE",IF(COUNTIF(PARAMETRES!$E$5:$E$9,$E949)=0,"Catégorie ?","OK"),IF($D949="DEPENSE",IF(COUNTIF(PARAMETRES!$G$5:$G$20,$E949)=0,"Catégorie ?","OK"),"Type ?"))))</f>
        <v/>
      </c>
    </row>
    <row r="950" customFormat="false" ht="16.5" hidden="false" customHeight="true" outlineLevel="0" collapsed="false">
      <c r="A950" s="72" t="str">
        <f aca="false">IF($B950="","",ROW()-7)</f>
        <v/>
      </c>
      <c r="B950" s="73"/>
      <c r="C950" s="74" t="str">
        <f aca="false">IF($B950="","",YEAR($B950)*100+MONTH($B950))</f>
        <v/>
      </c>
      <c r="D950" s="75"/>
      <c r="E950" s="76"/>
      <c r="F950" s="76"/>
      <c r="G950" s="77"/>
      <c r="H950" s="78"/>
      <c r="I950" s="79"/>
      <c r="J950" s="80" t="str">
        <f aca="false">IF($B950="","",IF(N($H950)&lt;=0,"Montant ?",IF($D950="RECETTE",IF(COUNTIF(PARAMETRES!$E$5:$E$9,$E950)=0,"Catégorie ?","OK"),IF($D950="DEPENSE",IF(COUNTIF(PARAMETRES!$G$5:$G$20,$E950)=0,"Catégorie ?","OK"),"Type ?"))))</f>
        <v/>
      </c>
    </row>
    <row r="951" customFormat="false" ht="16.5" hidden="false" customHeight="true" outlineLevel="0" collapsed="false">
      <c r="A951" s="81" t="str">
        <f aca="false">IF($B951="","",ROW()-7)</f>
        <v/>
      </c>
      <c r="B951" s="82"/>
      <c r="C951" s="83" t="str">
        <f aca="false">IF($B951="","",YEAR($B951)*100+MONTH($B951))</f>
        <v/>
      </c>
      <c r="D951" s="84"/>
      <c r="E951" s="85"/>
      <c r="F951" s="85"/>
      <c r="G951" s="86"/>
      <c r="H951" s="87"/>
      <c r="I951" s="88"/>
      <c r="J951" s="89" t="str">
        <f aca="false">IF($B951="","",IF(N($H951)&lt;=0,"Montant ?",IF($D951="RECETTE",IF(COUNTIF(PARAMETRES!$E$5:$E$9,$E951)=0,"Catégorie ?","OK"),IF($D951="DEPENSE",IF(COUNTIF(PARAMETRES!$G$5:$G$20,$E951)=0,"Catégorie ?","OK"),"Type ?"))))</f>
        <v/>
      </c>
    </row>
    <row r="952" customFormat="false" ht="16.5" hidden="false" customHeight="true" outlineLevel="0" collapsed="false">
      <c r="A952" s="72" t="str">
        <f aca="false">IF($B952="","",ROW()-7)</f>
        <v/>
      </c>
      <c r="B952" s="73"/>
      <c r="C952" s="74" t="str">
        <f aca="false">IF($B952="","",YEAR($B952)*100+MONTH($B952))</f>
        <v/>
      </c>
      <c r="D952" s="75"/>
      <c r="E952" s="76"/>
      <c r="F952" s="76"/>
      <c r="G952" s="77"/>
      <c r="H952" s="78"/>
      <c r="I952" s="79"/>
      <c r="J952" s="80" t="str">
        <f aca="false">IF($B952="","",IF(N($H952)&lt;=0,"Montant ?",IF($D952="RECETTE",IF(COUNTIF(PARAMETRES!$E$5:$E$9,$E952)=0,"Catégorie ?","OK"),IF($D952="DEPENSE",IF(COUNTIF(PARAMETRES!$G$5:$G$20,$E952)=0,"Catégorie ?","OK"),"Type ?"))))</f>
        <v/>
      </c>
    </row>
    <row r="953" customFormat="false" ht="16.5" hidden="false" customHeight="true" outlineLevel="0" collapsed="false">
      <c r="A953" s="81" t="str">
        <f aca="false">IF($B953="","",ROW()-7)</f>
        <v/>
      </c>
      <c r="B953" s="82"/>
      <c r="C953" s="83" t="str">
        <f aca="false">IF($B953="","",YEAR($B953)*100+MONTH($B953))</f>
        <v/>
      </c>
      <c r="D953" s="84"/>
      <c r="E953" s="85"/>
      <c r="F953" s="85"/>
      <c r="G953" s="86"/>
      <c r="H953" s="87"/>
      <c r="I953" s="88"/>
      <c r="J953" s="89" t="str">
        <f aca="false">IF($B953="","",IF(N($H953)&lt;=0,"Montant ?",IF($D953="RECETTE",IF(COUNTIF(PARAMETRES!$E$5:$E$9,$E953)=0,"Catégorie ?","OK"),IF($D953="DEPENSE",IF(COUNTIF(PARAMETRES!$G$5:$G$20,$E953)=0,"Catégorie ?","OK"),"Type ?"))))</f>
        <v/>
      </c>
    </row>
    <row r="954" customFormat="false" ht="16.5" hidden="false" customHeight="true" outlineLevel="0" collapsed="false">
      <c r="A954" s="72" t="str">
        <f aca="false">IF($B954="","",ROW()-7)</f>
        <v/>
      </c>
      <c r="B954" s="73"/>
      <c r="C954" s="74" t="str">
        <f aca="false">IF($B954="","",YEAR($B954)*100+MONTH($B954))</f>
        <v/>
      </c>
      <c r="D954" s="75"/>
      <c r="E954" s="76"/>
      <c r="F954" s="76"/>
      <c r="G954" s="77"/>
      <c r="H954" s="78"/>
      <c r="I954" s="79"/>
      <c r="J954" s="80" t="str">
        <f aca="false">IF($B954="","",IF(N($H954)&lt;=0,"Montant ?",IF($D954="RECETTE",IF(COUNTIF(PARAMETRES!$E$5:$E$9,$E954)=0,"Catégorie ?","OK"),IF($D954="DEPENSE",IF(COUNTIF(PARAMETRES!$G$5:$G$20,$E954)=0,"Catégorie ?","OK"),"Type ?"))))</f>
        <v/>
      </c>
    </row>
    <row r="955" customFormat="false" ht="16.5" hidden="false" customHeight="true" outlineLevel="0" collapsed="false">
      <c r="A955" s="81" t="str">
        <f aca="false">IF($B955="","",ROW()-7)</f>
        <v/>
      </c>
      <c r="B955" s="82"/>
      <c r="C955" s="83" t="str">
        <f aca="false">IF($B955="","",YEAR($B955)*100+MONTH($B955))</f>
        <v/>
      </c>
      <c r="D955" s="84"/>
      <c r="E955" s="85"/>
      <c r="F955" s="85"/>
      <c r="G955" s="86"/>
      <c r="H955" s="87"/>
      <c r="I955" s="88"/>
      <c r="J955" s="89" t="str">
        <f aca="false">IF($B955="","",IF(N($H955)&lt;=0,"Montant ?",IF($D955="RECETTE",IF(COUNTIF(PARAMETRES!$E$5:$E$9,$E955)=0,"Catégorie ?","OK"),IF($D955="DEPENSE",IF(COUNTIF(PARAMETRES!$G$5:$G$20,$E955)=0,"Catégorie ?","OK"),"Type ?"))))</f>
        <v/>
      </c>
    </row>
    <row r="956" customFormat="false" ht="16.5" hidden="false" customHeight="true" outlineLevel="0" collapsed="false">
      <c r="A956" s="72" t="str">
        <f aca="false">IF($B956="","",ROW()-7)</f>
        <v/>
      </c>
      <c r="B956" s="73"/>
      <c r="C956" s="74" t="str">
        <f aca="false">IF($B956="","",YEAR($B956)*100+MONTH($B956))</f>
        <v/>
      </c>
      <c r="D956" s="75"/>
      <c r="E956" s="76"/>
      <c r="F956" s="76"/>
      <c r="G956" s="77"/>
      <c r="H956" s="78"/>
      <c r="I956" s="79"/>
      <c r="J956" s="80" t="str">
        <f aca="false">IF($B956="","",IF(N($H956)&lt;=0,"Montant ?",IF($D956="RECETTE",IF(COUNTIF(PARAMETRES!$E$5:$E$9,$E956)=0,"Catégorie ?","OK"),IF($D956="DEPENSE",IF(COUNTIF(PARAMETRES!$G$5:$G$20,$E956)=0,"Catégorie ?","OK"),"Type ?"))))</f>
        <v/>
      </c>
    </row>
    <row r="957" customFormat="false" ht="16.5" hidden="false" customHeight="true" outlineLevel="0" collapsed="false">
      <c r="A957" s="81" t="str">
        <f aca="false">IF($B957="","",ROW()-7)</f>
        <v/>
      </c>
      <c r="B957" s="82"/>
      <c r="C957" s="83" t="str">
        <f aca="false">IF($B957="","",YEAR($B957)*100+MONTH($B957))</f>
        <v/>
      </c>
      <c r="D957" s="84"/>
      <c r="E957" s="85"/>
      <c r="F957" s="85"/>
      <c r="G957" s="86"/>
      <c r="H957" s="87"/>
      <c r="I957" s="88"/>
      <c r="J957" s="89" t="str">
        <f aca="false">IF($B957="","",IF(N($H957)&lt;=0,"Montant ?",IF($D957="RECETTE",IF(COUNTIF(PARAMETRES!$E$5:$E$9,$E957)=0,"Catégorie ?","OK"),IF($D957="DEPENSE",IF(COUNTIF(PARAMETRES!$G$5:$G$20,$E957)=0,"Catégorie ?","OK"),"Type ?"))))</f>
        <v/>
      </c>
    </row>
    <row r="958" customFormat="false" ht="16.5" hidden="false" customHeight="true" outlineLevel="0" collapsed="false">
      <c r="A958" s="72" t="str">
        <f aca="false">IF($B958="","",ROW()-7)</f>
        <v/>
      </c>
      <c r="B958" s="73"/>
      <c r="C958" s="74" t="str">
        <f aca="false">IF($B958="","",YEAR($B958)*100+MONTH($B958))</f>
        <v/>
      </c>
      <c r="D958" s="75"/>
      <c r="E958" s="76"/>
      <c r="F958" s="76"/>
      <c r="G958" s="77"/>
      <c r="H958" s="78"/>
      <c r="I958" s="79"/>
      <c r="J958" s="80" t="str">
        <f aca="false">IF($B958="","",IF(N($H958)&lt;=0,"Montant ?",IF($D958="RECETTE",IF(COUNTIF(PARAMETRES!$E$5:$E$9,$E958)=0,"Catégorie ?","OK"),IF($D958="DEPENSE",IF(COUNTIF(PARAMETRES!$G$5:$G$20,$E958)=0,"Catégorie ?","OK"),"Type ?"))))</f>
        <v/>
      </c>
    </row>
    <row r="959" customFormat="false" ht="16.5" hidden="false" customHeight="true" outlineLevel="0" collapsed="false">
      <c r="A959" s="81" t="str">
        <f aca="false">IF($B959="","",ROW()-7)</f>
        <v/>
      </c>
      <c r="B959" s="82"/>
      <c r="C959" s="83" t="str">
        <f aca="false">IF($B959="","",YEAR($B959)*100+MONTH($B959))</f>
        <v/>
      </c>
      <c r="D959" s="84"/>
      <c r="E959" s="85"/>
      <c r="F959" s="85"/>
      <c r="G959" s="86"/>
      <c r="H959" s="87"/>
      <c r="I959" s="88"/>
      <c r="J959" s="89" t="str">
        <f aca="false">IF($B959="","",IF(N($H959)&lt;=0,"Montant ?",IF($D959="RECETTE",IF(COUNTIF(PARAMETRES!$E$5:$E$9,$E959)=0,"Catégorie ?","OK"),IF($D959="DEPENSE",IF(COUNTIF(PARAMETRES!$G$5:$G$20,$E959)=0,"Catégorie ?","OK"),"Type ?"))))</f>
        <v/>
      </c>
    </row>
    <row r="960" customFormat="false" ht="16.5" hidden="false" customHeight="true" outlineLevel="0" collapsed="false">
      <c r="A960" s="72" t="str">
        <f aca="false">IF($B960="","",ROW()-7)</f>
        <v/>
      </c>
      <c r="B960" s="73"/>
      <c r="C960" s="74" t="str">
        <f aca="false">IF($B960="","",YEAR($B960)*100+MONTH($B960))</f>
        <v/>
      </c>
      <c r="D960" s="75"/>
      <c r="E960" s="76"/>
      <c r="F960" s="76"/>
      <c r="G960" s="77"/>
      <c r="H960" s="78"/>
      <c r="I960" s="79"/>
      <c r="J960" s="80" t="str">
        <f aca="false">IF($B960="","",IF(N($H960)&lt;=0,"Montant ?",IF($D960="RECETTE",IF(COUNTIF(PARAMETRES!$E$5:$E$9,$E960)=0,"Catégorie ?","OK"),IF($D960="DEPENSE",IF(COUNTIF(PARAMETRES!$G$5:$G$20,$E960)=0,"Catégorie ?","OK"),"Type ?"))))</f>
        <v/>
      </c>
    </row>
    <row r="961" customFormat="false" ht="16.5" hidden="false" customHeight="true" outlineLevel="0" collapsed="false">
      <c r="A961" s="81" t="str">
        <f aca="false">IF($B961="","",ROW()-7)</f>
        <v/>
      </c>
      <c r="B961" s="82"/>
      <c r="C961" s="83" t="str">
        <f aca="false">IF($B961="","",YEAR($B961)*100+MONTH($B961))</f>
        <v/>
      </c>
      <c r="D961" s="84"/>
      <c r="E961" s="85"/>
      <c r="F961" s="85"/>
      <c r="G961" s="86"/>
      <c r="H961" s="87"/>
      <c r="I961" s="88"/>
      <c r="J961" s="89" t="str">
        <f aca="false">IF($B961="","",IF(N($H961)&lt;=0,"Montant ?",IF($D961="RECETTE",IF(COUNTIF(PARAMETRES!$E$5:$E$9,$E961)=0,"Catégorie ?","OK"),IF($D961="DEPENSE",IF(COUNTIF(PARAMETRES!$G$5:$G$20,$E961)=0,"Catégorie ?","OK"),"Type ?"))))</f>
        <v/>
      </c>
    </row>
    <row r="962" customFormat="false" ht="16.5" hidden="false" customHeight="true" outlineLevel="0" collapsed="false">
      <c r="A962" s="72" t="str">
        <f aca="false">IF($B962="","",ROW()-7)</f>
        <v/>
      </c>
      <c r="B962" s="73"/>
      <c r="C962" s="74" t="str">
        <f aca="false">IF($B962="","",YEAR($B962)*100+MONTH($B962))</f>
        <v/>
      </c>
      <c r="D962" s="75"/>
      <c r="E962" s="76"/>
      <c r="F962" s="76"/>
      <c r="G962" s="77"/>
      <c r="H962" s="78"/>
      <c r="I962" s="79"/>
      <c r="J962" s="80" t="str">
        <f aca="false">IF($B962="","",IF(N($H962)&lt;=0,"Montant ?",IF($D962="RECETTE",IF(COUNTIF(PARAMETRES!$E$5:$E$9,$E962)=0,"Catégorie ?","OK"),IF($D962="DEPENSE",IF(COUNTIF(PARAMETRES!$G$5:$G$20,$E962)=0,"Catégorie ?","OK"),"Type ?"))))</f>
        <v/>
      </c>
    </row>
    <row r="963" customFormat="false" ht="16.5" hidden="false" customHeight="true" outlineLevel="0" collapsed="false">
      <c r="A963" s="81" t="str">
        <f aca="false">IF($B963="","",ROW()-7)</f>
        <v/>
      </c>
      <c r="B963" s="82"/>
      <c r="C963" s="83" t="str">
        <f aca="false">IF($B963="","",YEAR($B963)*100+MONTH($B963))</f>
        <v/>
      </c>
      <c r="D963" s="84"/>
      <c r="E963" s="85"/>
      <c r="F963" s="85"/>
      <c r="G963" s="86"/>
      <c r="H963" s="87"/>
      <c r="I963" s="88"/>
      <c r="J963" s="89" t="str">
        <f aca="false">IF($B963="","",IF(N($H963)&lt;=0,"Montant ?",IF($D963="RECETTE",IF(COUNTIF(PARAMETRES!$E$5:$E$9,$E963)=0,"Catégorie ?","OK"),IF($D963="DEPENSE",IF(COUNTIF(PARAMETRES!$G$5:$G$20,$E963)=0,"Catégorie ?","OK"),"Type ?"))))</f>
        <v/>
      </c>
    </row>
    <row r="964" customFormat="false" ht="16.5" hidden="false" customHeight="true" outlineLevel="0" collapsed="false">
      <c r="A964" s="72" t="str">
        <f aca="false">IF($B964="","",ROW()-7)</f>
        <v/>
      </c>
      <c r="B964" s="73"/>
      <c r="C964" s="74" t="str">
        <f aca="false">IF($B964="","",YEAR($B964)*100+MONTH($B964))</f>
        <v/>
      </c>
      <c r="D964" s="75"/>
      <c r="E964" s="76"/>
      <c r="F964" s="76"/>
      <c r="G964" s="77"/>
      <c r="H964" s="78"/>
      <c r="I964" s="79"/>
      <c r="J964" s="80" t="str">
        <f aca="false">IF($B964="","",IF(N($H964)&lt;=0,"Montant ?",IF($D964="RECETTE",IF(COUNTIF(PARAMETRES!$E$5:$E$9,$E964)=0,"Catégorie ?","OK"),IF($D964="DEPENSE",IF(COUNTIF(PARAMETRES!$G$5:$G$20,$E964)=0,"Catégorie ?","OK"),"Type ?"))))</f>
        <v/>
      </c>
    </row>
    <row r="965" customFormat="false" ht="16.5" hidden="false" customHeight="true" outlineLevel="0" collapsed="false">
      <c r="A965" s="81" t="str">
        <f aca="false">IF($B965="","",ROW()-7)</f>
        <v/>
      </c>
      <c r="B965" s="82"/>
      <c r="C965" s="83" t="str">
        <f aca="false">IF($B965="","",YEAR($B965)*100+MONTH($B965))</f>
        <v/>
      </c>
      <c r="D965" s="84"/>
      <c r="E965" s="85"/>
      <c r="F965" s="85"/>
      <c r="G965" s="86"/>
      <c r="H965" s="87"/>
      <c r="I965" s="88"/>
      <c r="J965" s="89" t="str">
        <f aca="false">IF($B965="","",IF(N($H965)&lt;=0,"Montant ?",IF($D965="RECETTE",IF(COUNTIF(PARAMETRES!$E$5:$E$9,$E965)=0,"Catégorie ?","OK"),IF($D965="DEPENSE",IF(COUNTIF(PARAMETRES!$G$5:$G$20,$E965)=0,"Catégorie ?","OK"),"Type ?"))))</f>
        <v/>
      </c>
    </row>
    <row r="966" customFormat="false" ht="16.5" hidden="false" customHeight="true" outlineLevel="0" collapsed="false">
      <c r="A966" s="72" t="str">
        <f aca="false">IF($B966="","",ROW()-7)</f>
        <v/>
      </c>
      <c r="B966" s="73"/>
      <c r="C966" s="74" t="str">
        <f aca="false">IF($B966="","",YEAR($B966)*100+MONTH($B966))</f>
        <v/>
      </c>
      <c r="D966" s="75"/>
      <c r="E966" s="76"/>
      <c r="F966" s="76"/>
      <c r="G966" s="77"/>
      <c r="H966" s="78"/>
      <c r="I966" s="79"/>
      <c r="J966" s="80" t="str">
        <f aca="false">IF($B966="","",IF(N($H966)&lt;=0,"Montant ?",IF($D966="RECETTE",IF(COUNTIF(PARAMETRES!$E$5:$E$9,$E966)=0,"Catégorie ?","OK"),IF($D966="DEPENSE",IF(COUNTIF(PARAMETRES!$G$5:$G$20,$E966)=0,"Catégorie ?","OK"),"Type ?"))))</f>
        <v/>
      </c>
    </row>
    <row r="967" customFormat="false" ht="16.5" hidden="false" customHeight="true" outlineLevel="0" collapsed="false">
      <c r="A967" s="81" t="str">
        <f aca="false">IF($B967="","",ROW()-7)</f>
        <v/>
      </c>
      <c r="B967" s="82"/>
      <c r="C967" s="83" t="str">
        <f aca="false">IF($B967="","",YEAR($B967)*100+MONTH($B967))</f>
        <v/>
      </c>
      <c r="D967" s="84"/>
      <c r="E967" s="85"/>
      <c r="F967" s="85"/>
      <c r="G967" s="86"/>
      <c r="H967" s="87"/>
      <c r="I967" s="88"/>
      <c r="J967" s="89" t="str">
        <f aca="false">IF($B967="","",IF(N($H967)&lt;=0,"Montant ?",IF($D967="RECETTE",IF(COUNTIF(PARAMETRES!$E$5:$E$9,$E967)=0,"Catégorie ?","OK"),IF($D967="DEPENSE",IF(COUNTIF(PARAMETRES!$G$5:$G$20,$E967)=0,"Catégorie ?","OK"),"Type ?"))))</f>
        <v/>
      </c>
    </row>
    <row r="968" customFormat="false" ht="16.5" hidden="false" customHeight="true" outlineLevel="0" collapsed="false">
      <c r="A968" s="72" t="str">
        <f aca="false">IF($B968="","",ROW()-7)</f>
        <v/>
      </c>
      <c r="B968" s="73"/>
      <c r="C968" s="74" t="str">
        <f aca="false">IF($B968="","",YEAR($B968)*100+MONTH($B968))</f>
        <v/>
      </c>
      <c r="D968" s="75"/>
      <c r="E968" s="76"/>
      <c r="F968" s="76"/>
      <c r="G968" s="77"/>
      <c r="H968" s="78"/>
      <c r="I968" s="79"/>
      <c r="J968" s="80" t="str">
        <f aca="false">IF($B968="","",IF(N($H968)&lt;=0,"Montant ?",IF($D968="RECETTE",IF(COUNTIF(PARAMETRES!$E$5:$E$9,$E968)=0,"Catégorie ?","OK"),IF($D968="DEPENSE",IF(COUNTIF(PARAMETRES!$G$5:$G$20,$E968)=0,"Catégorie ?","OK"),"Type ?"))))</f>
        <v/>
      </c>
    </row>
    <row r="969" customFormat="false" ht="16.5" hidden="false" customHeight="true" outlineLevel="0" collapsed="false">
      <c r="A969" s="81" t="str">
        <f aca="false">IF($B969="","",ROW()-7)</f>
        <v/>
      </c>
      <c r="B969" s="82"/>
      <c r="C969" s="83" t="str">
        <f aca="false">IF($B969="","",YEAR($B969)*100+MONTH($B969))</f>
        <v/>
      </c>
      <c r="D969" s="84"/>
      <c r="E969" s="85"/>
      <c r="F969" s="85"/>
      <c r="G969" s="86"/>
      <c r="H969" s="87"/>
      <c r="I969" s="88"/>
      <c r="J969" s="89" t="str">
        <f aca="false">IF($B969="","",IF(N($H969)&lt;=0,"Montant ?",IF($D969="RECETTE",IF(COUNTIF(PARAMETRES!$E$5:$E$9,$E969)=0,"Catégorie ?","OK"),IF($D969="DEPENSE",IF(COUNTIF(PARAMETRES!$G$5:$G$20,$E969)=0,"Catégorie ?","OK"),"Type ?"))))</f>
        <v/>
      </c>
    </row>
    <row r="970" customFormat="false" ht="16.5" hidden="false" customHeight="true" outlineLevel="0" collapsed="false">
      <c r="A970" s="72" t="str">
        <f aca="false">IF($B970="","",ROW()-7)</f>
        <v/>
      </c>
      <c r="B970" s="73"/>
      <c r="C970" s="74" t="str">
        <f aca="false">IF($B970="","",YEAR($B970)*100+MONTH($B970))</f>
        <v/>
      </c>
      <c r="D970" s="75"/>
      <c r="E970" s="76"/>
      <c r="F970" s="76"/>
      <c r="G970" s="77"/>
      <c r="H970" s="78"/>
      <c r="I970" s="79"/>
      <c r="J970" s="80" t="str">
        <f aca="false">IF($B970="","",IF(N($H970)&lt;=0,"Montant ?",IF($D970="RECETTE",IF(COUNTIF(PARAMETRES!$E$5:$E$9,$E970)=0,"Catégorie ?","OK"),IF($D970="DEPENSE",IF(COUNTIF(PARAMETRES!$G$5:$G$20,$E970)=0,"Catégorie ?","OK"),"Type ?"))))</f>
        <v/>
      </c>
    </row>
    <row r="971" customFormat="false" ht="16.5" hidden="false" customHeight="true" outlineLevel="0" collapsed="false">
      <c r="A971" s="81" t="str">
        <f aca="false">IF($B971="","",ROW()-7)</f>
        <v/>
      </c>
      <c r="B971" s="82"/>
      <c r="C971" s="83" t="str">
        <f aca="false">IF($B971="","",YEAR($B971)*100+MONTH($B971))</f>
        <v/>
      </c>
      <c r="D971" s="84"/>
      <c r="E971" s="85"/>
      <c r="F971" s="85"/>
      <c r="G971" s="86"/>
      <c r="H971" s="87"/>
      <c r="I971" s="88"/>
      <c r="J971" s="89" t="str">
        <f aca="false">IF($B971="","",IF(N($H971)&lt;=0,"Montant ?",IF($D971="RECETTE",IF(COUNTIF(PARAMETRES!$E$5:$E$9,$E971)=0,"Catégorie ?","OK"),IF($D971="DEPENSE",IF(COUNTIF(PARAMETRES!$G$5:$G$20,$E971)=0,"Catégorie ?","OK"),"Type ?"))))</f>
        <v/>
      </c>
    </row>
    <row r="972" customFormat="false" ht="16.5" hidden="false" customHeight="true" outlineLevel="0" collapsed="false">
      <c r="A972" s="72" t="str">
        <f aca="false">IF($B972="","",ROW()-7)</f>
        <v/>
      </c>
      <c r="B972" s="73"/>
      <c r="C972" s="74" t="str">
        <f aca="false">IF($B972="","",YEAR($B972)*100+MONTH($B972))</f>
        <v/>
      </c>
      <c r="D972" s="75"/>
      <c r="E972" s="76"/>
      <c r="F972" s="76"/>
      <c r="G972" s="77"/>
      <c r="H972" s="78"/>
      <c r="I972" s="79"/>
      <c r="J972" s="80" t="str">
        <f aca="false">IF($B972="","",IF(N($H972)&lt;=0,"Montant ?",IF($D972="RECETTE",IF(COUNTIF(PARAMETRES!$E$5:$E$9,$E972)=0,"Catégorie ?","OK"),IF($D972="DEPENSE",IF(COUNTIF(PARAMETRES!$G$5:$G$20,$E972)=0,"Catégorie ?","OK"),"Type ?"))))</f>
        <v/>
      </c>
    </row>
    <row r="973" customFormat="false" ht="16.5" hidden="false" customHeight="true" outlineLevel="0" collapsed="false">
      <c r="A973" s="81" t="str">
        <f aca="false">IF($B973="","",ROW()-7)</f>
        <v/>
      </c>
      <c r="B973" s="82"/>
      <c r="C973" s="83" t="str">
        <f aca="false">IF($B973="","",YEAR($B973)*100+MONTH($B973))</f>
        <v/>
      </c>
      <c r="D973" s="84"/>
      <c r="E973" s="85"/>
      <c r="F973" s="85"/>
      <c r="G973" s="86"/>
      <c r="H973" s="87"/>
      <c r="I973" s="88"/>
      <c r="J973" s="89" t="str">
        <f aca="false">IF($B973="","",IF(N($H973)&lt;=0,"Montant ?",IF($D973="RECETTE",IF(COUNTIF(PARAMETRES!$E$5:$E$9,$E973)=0,"Catégorie ?","OK"),IF($D973="DEPENSE",IF(COUNTIF(PARAMETRES!$G$5:$G$20,$E973)=0,"Catégorie ?","OK"),"Type ?"))))</f>
        <v/>
      </c>
    </row>
    <row r="974" customFormat="false" ht="16.5" hidden="false" customHeight="true" outlineLevel="0" collapsed="false">
      <c r="A974" s="72" t="str">
        <f aca="false">IF($B974="","",ROW()-7)</f>
        <v/>
      </c>
      <c r="B974" s="73"/>
      <c r="C974" s="74" t="str">
        <f aca="false">IF($B974="","",YEAR($B974)*100+MONTH($B974))</f>
        <v/>
      </c>
      <c r="D974" s="75"/>
      <c r="E974" s="76"/>
      <c r="F974" s="76"/>
      <c r="G974" s="77"/>
      <c r="H974" s="78"/>
      <c r="I974" s="79"/>
      <c r="J974" s="80" t="str">
        <f aca="false">IF($B974="","",IF(N($H974)&lt;=0,"Montant ?",IF($D974="RECETTE",IF(COUNTIF(PARAMETRES!$E$5:$E$9,$E974)=0,"Catégorie ?","OK"),IF($D974="DEPENSE",IF(COUNTIF(PARAMETRES!$G$5:$G$20,$E974)=0,"Catégorie ?","OK"),"Type ?"))))</f>
        <v/>
      </c>
    </row>
    <row r="975" customFormat="false" ht="16.5" hidden="false" customHeight="true" outlineLevel="0" collapsed="false">
      <c r="A975" s="81" t="str">
        <f aca="false">IF($B975="","",ROW()-7)</f>
        <v/>
      </c>
      <c r="B975" s="82"/>
      <c r="C975" s="83" t="str">
        <f aca="false">IF($B975="","",YEAR($B975)*100+MONTH($B975))</f>
        <v/>
      </c>
      <c r="D975" s="84"/>
      <c r="E975" s="85"/>
      <c r="F975" s="85"/>
      <c r="G975" s="86"/>
      <c r="H975" s="87"/>
      <c r="I975" s="88"/>
      <c r="J975" s="89" t="str">
        <f aca="false">IF($B975="","",IF(N($H975)&lt;=0,"Montant ?",IF($D975="RECETTE",IF(COUNTIF(PARAMETRES!$E$5:$E$9,$E975)=0,"Catégorie ?","OK"),IF($D975="DEPENSE",IF(COUNTIF(PARAMETRES!$G$5:$G$20,$E975)=0,"Catégorie ?","OK"),"Type ?"))))</f>
        <v/>
      </c>
    </row>
    <row r="976" customFormat="false" ht="16.5" hidden="false" customHeight="true" outlineLevel="0" collapsed="false">
      <c r="A976" s="72" t="str">
        <f aca="false">IF($B976="","",ROW()-7)</f>
        <v/>
      </c>
      <c r="B976" s="73"/>
      <c r="C976" s="74" t="str">
        <f aca="false">IF($B976="","",YEAR($B976)*100+MONTH($B976))</f>
        <v/>
      </c>
      <c r="D976" s="75"/>
      <c r="E976" s="76"/>
      <c r="F976" s="76"/>
      <c r="G976" s="77"/>
      <c r="H976" s="78"/>
      <c r="I976" s="79"/>
      <c r="J976" s="80" t="str">
        <f aca="false">IF($B976="","",IF(N($H976)&lt;=0,"Montant ?",IF($D976="RECETTE",IF(COUNTIF(PARAMETRES!$E$5:$E$9,$E976)=0,"Catégorie ?","OK"),IF($D976="DEPENSE",IF(COUNTIF(PARAMETRES!$G$5:$G$20,$E976)=0,"Catégorie ?","OK"),"Type ?"))))</f>
        <v/>
      </c>
    </row>
    <row r="977" customFormat="false" ht="16.5" hidden="false" customHeight="true" outlineLevel="0" collapsed="false">
      <c r="A977" s="81" t="str">
        <f aca="false">IF($B977="","",ROW()-7)</f>
        <v/>
      </c>
      <c r="B977" s="82"/>
      <c r="C977" s="83" t="str">
        <f aca="false">IF($B977="","",YEAR($B977)*100+MONTH($B977))</f>
        <v/>
      </c>
      <c r="D977" s="84"/>
      <c r="E977" s="85"/>
      <c r="F977" s="85"/>
      <c r="G977" s="86"/>
      <c r="H977" s="87"/>
      <c r="I977" s="88"/>
      <c r="J977" s="89" t="str">
        <f aca="false">IF($B977="","",IF(N($H977)&lt;=0,"Montant ?",IF($D977="RECETTE",IF(COUNTIF(PARAMETRES!$E$5:$E$9,$E977)=0,"Catégorie ?","OK"),IF($D977="DEPENSE",IF(COUNTIF(PARAMETRES!$G$5:$G$20,$E977)=0,"Catégorie ?","OK"),"Type ?"))))</f>
        <v/>
      </c>
    </row>
    <row r="978" customFormat="false" ht="16.5" hidden="false" customHeight="true" outlineLevel="0" collapsed="false">
      <c r="A978" s="72" t="str">
        <f aca="false">IF($B978="","",ROW()-7)</f>
        <v/>
      </c>
      <c r="B978" s="73"/>
      <c r="C978" s="74" t="str">
        <f aca="false">IF($B978="","",YEAR($B978)*100+MONTH($B978))</f>
        <v/>
      </c>
      <c r="D978" s="75"/>
      <c r="E978" s="76"/>
      <c r="F978" s="76"/>
      <c r="G978" s="77"/>
      <c r="H978" s="78"/>
      <c r="I978" s="79"/>
      <c r="J978" s="80" t="str">
        <f aca="false">IF($B978="","",IF(N($H978)&lt;=0,"Montant ?",IF($D978="RECETTE",IF(COUNTIF(PARAMETRES!$E$5:$E$9,$E978)=0,"Catégorie ?","OK"),IF($D978="DEPENSE",IF(COUNTIF(PARAMETRES!$G$5:$G$20,$E978)=0,"Catégorie ?","OK"),"Type ?"))))</f>
        <v/>
      </c>
    </row>
    <row r="979" customFormat="false" ht="16.5" hidden="false" customHeight="true" outlineLevel="0" collapsed="false">
      <c r="A979" s="81" t="str">
        <f aca="false">IF($B979="","",ROW()-7)</f>
        <v/>
      </c>
      <c r="B979" s="82"/>
      <c r="C979" s="83" t="str">
        <f aca="false">IF($B979="","",YEAR($B979)*100+MONTH($B979))</f>
        <v/>
      </c>
      <c r="D979" s="84"/>
      <c r="E979" s="85"/>
      <c r="F979" s="85"/>
      <c r="G979" s="86"/>
      <c r="H979" s="87"/>
      <c r="I979" s="88"/>
      <c r="J979" s="89" t="str">
        <f aca="false">IF($B979="","",IF(N($H979)&lt;=0,"Montant ?",IF($D979="RECETTE",IF(COUNTIF(PARAMETRES!$E$5:$E$9,$E979)=0,"Catégorie ?","OK"),IF($D979="DEPENSE",IF(COUNTIF(PARAMETRES!$G$5:$G$20,$E979)=0,"Catégorie ?","OK"),"Type ?"))))</f>
        <v/>
      </c>
    </row>
    <row r="980" customFormat="false" ht="16.5" hidden="false" customHeight="true" outlineLevel="0" collapsed="false">
      <c r="A980" s="72" t="str">
        <f aca="false">IF($B980="","",ROW()-7)</f>
        <v/>
      </c>
      <c r="B980" s="73"/>
      <c r="C980" s="74" t="str">
        <f aca="false">IF($B980="","",YEAR($B980)*100+MONTH($B980))</f>
        <v/>
      </c>
      <c r="D980" s="75"/>
      <c r="E980" s="76"/>
      <c r="F980" s="76"/>
      <c r="G980" s="77"/>
      <c r="H980" s="78"/>
      <c r="I980" s="79"/>
      <c r="J980" s="80" t="str">
        <f aca="false">IF($B980="","",IF(N($H980)&lt;=0,"Montant ?",IF($D980="RECETTE",IF(COUNTIF(PARAMETRES!$E$5:$E$9,$E980)=0,"Catégorie ?","OK"),IF($D980="DEPENSE",IF(COUNTIF(PARAMETRES!$G$5:$G$20,$E980)=0,"Catégorie ?","OK"),"Type ?"))))</f>
        <v/>
      </c>
    </row>
    <row r="981" customFormat="false" ht="16.5" hidden="false" customHeight="true" outlineLevel="0" collapsed="false">
      <c r="A981" s="81" t="str">
        <f aca="false">IF($B981="","",ROW()-7)</f>
        <v/>
      </c>
      <c r="B981" s="82"/>
      <c r="C981" s="83" t="str">
        <f aca="false">IF($B981="","",YEAR($B981)*100+MONTH($B981))</f>
        <v/>
      </c>
      <c r="D981" s="84"/>
      <c r="E981" s="85"/>
      <c r="F981" s="85"/>
      <c r="G981" s="86"/>
      <c r="H981" s="87"/>
      <c r="I981" s="88"/>
      <c r="J981" s="89" t="str">
        <f aca="false">IF($B981="","",IF(N($H981)&lt;=0,"Montant ?",IF($D981="RECETTE",IF(COUNTIF(PARAMETRES!$E$5:$E$9,$E981)=0,"Catégorie ?","OK"),IF($D981="DEPENSE",IF(COUNTIF(PARAMETRES!$G$5:$G$20,$E981)=0,"Catégorie ?","OK"),"Type ?"))))</f>
        <v/>
      </c>
    </row>
    <row r="982" customFormat="false" ht="16.5" hidden="false" customHeight="true" outlineLevel="0" collapsed="false">
      <c r="A982" s="72" t="str">
        <f aca="false">IF($B982="","",ROW()-7)</f>
        <v/>
      </c>
      <c r="B982" s="73"/>
      <c r="C982" s="74" t="str">
        <f aca="false">IF($B982="","",YEAR($B982)*100+MONTH($B982))</f>
        <v/>
      </c>
      <c r="D982" s="75"/>
      <c r="E982" s="76"/>
      <c r="F982" s="76"/>
      <c r="G982" s="77"/>
      <c r="H982" s="78"/>
      <c r="I982" s="79"/>
      <c r="J982" s="80" t="str">
        <f aca="false">IF($B982="","",IF(N($H982)&lt;=0,"Montant ?",IF($D982="RECETTE",IF(COUNTIF(PARAMETRES!$E$5:$E$9,$E982)=0,"Catégorie ?","OK"),IF($D982="DEPENSE",IF(COUNTIF(PARAMETRES!$G$5:$G$20,$E982)=0,"Catégorie ?","OK"),"Type ?"))))</f>
        <v/>
      </c>
    </row>
    <row r="983" customFormat="false" ht="16.5" hidden="false" customHeight="true" outlineLevel="0" collapsed="false">
      <c r="A983" s="81" t="str">
        <f aca="false">IF($B983="","",ROW()-7)</f>
        <v/>
      </c>
      <c r="B983" s="82"/>
      <c r="C983" s="83" t="str">
        <f aca="false">IF($B983="","",YEAR($B983)*100+MONTH($B983))</f>
        <v/>
      </c>
      <c r="D983" s="84"/>
      <c r="E983" s="85"/>
      <c r="F983" s="85"/>
      <c r="G983" s="86"/>
      <c r="H983" s="87"/>
      <c r="I983" s="88"/>
      <c r="J983" s="89" t="str">
        <f aca="false">IF($B983="","",IF(N($H983)&lt;=0,"Montant ?",IF($D983="RECETTE",IF(COUNTIF(PARAMETRES!$E$5:$E$9,$E983)=0,"Catégorie ?","OK"),IF($D983="DEPENSE",IF(COUNTIF(PARAMETRES!$G$5:$G$20,$E983)=0,"Catégorie ?","OK"),"Type ?"))))</f>
        <v/>
      </c>
    </row>
    <row r="984" customFormat="false" ht="16.5" hidden="false" customHeight="true" outlineLevel="0" collapsed="false">
      <c r="A984" s="72" t="str">
        <f aca="false">IF($B984="","",ROW()-7)</f>
        <v/>
      </c>
      <c r="B984" s="73"/>
      <c r="C984" s="74" t="str">
        <f aca="false">IF($B984="","",YEAR($B984)*100+MONTH($B984))</f>
        <v/>
      </c>
      <c r="D984" s="75"/>
      <c r="E984" s="76"/>
      <c r="F984" s="76"/>
      <c r="G984" s="77"/>
      <c r="H984" s="78"/>
      <c r="I984" s="79"/>
      <c r="J984" s="80" t="str">
        <f aca="false">IF($B984="","",IF(N($H984)&lt;=0,"Montant ?",IF($D984="RECETTE",IF(COUNTIF(PARAMETRES!$E$5:$E$9,$E984)=0,"Catégorie ?","OK"),IF($D984="DEPENSE",IF(COUNTIF(PARAMETRES!$G$5:$G$20,$E984)=0,"Catégorie ?","OK"),"Type ?"))))</f>
        <v/>
      </c>
    </row>
    <row r="985" customFormat="false" ht="16.5" hidden="false" customHeight="true" outlineLevel="0" collapsed="false">
      <c r="A985" s="81" t="str">
        <f aca="false">IF($B985="","",ROW()-7)</f>
        <v/>
      </c>
      <c r="B985" s="82"/>
      <c r="C985" s="83" t="str">
        <f aca="false">IF($B985="","",YEAR($B985)*100+MONTH($B985))</f>
        <v/>
      </c>
      <c r="D985" s="84"/>
      <c r="E985" s="85"/>
      <c r="F985" s="85"/>
      <c r="G985" s="86"/>
      <c r="H985" s="87"/>
      <c r="I985" s="88"/>
      <c r="J985" s="89" t="str">
        <f aca="false">IF($B985="","",IF(N($H985)&lt;=0,"Montant ?",IF($D985="RECETTE",IF(COUNTIF(PARAMETRES!$E$5:$E$9,$E985)=0,"Catégorie ?","OK"),IF($D985="DEPENSE",IF(COUNTIF(PARAMETRES!$G$5:$G$20,$E985)=0,"Catégorie ?","OK"),"Type ?"))))</f>
        <v/>
      </c>
    </row>
    <row r="986" customFormat="false" ht="16.5" hidden="false" customHeight="true" outlineLevel="0" collapsed="false">
      <c r="A986" s="72" t="str">
        <f aca="false">IF($B986="","",ROW()-7)</f>
        <v/>
      </c>
      <c r="B986" s="73"/>
      <c r="C986" s="74" t="str">
        <f aca="false">IF($B986="","",YEAR($B986)*100+MONTH($B986))</f>
        <v/>
      </c>
      <c r="D986" s="75"/>
      <c r="E986" s="76"/>
      <c r="F986" s="76"/>
      <c r="G986" s="77"/>
      <c r="H986" s="78"/>
      <c r="I986" s="79"/>
      <c r="J986" s="80" t="str">
        <f aca="false">IF($B986="","",IF(N($H986)&lt;=0,"Montant ?",IF($D986="RECETTE",IF(COUNTIF(PARAMETRES!$E$5:$E$9,$E986)=0,"Catégorie ?","OK"),IF($D986="DEPENSE",IF(COUNTIF(PARAMETRES!$G$5:$G$20,$E986)=0,"Catégorie ?","OK"),"Type ?"))))</f>
        <v/>
      </c>
    </row>
    <row r="987" customFormat="false" ht="16.5" hidden="false" customHeight="true" outlineLevel="0" collapsed="false">
      <c r="A987" s="81" t="str">
        <f aca="false">IF($B987="","",ROW()-7)</f>
        <v/>
      </c>
      <c r="B987" s="82"/>
      <c r="C987" s="83" t="str">
        <f aca="false">IF($B987="","",YEAR($B987)*100+MONTH($B987))</f>
        <v/>
      </c>
      <c r="D987" s="84"/>
      <c r="E987" s="85"/>
      <c r="F987" s="85"/>
      <c r="G987" s="86"/>
      <c r="H987" s="87"/>
      <c r="I987" s="88"/>
      <c r="J987" s="89" t="str">
        <f aca="false">IF($B987="","",IF(N($H987)&lt;=0,"Montant ?",IF($D987="RECETTE",IF(COUNTIF(PARAMETRES!$E$5:$E$9,$E987)=0,"Catégorie ?","OK"),IF($D987="DEPENSE",IF(COUNTIF(PARAMETRES!$G$5:$G$20,$E987)=0,"Catégorie ?","OK"),"Type ?"))))</f>
        <v/>
      </c>
    </row>
    <row r="988" customFormat="false" ht="16.5" hidden="false" customHeight="true" outlineLevel="0" collapsed="false">
      <c r="A988" s="72" t="str">
        <f aca="false">IF($B988="","",ROW()-7)</f>
        <v/>
      </c>
      <c r="B988" s="73"/>
      <c r="C988" s="74" t="str">
        <f aca="false">IF($B988="","",YEAR($B988)*100+MONTH($B988))</f>
        <v/>
      </c>
      <c r="D988" s="75"/>
      <c r="E988" s="76"/>
      <c r="F988" s="76"/>
      <c r="G988" s="77"/>
      <c r="H988" s="78"/>
      <c r="I988" s="79"/>
      <c r="J988" s="80" t="str">
        <f aca="false">IF($B988="","",IF(N($H988)&lt;=0,"Montant ?",IF($D988="RECETTE",IF(COUNTIF(PARAMETRES!$E$5:$E$9,$E988)=0,"Catégorie ?","OK"),IF($D988="DEPENSE",IF(COUNTIF(PARAMETRES!$G$5:$G$20,$E988)=0,"Catégorie ?","OK"),"Type ?"))))</f>
        <v/>
      </c>
    </row>
    <row r="989" customFormat="false" ht="16.5" hidden="false" customHeight="true" outlineLevel="0" collapsed="false">
      <c r="A989" s="81" t="str">
        <f aca="false">IF($B989="","",ROW()-7)</f>
        <v/>
      </c>
      <c r="B989" s="82"/>
      <c r="C989" s="83" t="str">
        <f aca="false">IF($B989="","",YEAR($B989)*100+MONTH($B989))</f>
        <v/>
      </c>
      <c r="D989" s="84"/>
      <c r="E989" s="85"/>
      <c r="F989" s="85"/>
      <c r="G989" s="86"/>
      <c r="H989" s="87"/>
      <c r="I989" s="88"/>
      <c r="J989" s="89" t="str">
        <f aca="false">IF($B989="","",IF(N($H989)&lt;=0,"Montant ?",IF($D989="RECETTE",IF(COUNTIF(PARAMETRES!$E$5:$E$9,$E989)=0,"Catégorie ?","OK"),IF($D989="DEPENSE",IF(COUNTIF(PARAMETRES!$G$5:$G$20,$E989)=0,"Catégorie ?","OK"),"Type ?"))))</f>
        <v/>
      </c>
    </row>
    <row r="990" customFormat="false" ht="16.5" hidden="false" customHeight="true" outlineLevel="0" collapsed="false">
      <c r="A990" s="72" t="str">
        <f aca="false">IF($B990="","",ROW()-7)</f>
        <v/>
      </c>
      <c r="B990" s="73"/>
      <c r="C990" s="74" t="str">
        <f aca="false">IF($B990="","",YEAR($B990)*100+MONTH($B990))</f>
        <v/>
      </c>
      <c r="D990" s="75"/>
      <c r="E990" s="76"/>
      <c r="F990" s="76"/>
      <c r="G990" s="77"/>
      <c r="H990" s="78"/>
      <c r="I990" s="79"/>
      <c r="J990" s="80" t="str">
        <f aca="false">IF($B990="","",IF(N($H990)&lt;=0,"Montant ?",IF($D990="RECETTE",IF(COUNTIF(PARAMETRES!$E$5:$E$9,$E990)=0,"Catégorie ?","OK"),IF($D990="DEPENSE",IF(COUNTIF(PARAMETRES!$G$5:$G$20,$E990)=0,"Catégorie ?","OK"),"Type ?"))))</f>
        <v/>
      </c>
    </row>
    <row r="991" customFormat="false" ht="16.5" hidden="false" customHeight="true" outlineLevel="0" collapsed="false">
      <c r="A991" s="81" t="str">
        <f aca="false">IF($B991="","",ROW()-7)</f>
        <v/>
      </c>
      <c r="B991" s="82"/>
      <c r="C991" s="83" t="str">
        <f aca="false">IF($B991="","",YEAR($B991)*100+MONTH($B991))</f>
        <v/>
      </c>
      <c r="D991" s="84"/>
      <c r="E991" s="85"/>
      <c r="F991" s="85"/>
      <c r="G991" s="86"/>
      <c r="H991" s="87"/>
      <c r="I991" s="88"/>
      <c r="J991" s="89" t="str">
        <f aca="false">IF($B991="","",IF(N($H991)&lt;=0,"Montant ?",IF($D991="RECETTE",IF(COUNTIF(PARAMETRES!$E$5:$E$9,$E991)=0,"Catégorie ?","OK"),IF($D991="DEPENSE",IF(COUNTIF(PARAMETRES!$G$5:$G$20,$E991)=0,"Catégorie ?","OK"),"Type ?"))))</f>
        <v/>
      </c>
    </row>
    <row r="992" customFormat="false" ht="16.5" hidden="false" customHeight="true" outlineLevel="0" collapsed="false">
      <c r="A992" s="72" t="str">
        <f aca="false">IF($B992="","",ROW()-7)</f>
        <v/>
      </c>
      <c r="B992" s="73"/>
      <c r="C992" s="74" t="str">
        <f aca="false">IF($B992="","",YEAR($B992)*100+MONTH($B992))</f>
        <v/>
      </c>
      <c r="D992" s="75"/>
      <c r="E992" s="76"/>
      <c r="F992" s="76"/>
      <c r="G992" s="77"/>
      <c r="H992" s="78"/>
      <c r="I992" s="79"/>
      <c r="J992" s="80" t="str">
        <f aca="false">IF($B992="","",IF(N($H992)&lt;=0,"Montant ?",IF($D992="RECETTE",IF(COUNTIF(PARAMETRES!$E$5:$E$9,$E992)=0,"Catégorie ?","OK"),IF($D992="DEPENSE",IF(COUNTIF(PARAMETRES!$G$5:$G$20,$E992)=0,"Catégorie ?","OK"),"Type ?"))))</f>
        <v/>
      </c>
    </row>
    <row r="993" customFormat="false" ht="16.5" hidden="false" customHeight="true" outlineLevel="0" collapsed="false">
      <c r="A993" s="81" t="str">
        <f aca="false">IF($B993="","",ROW()-7)</f>
        <v/>
      </c>
      <c r="B993" s="82"/>
      <c r="C993" s="83" t="str">
        <f aca="false">IF($B993="","",YEAR($B993)*100+MONTH($B993))</f>
        <v/>
      </c>
      <c r="D993" s="84"/>
      <c r="E993" s="85"/>
      <c r="F993" s="85"/>
      <c r="G993" s="86"/>
      <c r="H993" s="87"/>
      <c r="I993" s="88"/>
      <c r="J993" s="89" t="str">
        <f aca="false">IF($B993="","",IF(N($H993)&lt;=0,"Montant ?",IF($D993="RECETTE",IF(COUNTIF(PARAMETRES!$E$5:$E$9,$E993)=0,"Catégorie ?","OK"),IF($D993="DEPENSE",IF(COUNTIF(PARAMETRES!$G$5:$G$20,$E993)=0,"Catégorie ?","OK"),"Type ?"))))</f>
        <v/>
      </c>
    </row>
    <row r="994" customFormat="false" ht="16.5" hidden="false" customHeight="true" outlineLevel="0" collapsed="false">
      <c r="A994" s="72" t="str">
        <f aca="false">IF($B994="","",ROW()-7)</f>
        <v/>
      </c>
      <c r="B994" s="73"/>
      <c r="C994" s="74" t="str">
        <f aca="false">IF($B994="","",YEAR($B994)*100+MONTH($B994))</f>
        <v/>
      </c>
      <c r="D994" s="75"/>
      <c r="E994" s="76"/>
      <c r="F994" s="76"/>
      <c r="G994" s="77"/>
      <c r="H994" s="78"/>
      <c r="I994" s="79"/>
      <c r="J994" s="80" t="str">
        <f aca="false">IF($B994="","",IF(N($H994)&lt;=0,"Montant ?",IF($D994="RECETTE",IF(COUNTIF(PARAMETRES!$E$5:$E$9,$E994)=0,"Catégorie ?","OK"),IF($D994="DEPENSE",IF(COUNTIF(PARAMETRES!$G$5:$G$20,$E994)=0,"Catégorie ?","OK"),"Type ?"))))</f>
        <v/>
      </c>
    </row>
    <row r="995" customFormat="false" ht="16.5" hidden="false" customHeight="true" outlineLevel="0" collapsed="false">
      <c r="A995" s="81" t="str">
        <f aca="false">IF($B995="","",ROW()-7)</f>
        <v/>
      </c>
      <c r="B995" s="82"/>
      <c r="C995" s="83" t="str">
        <f aca="false">IF($B995="","",YEAR($B995)*100+MONTH($B995))</f>
        <v/>
      </c>
      <c r="D995" s="84"/>
      <c r="E995" s="85"/>
      <c r="F995" s="85"/>
      <c r="G995" s="86"/>
      <c r="H995" s="87"/>
      <c r="I995" s="88"/>
      <c r="J995" s="89" t="str">
        <f aca="false">IF($B995="","",IF(N($H995)&lt;=0,"Montant ?",IF($D995="RECETTE",IF(COUNTIF(PARAMETRES!$E$5:$E$9,$E995)=0,"Catégorie ?","OK"),IF($D995="DEPENSE",IF(COUNTIF(PARAMETRES!$G$5:$G$20,$E995)=0,"Catégorie ?","OK"),"Type ?"))))</f>
        <v/>
      </c>
    </row>
    <row r="996" customFormat="false" ht="16.5" hidden="false" customHeight="true" outlineLevel="0" collapsed="false">
      <c r="A996" s="72" t="str">
        <f aca="false">IF($B996="","",ROW()-7)</f>
        <v/>
      </c>
      <c r="B996" s="73"/>
      <c r="C996" s="74" t="str">
        <f aca="false">IF($B996="","",YEAR($B996)*100+MONTH($B996))</f>
        <v/>
      </c>
      <c r="D996" s="75"/>
      <c r="E996" s="76"/>
      <c r="F996" s="76"/>
      <c r="G996" s="77"/>
      <c r="H996" s="78"/>
      <c r="I996" s="79"/>
      <c r="J996" s="80" t="str">
        <f aca="false">IF($B996="","",IF(N($H996)&lt;=0,"Montant ?",IF($D996="RECETTE",IF(COUNTIF(PARAMETRES!$E$5:$E$9,$E996)=0,"Catégorie ?","OK"),IF($D996="DEPENSE",IF(COUNTIF(PARAMETRES!$G$5:$G$20,$E996)=0,"Catégorie ?","OK"),"Type ?"))))</f>
        <v/>
      </c>
    </row>
    <row r="997" customFormat="false" ht="16.5" hidden="false" customHeight="true" outlineLevel="0" collapsed="false">
      <c r="A997" s="81" t="str">
        <f aca="false">IF($B997="","",ROW()-7)</f>
        <v/>
      </c>
      <c r="B997" s="82"/>
      <c r="C997" s="83" t="str">
        <f aca="false">IF($B997="","",YEAR($B997)*100+MONTH($B997))</f>
        <v/>
      </c>
      <c r="D997" s="84"/>
      <c r="E997" s="85"/>
      <c r="F997" s="85"/>
      <c r="G997" s="86"/>
      <c r="H997" s="87"/>
      <c r="I997" s="88"/>
      <c r="J997" s="89" t="str">
        <f aca="false">IF($B997="","",IF(N($H997)&lt;=0,"Montant ?",IF($D997="RECETTE",IF(COUNTIF(PARAMETRES!$E$5:$E$9,$E997)=0,"Catégorie ?","OK"),IF($D997="DEPENSE",IF(COUNTIF(PARAMETRES!$G$5:$G$20,$E997)=0,"Catégorie ?","OK"),"Type ?"))))</f>
        <v/>
      </c>
    </row>
    <row r="998" customFormat="false" ht="16.5" hidden="false" customHeight="true" outlineLevel="0" collapsed="false">
      <c r="A998" s="72" t="str">
        <f aca="false">IF($B998="","",ROW()-7)</f>
        <v/>
      </c>
      <c r="B998" s="73"/>
      <c r="C998" s="74" t="str">
        <f aca="false">IF($B998="","",YEAR($B998)*100+MONTH($B998))</f>
        <v/>
      </c>
      <c r="D998" s="75"/>
      <c r="E998" s="76"/>
      <c r="F998" s="76"/>
      <c r="G998" s="77"/>
      <c r="H998" s="78"/>
      <c r="I998" s="79"/>
      <c r="J998" s="80" t="str">
        <f aca="false">IF($B998="","",IF(N($H998)&lt;=0,"Montant ?",IF($D998="RECETTE",IF(COUNTIF(PARAMETRES!$E$5:$E$9,$E998)=0,"Catégorie ?","OK"),IF($D998="DEPENSE",IF(COUNTIF(PARAMETRES!$G$5:$G$20,$E998)=0,"Catégorie ?","OK"),"Type ?"))))</f>
        <v/>
      </c>
    </row>
    <row r="999" customFormat="false" ht="16.5" hidden="false" customHeight="true" outlineLevel="0" collapsed="false">
      <c r="A999" s="81" t="str">
        <f aca="false">IF($B999="","",ROW()-7)</f>
        <v/>
      </c>
      <c r="B999" s="82"/>
      <c r="C999" s="83" t="str">
        <f aca="false">IF($B999="","",YEAR($B999)*100+MONTH($B999))</f>
        <v/>
      </c>
      <c r="D999" s="84"/>
      <c r="E999" s="85"/>
      <c r="F999" s="85"/>
      <c r="G999" s="86"/>
      <c r="H999" s="87"/>
      <c r="I999" s="88"/>
      <c r="J999" s="89" t="str">
        <f aca="false">IF($B999="","",IF(N($H999)&lt;=0,"Montant ?",IF($D999="RECETTE",IF(COUNTIF(PARAMETRES!$E$5:$E$9,$E999)=0,"Catégorie ?","OK"),IF($D999="DEPENSE",IF(COUNTIF(PARAMETRES!$G$5:$G$20,$E999)=0,"Catégorie ?","OK"),"Type ?"))))</f>
        <v/>
      </c>
    </row>
    <row r="1000" customFormat="false" ht="16.5" hidden="false" customHeight="true" outlineLevel="0" collapsed="false">
      <c r="A1000" s="72" t="str">
        <f aca="false">IF($B1000="","",ROW()-7)</f>
        <v/>
      </c>
      <c r="B1000" s="73"/>
      <c r="C1000" s="74" t="str">
        <f aca="false">IF($B1000="","",YEAR($B1000)*100+MONTH($B1000))</f>
        <v/>
      </c>
      <c r="D1000" s="75"/>
      <c r="E1000" s="76"/>
      <c r="F1000" s="76"/>
      <c r="G1000" s="77"/>
      <c r="H1000" s="78"/>
      <c r="I1000" s="79"/>
      <c r="J1000" s="80" t="str">
        <f aca="false">IF($B1000="","",IF(N($H1000)&lt;=0,"Montant ?",IF($D1000="RECETTE",IF(COUNTIF(PARAMETRES!$E$5:$E$9,$E1000)=0,"Catégorie ?","OK"),IF($D1000="DEPENSE",IF(COUNTIF(PARAMETRES!$G$5:$G$20,$E1000)=0,"Catégorie ?","OK"),"Type ?"))))</f>
        <v/>
      </c>
    </row>
    <row r="1001" customFormat="false" ht="16.5" hidden="false" customHeight="true" outlineLevel="0" collapsed="false">
      <c r="A1001" s="81" t="str">
        <f aca="false">IF($B1001="","",ROW()-7)</f>
        <v/>
      </c>
      <c r="B1001" s="82"/>
      <c r="C1001" s="83" t="str">
        <f aca="false">IF($B1001="","",YEAR($B1001)*100+MONTH($B1001))</f>
        <v/>
      </c>
      <c r="D1001" s="84"/>
      <c r="E1001" s="85"/>
      <c r="F1001" s="85"/>
      <c r="G1001" s="86"/>
      <c r="H1001" s="87"/>
      <c r="I1001" s="88"/>
      <c r="J1001" s="89" t="str">
        <f aca="false">IF($B1001="","",IF(N($H1001)&lt;=0,"Montant ?",IF($D1001="RECETTE",IF(COUNTIF(PARAMETRES!$E$5:$E$9,$E1001)=0,"Catégorie ?","OK"),IF($D1001="DEPENSE",IF(COUNTIF(PARAMETRES!$G$5:$G$20,$E1001)=0,"Catégorie ?","OK"),"Type ?"))))</f>
        <v/>
      </c>
    </row>
    <row r="1002" customFormat="false" ht="16.5" hidden="false" customHeight="true" outlineLevel="0" collapsed="false">
      <c r="A1002" s="72" t="str">
        <f aca="false">IF($B1002="","",ROW()-7)</f>
        <v/>
      </c>
      <c r="B1002" s="73"/>
      <c r="C1002" s="74" t="str">
        <f aca="false">IF($B1002="","",YEAR($B1002)*100+MONTH($B1002))</f>
        <v/>
      </c>
      <c r="D1002" s="75"/>
      <c r="E1002" s="76"/>
      <c r="F1002" s="76"/>
      <c r="G1002" s="77"/>
      <c r="H1002" s="78"/>
      <c r="I1002" s="79"/>
      <c r="J1002" s="80" t="str">
        <f aca="false">IF($B1002="","",IF(N($H1002)&lt;=0,"Montant ?",IF($D1002="RECETTE",IF(COUNTIF(PARAMETRES!$E$5:$E$9,$E1002)=0,"Catégorie ?","OK"),IF($D1002="DEPENSE",IF(COUNTIF(PARAMETRES!$G$5:$G$20,$E1002)=0,"Catégorie ?","OK"),"Type ?"))))</f>
        <v/>
      </c>
    </row>
    <row r="1003" customFormat="false" ht="16.5" hidden="false" customHeight="true" outlineLevel="0" collapsed="false">
      <c r="A1003" s="81" t="str">
        <f aca="false">IF($B1003="","",ROW()-7)</f>
        <v/>
      </c>
      <c r="B1003" s="82"/>
      <c r="C1003" s="83" t="str">
        <f aca="false">IF($B1003="","",YEAR($B1003)*100+MONTH($B1003))</f>
        <v/>
      </c>
      <c r="D1003" s="84"/>
      <c r="E1003" s="85"/>
      <c r="F1003" s="85"/>
      <c r="G1003" s="86"/>
      <c r="H1003" s="87"/>
      <c r="I1003" s="88"/>
      <c r="J1003" s="89" t="str">
        <f aca="false">IF($B1003="","",IF(N($H1003)&lt;=0,"Montant ?",IF($D1003="RECETTE",IF(COUNTIF(PARAMETRES!$E$5:$E$9,$E1003)=0,"Catégorie ?","OK"),IF($D1003="DEPENSE",IF(COUNTIF(PARAMETRES!$G$5:$G$20,$E1003)=0,"Catégorie ?","OK"),"Type ?"))))</f>
        <v/>
      </c>
    </row>
    <row r="1004" customFormat="false" ht="16.5" hidden="false" customHeight="true" outlineLevel="0" collapsed="false">
      <c r="A1004" s="72" t="str">
        <f aca="false">IF($B1004="","",ROW()-7)</f>
        <v/>
      </c>
      <c r="B1004" s="73"/>
      <c r="C1004" s="74" t="str">
        <f aca="false">IF($B1004="","",YEAR($B1004)*100+MONTH($B1004))</f>
        <v/>
      </c>
      <c r="D1004" s="75"/>
      <c r="E1004" s="76"/>
      <c r="F1004" s="76"/>
      <c r="G1004" s="77"/>
      <c r="H1004" s="78"/>
      <c r="I1004" s="79"/>
      <c r="J1004" s="80" t="str">
        <f aca="false">IF($B1004="","",IF(N($H1004)&lt;=0,"Montant ?",IF($D1004="RECETTE",IF(COUNTIF(PARAMETRES!$E$5:$E$9,$E1004)=0,"Catégorie ?","OK"),IF($D1004="DEPENSE",IF(COUNTIF(PARAMETRES!$G$5:$G$20,$E1004)=0,"Catégorie ?","OK"),"Type ?"))))</f>
        <v/>
      </c>
    </row>
    <row r="1005" customFormat="false" ht="16.5" hidden="false" customHeight="true" outlineLevel="0" collapsed="false">
      <c r="A1005" s="81" t="str">
        <f aca="false">IF($B1005="","",ROW()-7)</f>
        <v/>
      </c>
      <c r="B1005" s="82"/>
      <c r="C1005" s="83" t="str">
        <f aca="false">IF($B1005="","",YEAR($B1005)*100+MONTH($B1005))</f>
        <v/>
      </c>
      <c r="D1005" s="84"/>
      <c r="E1005" s="85"/>
      <c r="F1005" s="85"/>
      <c r="G1005" s="86"/>
      <c r="H1005" s="87"/>
      <c r="I1005" s="88"/>
      <c r="J1005" s="89" t="str">
        <f aca="false">IF($B1005="","",IF(N($H1005)&lt;=0,"Montant ?",IF($D1005="RECETTE",IF(COUNTIF(PARAMETRES!$E$5:$E$9,$E1005)=0,"Catégorie ?","OK"),IF($D1005="DEPENSE",IF(COUNTIF(PARAMETRES!$G$5:$G$20,$E1005)=0,"Catégorie ?","OK"),"Type ?"))))</f>
        <v/>
      </c>
    </row>
    <row r="1006" customFormat="false" ht="16.5" hidden="false" customHeight="true" outlineLevel="0" collapsed="false">
      <c r="A1006" s="72" t="str">
        <f aca="false">IF($B1006="","",ROW()-7)</f>
        <v/>
      </c>
      <c r="B1006" s="73"/>
      <c r="C1006" s="74" t="str">
        <f aca="false">IF($B1006="","",YEAR($B1006)*100+MONTH($B1006))</f>
        <v/>
      </c>
      <c r="D1006" s="75"/>
      <c r="E1006" s="76"/>
      <c r="F1006" s="76"/>
      <c r="G1006" s="77"/>
      <c r="H1006" s="78"/>
      <c r="I1006" s="79"/>
      <c r="J1006" s="80" t="str">
        <f aca="false">IF($B1006="","",IF(N($H1006)&lt;=0,"Montant ?",IF($D1006="RECETTE",IF(COUNTIF(PARAMETRES!$E$5:$E$9,$E1006)=0,"Catégorie ?","OK"),IF($D1006="DEPENSE",IF(COUNTIF(PARAMETRES!$G$5:$G$20,$E1006)=0,"Catégorie ?","OK"),"Type ?"))))</f>
        <v/>
      </c>
    </row>
    <row r="1007" customFormat="false" ht="16.5" hidden="false" customHeight="true" outlineLevel="0" collapsed="false">
      <c r="A1007" s="81" t="str">
        <f aca="false">IF($B1007="","",ROW()-7)</f>
        <v/>
      </c>
      <c r="B1007" s="82"/>
      <c r="C1007" s="83" t="str">
        <f aca="false">IF($B1007="","",YEAR($B1007)*100+MONTH($B1007))</f>
        <v/>
      </c>
      <c r="D1007" s="84"/>
      <c r="E1007" s="85"/>
      <c r="F1007" s="85"/>
      <c r="G1007" s="86"/>
      <c r="H1007" s="87"/>
      <c r="I1007" s="88"/>
      <c r="J1007" s="89" t="str">
        <f aca="false">IF($B1007="","",IF(N($H1007)&lt;=0,"Montant ?",IF($D1007="RECETTE",IF(COUNTIF(PARAMETRES!$E$5:$E$9,$E1007)=0,"Catégorie ?","OK"),IF($D1007="DEPENSE",IF(COUNTIF(PARAMETRES!$G$5:$G$20,$E1007)=0,"Catégorie ?","OK"),"Type ?"))))</f>
        <v/>
      </c>
    </row>
  </sheetData>
  <autoFilter ref="A7:J1007"/>
  <mergeCells count="11">
    <mergeCell ref="A1:J1"/>
    <mergeCell ref="A2:J2"/>
    <mergeCell ref="A3:J3"/>
    <mergeCell ref="A5:B5"/>
    <mergeCell ref="C5:D5"/>
    <mergeCell ref="E5:F5"/>
    <mergeCell ref="G5:H5"/>
    <mergeCell ref="A6:B6"/>
    <mergeCell ref="C6:D6"/>
    <mergeCell ref="E6:F6"/>
    <mergeCell ref="G6:H6"/>
  </mergeCells>
  <conditionalFormatting sqref="A8:J1007">
    <cfRule type="expression" priority="2" aboveAverage="0" equalAverage="0" bottom="0" percent="0" rank="0" text="" dxfId="9">
      <formula>$D8="RECETTE"</formula>
    </cfRule>
  </conditionalFormatting>
  <conditionalFormatting sqref="J8:J1007">
    <cfRule type="cellIs" priority="3" operator="equal" aboveAverage="0" equalAverage="0" bottom="0" percent="0" rank="0" text="" dxfId="10">
      <formula>"OK"</formula>
    </cfRule>
    <cfRule type="expression" priority="4" aboveAverage="0" equalAverage="0" bottom="0" percent="0" rank="0" text="" dxfId="11">
      <formula>AND($J8&lt;&gt;"",$J8&lt;&gt;"OK")</formula>
    </cfRule>
  </conditionalFormatting>
  <conditionalFormatting sqref="H8:H1007">
    <cfRule type="dataBar" priority="5">
      <dataBar showValue="1" minLength="10" maxLength="90">
        <cfvo type="num" val="0"/>
        <cfvo type="percentile" val="95"/>
        <color rgb="FFC8A265"/>
      </dataBar>
      <extLst>
        <ext xmlns:x14="http://schemas.microsoft.com/office/spreadsheetml/2009/9/main" uri="{B025F937-C7B1-47D3-B67F-A62EFF666E3E}">
          <x14:id>{EB3F4A29-82D5-4BF7-A2F0-A1DDBE7C50E0}</x14:id>
        </ext>
      </extLst>
    </cfRule>
  </conditionalFormatting>
  <dataValidations count="5">
    <dataValidation allowBlank="true" errorStyle="stop" operator="between" prompt="Choisissez RECETTE ou DEPENSE." promptTitle="Type" showDropDown="false" showErrorMessage="false" showInputMessage="true" sqref="D8:D1007" type="list">
      <formula1>"RECETTE,DEPENSE"</formula1>
      <formula2>0</formula2>
    </dataValidation>
    <dataValidation allowBlank="true" errorStyle="stop" operator="between" prompt="Choisissez une catégorie de la feuille PARAMÈTRES." promptTitle="Categorie" showDropDown="false" showErrorMessage="false" showInputMessage="true" sqref="E8:E1007" type="list">
      <formula1>PARAMETRES!$N$5:$N$25</formula1>
      <formula2>0</formula2>
    </dataValidation>
    <dataValidation allowBlank="true" errorStyle="stop" operator="between" prompt="Choisissez un fournisseur existant, ou ajoutez-le dans PARAMÈTRES." promptTitle="Fournisseur" showDropDown="false" showErrorMessage="false" showInputMessage="true" sqref="F8:F1007" type="list">
      <formula1>PARAMETRES!$I$5:$I$35</formula1>
      <formula2>0</formula2>
    </dataValidation>
    <dataValidation allowBlank="true" errorStyle="stop" operator="between" prompt="Espece, Carte, Virement ou Cheque." promptTitle="Mode de paiement" showDropDown="false" showErrorMessage="false" showInputMessage="true" sqref="I8:I1007" type="list">
      <formula1>PARAMETRES!$L$5:$L$8</formula1>
      <formula2>0</formula2>
    </dataValidation>
    <dataValidation allowBlank="true" error="Le montant doit être un nombre positif, en dirhams." errorStyle="stop" errorTitle="Montant invalide" operator="greaterThan" showDropDown="false" showErrorMessage="true" showInputMessage="false" sqref="H8:H1007" type="decimal">
      <formula1>0</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EB3F4A29-82D5-4BF7-A2F0-A1DDBE7C50E0}">
            <x14:dataBar minLength="10" maxLength="90" axisPosition="none" gradient="true">
              <x14:cfvo type="num">
                <xm:f>0</xm:f>
              </x14:cfvo>
              <x14:cfvo type="percentile">
                <xm:f>95</xm:f>
              </x14:cfvo>
              <x14:negativeFillColor rgb="FFC8A265"/>
              <x14:axisColor rgb="FF000000"/>
            </x14:dataBar>
          </x14:cfRule>
          <xm:sqref>H8:H1007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4037"/>
    <pageSetUpPr fitToPage="true"/>
  </sheetPr>
  <dimension ref="A1:P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3"/>
    <col collapsed="false" customWidth="true" hidden="false" outlineLevel="0" max="5" min="4" style="0" width="12"/>
    <col collapsed="false" customWidth="true" hidden="false" outlineLevel="0" max="6" min="6" style="0" width="14"/>
    <col collapsed="false" customWidth="true" hidden="false" outlineLevel="0" max="7" min="7" style="0" width="13"/>
    <col collapsed="false" customWidth="true" hidden="false" outlineLevel="0" max="9" min="8" style="0" width="12"/>
    <col collapsed="false" customWidth="true" hidden="false" outlineLevel="0" max="10" min="10" style="0" width="13"/>
    <col collapsed="false" customWidth="true" hidden="false" outlineLevel="0" max="11" min="11" style="0" width="12"/>
    <col collapsed="false" customWidth="true" hidden="false" outlineLevel="0" max="12" min="12" style="0" width="11"/>
    <col collapsed="false" customWidth="true" hidden="false" outlineLevel="0" max="14" min="13" style="0" width="14"/>
    <col collapsed="false" customWidth="true" hidden="false" outlineLevel="0" max="15" min="15" style="0" width="15"/>
    <col collapsed="false" customWidth="true" hidden="false" outlineLevel="0" max="16" min="16" style="0" width="11"/>
  </cols>
  <sheetData>
    <row r="1" customFormat="false" ht="37.5" hidden="false" customHeight="true" outlineLevel="0" collapsed="false">
      <c r="A1" s="37" t="s">
        <v>155</v>
      </c>
      <c r="B1" s="37"/>
      <c r="C1" s="37"/>
      <c r="D1" s="37"/>
      <c r="E1" s="37"/>
      <c r="F1" s="37"/>
      <c r="G1" s="37"/>
      <c r="H1" s="37"/>
      <c r="I1" s="37"/>
      <c r="J1" s="37"/>
      <c r="K1" s="37"/>
      <c r="L1" s="37"/>
      <c r="M1" s="37"/>
      <c r="N1" s="37"/>
      <c r="O1" s="37"/>
      <c r="P1" s="37"/>
    </row>
    <row r="2" customFormat="false" ht="18" hidden="false" customHeight="true" outlineLevel="0" collapsed="false">
      <c r="A2" s="38" t="s">
        <v>156</v>
      </c>
      <c r="B2" s="38"/>
      <c r="C2" s="38"/>
      <c r="D2" s="38"/>
      <c r="E2" s="38"/>
      <c r="F2" s="38"/>
      <c r="G2" s="38"/>
      <c r="H2" s="38"/>
      <c r="I2" s="38"/>
      <c r="J2" s="38"/>
      <c r="K2" s="38"/>
      <c r="L2" s="38"/>
      <c r="M2" s="38"/>
      <c r="N2" s="38"/>
      <c r="O2" s="38"/>
      <c r="P2" s="38"/>
    </row>
    <row r="3" customFormat="false" ht="25.5" hidden="false" customHeight="true" outlineLevel="0" collapsed="false">
      <c r="A3" s="90" t="n">
        <f aca="false">PARAMETRES!$C$15</f>
        <v>46235</v>
      </c>
      <c r="B3" s="90"/>
      <c r="C3" s="90"/>
      <c r="D3" s="90"/>
      <c r="E3" s="90"/>
      <c r="F3" s="90"/>
    </row>
    <row r="5" customFormat="false" ht="30" hidden="false" customHeight="true" outlineLevel="0" collapsed="false">
      <c r="A5" s="23" t="s">
        <v>129</v>
      </c>
      <c r="B5" s="23" t="s">
        <v>157</v>
      </c>
      <c r="C5" s="23" t="s">
        <v>158</v>
      </c>
      <c r="D5" s="23" t="s">
        <v>159</v>
      </c>
      <c r="E5" s="23" t="s">
        <v>160</v>
      </c>
      <c r="F5" s="23" t="s">
        <v>161</v>
      </c>
      <c r="G5" s="23" t="s">
        <v>162</v>
      </c>
      <c r="H5" s="23" t="s">
        <v>163</v>
      </c>
      <c r="I5" s="23" t="s">
        <v>39</v>
      </c>
      <c r="J5" s="23" t="s">
        <v>164</v>
      </c>
      <c r="K5" s="23" t="s">
        <v>165</v>
      </c>
      <c r="L5" s="23" t="s">
        <v>166</v>
      </c>
      <c r="M5" s="23" t="s">
        <v>167</v>
      </c>
      <c r="N5" s="23" t="s">
        <v>168</v>
      </c>
      <c r="O5" s="23" t="s">
        <v>169</v>
      </c>
      <c r="P5" s="23" t="s">
        <v>170</v>
      </c>
    </row>
    <row r="6" customFormat="false" ht="18" hidden="false" customHeight="true" outlineLevel="0" collapsed="false">
      <c r="A6" s="91" t="n">
        <f aca="false">IF(1&gt;PARAMETRES!$C$16,"",DATE(PARAMETRES!$C$12,PARAMETRES!$C$13,1))</f>
        <v>46235</v>
      </c>
      <c r="B6" s="92" t="str">
        <f aca="false">IF($A6="","",CHOOSE(WEEKDAY($A6,2),"Lundi","Mardi","Mercredi","Jeudi","Vendredi","Samedi","Dimanche"))</f>
        <v>Samedi</v>
      </c>
      <c r="C6" s="93" t="n">
        <f aca="false">IF($A6="","",SUMIFS(JOURNAL!$H$8:$H$1007,JOURNAL!$E$8:$E$1007,"Vente Caisse",JOURNAL!$B$8:$B$1007,$A6)+SUMIFS(JOURNAL!$H$8:$H$1007,JOURNAL!$E$8:$E$1007,"Terrasse",JOURNAL!$B$8:$B$1007,$A6)+SUMIFS(JOURNAL!$H$8:$H$1007,JOURNAL!$E$8:$E$1007,"Autre Recette",JOURNAL!$B$8:$B$1007,$A6))</f>
        <v>2335</v>
      </c>
      <c r="D6" s="93" t="n">
        <f aca="false">IF($A6="","",SUMIFS(JOURNAL!$H$8:$H$1007,JOURNAL!$E$8:$E$1007,"Glovo Espèce",JOURNAL!$B$8:$B$1007,$A6))</f>
        <v>0</v>
      </c>
      <c r="E6" s="93" t="n">
        <f aca="false">IF($A6="","",SUMIFS(JOURNAL!$H$8:$H$1007,JOURNAL!$E$8:$E$1007,"Glovo Carte",JOURNAL!$B$8:$B$1007,$A6))</f>
        <v>0</v>
      </c>
      <c r="F6" s="94" t="n">
        <f aca="false">IF($A6="","",SUM($C6:$E6))</f>
        <v>2335</v>
      </c>
      <c r="G6" s="93" t="n">
        <f aca="false">IF($A6="","",SUMIFS(JOURNAL!$H$8:$H$1007,JOURNAL!$E$8:$E$1007,"Boissons",JOURNAL!$B$8:$B$1007,$A6)+SUMIFS(JOURNAL!$H$8:$H$1007,JOURNAL!$E$8:$E$1007,"Café &amp; Torréfaction",JOURNAL!$B$8:$B$1007,$A6)+SUMIFS(JOURNAL!$H$8:$H$1007,JOURNAL!$E$8:$E$1007,"Boulangerie",JOURNAL!$B$8:$B$1007,$A6)+SUMIFS(JOURNAL!$H$8:$H$1007,JOURNAL!$E$8:$E$1007,"Fruits &amp; Légumes",JOURNAL!$B$8:$B$1007,$A6)+SUMIFS(JOURNAL!$H$8:$H$1007,JOURNAL!$E$8:$E$1007,"Épicerie &amp; Divers",JOURNAL!$B$8:$B$1007,$A6))</f>
        <v>771</v>
      </c>
      <c r="H6" s="93" t="n">
        <f aca="false">IF($A6="","",SUMIFS(JOURNAL!$H$8:$H$1007,JOURNAL!$E$8:$E$1007,"Nettoyage",JOURNAL!$B$8:$B$1007,$A6))</f>
        <v>150</v>
      </c>
      <c r="I6" s="93" t="n">
        <f aca="false">IF($A6="","",SUMIFS(JOURNAL!$H$8:$H$1007,JOURNAL!$E$8:$E$1007,"Salaires",JOURNAL!$B$8:$B$1007,$A6))</f>
        <v>0</v>
      </c>
      <c r="J6" s="93" t="n">
        <f aca="false">IF($A6="","",SUMIFS(JOURNAL!$H$8:$H$1007,JOURNAL!$E$8:$E$1007,"Loyer",JOURNAL!$B$8:$B$1007,$A6)+SUMIFS(JOURNAL!$H$8:$H$1007,JOURNAL!$E$8:$E$1007,"Eau &amp; Électricité",JOURNAL!$B$8:$B$1007,$A6)+SUMIFS(JOURNAL!$H$8:$H$1007,JOURNAL!$E$8:$E$1007,"Internet &amp; Télécom",JOURNAL!$B$8:$B$1007,$A6)+SUMIFS(JOURNAL!$H$8:$H$1007,JOURNAL!$E$8:$E$1007,"Taxes &amp; Impôts",JOURNAL!$B$8:$B$1007,$A6)+SUMIFS(JOURNAL!$H$8:$H$1007,JOURNAL!$E$8:$E$1007,"Abonnements",JOURNAL!$B$8:$B$1007,$A6)+SUMIFS(JOURNAL!$H$8:$H$1007,JOURNAL!$E$8:$E$1007,"Entretien &amp; Réparation",JOURNAL!$B$8:$B$1007,$A6))</f>
        <v>0</v>
      </c>
      <c r="K6" s="93" t="n">
        <f aca="false">IF($A6="","",SUMIFS(JOURNAL!$H$8:$H$1007,JOURNAL!$E$8:$E$1007,"Virement Banque",JOURNAL!$B$8:$B$1007,$A6)+SUMIFS(JOURNAL!$H$8:$H$1007,JOURNAL!$E$8:$E$1007,"Virement Associés",JOURNAL!$B$8:$B$1007,$A6))</f>
        <v>0</v>
      </c>
      <c r="L6" s="93" t="n">
        <f aca="false">IF($A6="","",$M6-SUM($G6:$K6))</f>
        <v>0</v>
      </c>
      <c r="M6" s="95" t="n">
        <f aca="false">IF($A6="","",SUMIFS(JOURNAL!$H$8:$H$1007,JOURNAL!$D$8:$D$1007,"DEPENSE",JOURNAL!$B$8:$B$1007,$A6))</f>
        <v>921</v>
      </c>
      <c r="N6" s="96" t="n">
        <f aca="false">IF($A6="","",$F6-$M6)</f>
        <v>1414</v>
      </c>
      <c r="O6" s="97" t="n">
        <f aca="false">IF($A6="","",PARAMETRES!$C$19+$N6)</f>
        <v>1414</v>
      </c>
      <c r="P6" s="93" t="n">
        <f aca="false">IF($A6="","",IF($F6=0,"—",$F6-PARAMETRES!$C$20))</f>
        <v>135</v>
      </c>
    </row>
    <row r="7" customFormat="false" ht="18" hidden="false" customHeight="true" outlineLevel="0" collapsed="false">
      <c r="A7" s="98" t="n">
        <f aca="false">IF(2&gt;PARAMETRES!$C$16,"",DATE(PARAMETRES!$C$12,PARAMETRES!$C$13,2))</f>
        <v>46236</v>
      </c>
      <c r="B7" s="99" t="str">
        <f aca="false">IF($A7="","",CHOOSE(WEEKDAY($A7,2),"Lundi","Mardi","Mercredi","Jeudi","Vendredi","Samedi","Dimanche"))</f>
        <v>Dimanche</v>
      </c>
      <c r="C7" s="100" t="n">
        <f aca="false">IF($A7="","",SUMIFS(JOURNAL!$H$8:$H$1007,JOURNAL!$E$8:$E$1007,"Vente Caisse",JOURNAL!$B$8:$B$1007,$A7)+SUMIFS(JOURNAL!$H$8:$H$1007,JOURNAL!$E$8:$E$1007,"Terrasse",JOURNAL!$B$8:$B$1007,$A7)+SUMIFS(JOURNAL!$H$8:$H$1007,JOURNAL!$E$8:$E$1007,"Autre Recette",JOURNAL!$B$8:$B$1007,$A7))</f>
        <v>2456</v>
      </c>
      <c r="D7" s="100" t="n">
        <f aca="false">IF($A7="","",SUMIFS(JOURNAL!$H$8:$H$1007,JOURNAL!$E$8:$E$1007,"Glovo Espèce",JOURNAL!$B$8:$B$1007,$A7))</f>
        <v>0</v>
      </c>
      <c r="E7" s="100" t="n">
        <f aca="false">IF($A7="","",SUMIFS(JOURNAL!$H$8:$H$1007,JOURNAL!$E$8:$E$1007,"Glovo Carte",JOURNAL!$B$8:$B$1007,$A7))</f>
        <v>0</v>
      </c>
      <c r="F7" s="101" t="n">
        <f aca="false">IF($A7="","",SUM($C7:$E7))</f>
        <v>2456</v>
      </c>
      <c r="G7" s="100" t="n">
        <f aca="false">IF($A7="","",SUMIFS(JOURNAL!$H$8:$H$1007,JOURNAL!$E$8:$E$1007,"Boissons",JOURNAL!$B$8:$B$1007,$A7)+SUMIFS(JOURNAL!$H$8:$H$1007,JOURNAL!$E$8:$E$1007,"Café &amp; Torréfaction",JOURNAL!$B$8:$B$1007,$A7)+SUMIFS(JOURNAL!$H$8:$H$1007,JOURNAL!$E$8:$E$1007,"Boulangerie",JOURNAL!$B$8:$B$1007,$A7)+SUMIFS(JOURNAL!$H$8:$H$1007,JOURNAL!$E$8:$E$1007,"Fruits &amp; Légumes",JOURNAL!$B$8:$B$1007,$A7)+SUMIFS(JOURNAL!$H$8:$H$1007,JOURNAL!$E$8:$E$1007,"Épicerie &amp; Divers",JOURNAL!$B$8:$B$1007,$A7))</f>
        <v>762</v>
      </c>
      <c r="H7" s="100" t="n">
        <f aca="false">IF($A7="","",SUMIFS(JOURNAL!$H$8:$H$1007,JOURNAL!$E$8:$E$1007,"Nettoyage",JOURNAL!$B$8:$B$1007,$A7))</f>
        <v>150</v>
      </c>
      <c r="I7" s="100" t="n">
        <f aca="false">IF($A7="","",SUMIFS(JOURNAL!$H$8:$H$1007,JOURNAL!$E$8:$E$1007,"Salaires",JOURNAL!$B$8:$B$1007,$A7))</f>
        <v>2700</v>
      </c>
      <c r="J7" s="100" t="n">
        <f aca="false">IF($A7="","",SUMIFS(JOURNAL!$H$8:$H$1007,JOURNAL!$E$8:$E$1007,"Loyer",JOURNAL!$B$8:$B$1007,$A7)+SUMIFS(JOURNAL!$H$8:$H$1007,JOURNAL!$E$8:$E$1007,"Eau &amp; Électricité",JOURNAL!$B$8:$B$1007,$A7)+SUMIFS(JOURNAL!$H$8:$H$1007,JOURNAL!$E$8:$E$1007,"Internet &amp; Télécom",JOURNAL!$B$8:$B$1007,$A7)+SUMIFS(JOURNAL!$H$8:$H$1007,JOURNAL!$E$8:$E$1007,"Taxes &amp; Impôts",JOURNAL!$B$8:$B$1007,$A7)+SUMIFS(JOURNAL!$H$8:$H$1007,JOURNAL!$E$8:$E$1007,"Abonnements",JOURNAL!$B$8:$B$1007,$A7)+SUMIFS(JOURNAL!$H$8:$H$1007,JOURNAL!$E$8:$E$1007,"Entretien &amp; Réparation",JOURNAL!$B$8:$B$1007,$A7))</f>
        <v>0</v>
      </c>
      <c r="K7" s="100" t="n">
        <f aca="false">IF($A7="","",SUMIFS(JOURNAL!$H$8:$H$1007,JOURNAL!$E$8:$E$1007,"Virement Banque",JOURNAL!$B$8:$B$1007,$A7)+SUMIFS(JOURNAL!$H$8:$H$1007,JOURNAL!$E$8:$E$1007,"Virement Associés",JOURNAL!$B$8:$B$1007,$A7))</f>
        <v>0</v>
      </c>
      <c r="L7" s="100" t="n">
        <f aca="false">IF($A7="","",$M7-SUM($G7:$K7))</f>
        <v>0</v>
      </c>
      <c r="M7" s="102" t="n">
        <f aca="false">IF($A7="","",SUMIFS(JOURNAL!$H$8:$H$1007,JOURNAL!$D$8:$D$1007,"DEPENSE",JOURNAL!$B$8:$B$1007,$A7))</f>
        <v>3612</v>
      </c>
      <c r="N7" s="103" t="n">
        <f aca="false">IF($A7="","",$F7-$M7)</f>
        <v>-1156</v>
      </c>
      <c r="O7" s="104" t="n">
        <f aca="false">IF($A7="","",$O6+$N7)</f>
        <v>258</v>
      </c>
      <c r="P7" s="100" t="n">
        <f aca="false">IF($A7="","",IF($F7=0,"—",$F7-PARAMETRES!$C$20))</f>
        <v>256</v>
      </c>
    </row>
    <row r="8" customFormat="false" ht="18" hidden="false" customHeight="true" outlineLevel="0" collapsed="false">
      <c r="A8" s="91" t="n">
        <f aca="false">IF(3&gt;PARAMETRES!$C$16,"",DATE(PARAMETRES!$C$12,PARAMETRES!$C$13,3))</f>
        <v>46237</v>
      </c>
      <c r="B8" s="92" t="str">
        <f aca="false">IF($A8="","",CHOOSE(WEEKDAY($A8,2),"Lundi","Mardi","Mercredi","Jeudi","Vendredi","Samedi","Dimanche"))</f>
        <v>Lundi</v>
      </c>
      <c r="C8" s="93" t="n">
        <f aca="false">IF($A8="","",SUMIFS(JOURNAL!$H$8:$H$1007,JOURNAL!$E$8:$E$1007,"Vente Caisse",JOURNAL!$B$8:$B$1007,$A8)+SUMIFS(JOURNAL!$H$8:$H$1007,JOURNAL!$E$8:$E$1007,"Terrasse",JOURNAL!$B$8:$B$1007,$A8)+SUMIFS(JOURNAL!$H$8:$H$1007,JOURNAL!$E$8:$E$1007,"Autre Recette",JOURNAL!$B$8:$B$1007,$A8))</f>
        <v>2456</v>
      </c>
      <c r="D8" s="93" t="n">
        <f aca="false">IF($A8="","",SUMIFS(JOURNAL!$H$8:$H$1007,JOURNAL!$E$8:$E$1007,"Glovo Espèce",JOURNAL!$B$8:$B$1007,$A8))</f>
        <v>0</v>
      </c>
      <c r="E8" s="93" t="n">
        <f aca="false">IF($A8="","",SUMIFS(JOURNAL!$H$8:$H$1007,JOURNAL!$E$8:$E$1007,"Glovo Carte",JOURNAL!$B$8:$B$1007,$A8))</f>
        <v>0</v>
      </c>
      <c r="F8" s="94" t="n">
        <f aca="false">IF($A8="","",SUM($C8:$E8))</f>
        <v>2456</v>
      </c>
      <c r="G8" s="93" t="n">
        <f aca="false">IF($A8="","",SUMIFS(JOURNAL!$H$8:$H$1007,JOURNAL!$E$8:$E$1007,"Boissons",JOURNAL!$B$8:$B$1007,$A8)+SUMIFS(JOURNAL!$H$8:$H$1007,JOURNAL!$E$8:$E$1007,"Café &amp; Torréfaction",JOURNAL!$B$8:$B$1007,$A8)+SUMIFS(JOURNAL!$H$8:$H$1007,JOURNAL!$E$8:$E$1007,"Boulangerie",JOURNAL!$B$8:$B$1007,$A8)+SUMIFS(JOURNAL!$H$8:$H$1007,JOURNAL!$E$8:$E$1007,"Fruits &amp; Légumes",JOURNAL!$B$8:$B$1007,$A8)+SUMIFS(JOURNAL!$H$8:$H$1007,JOURNAL!$E$8:$E$1007,"Épicerie &amp; Divers",JOURNAL!$B$8:$B$1007,$A8))</f>
        <v>465</v>
      </c>
      <c r="H8" s="93" t="n">
        <f aca="false">IF($A8="","",SUMIFS(JOURNAL!$H$8:$H$1007,JOURNAL!$E$8:$E$1007,"Nettoyage",JOURNAL!$B$8:$B$1007,$A8))</f>
        <v>150</v>
      </c>
      <c r="I8" s="93" t="n">
        <f aca="false">IF($A8="","",SUMIFS(JOURNAL!$H$8:$H$1007,JOURNAL!$E$8:$E$1007,"Salaires",JOURNAL!$B$8:$B$1007,$A8))</f>
        <v>0</v>
      </c>
      <c r="J8" s="93" t="n">
        <f aca="false">IF($A8="","",SUMIFS(JOURNAL!$H$8:$H$1007,JOURNAL!$E$8:$E$1007,"Loyer",JOURNAL!$B$8:$B$1007,$A8)+SUMIFS(JOURNAL!$H$8:$H$1007,JOURNAL!$E$8:$E$1007,"Eau &amp; Électricité",JOURNAL!$B$8:$B$1007,$A8)+SUMIFS(JOURNAL!$H$8:$H$1007,JOURNAL!$E$8:$E$1007,"Internet &amp; Télécom",JOURNAL!$B$8:$B$1007,$A8)+SUMIFS(JOURNAL!$H$8:$H$1007,JOURNAL!$E$8:$E$1007,"Taxes &amp; Impôts",JOURNAL!$B$8:$B$1007,$A8)+SUMIFS(JOURNAL!$H$8:$H$1007,JOURNAL!$E$8:$E$1007,"Abonnements",JOURNAL!$B$8:$B$1007,$A8)+SUMIFS(JOURNAL!$H$8:$H$1007,JOURNAL!$E$8:$E$1007,"Entretien &amp; Réparation",JOURNAL!$B$8:$B$1007,$A8))</f>
        <v>0</v>
      </c>
      <c r="K8" s="93" t="n">
        <f aca="false">IF($A8="","",SUMIFS(JOURNAL!$H$8:$H$1007,JOURNAL!$E$8:$E$1007,"Virement Banque",JOURNAL!$B$8:$B$1007,$A8)+SUMIFS(JOURNAL!$H$8:$H$1007,JOURNAL!$E$8:$E$1007,"Virement Associés",JOURNAL!$B$8:$B$1007,$A8))</f>
        <v>0</v>
      </c>
      <c r="L8" s="93" t="n">
        <f aca="false">IF($A8="","",$M8-SUM($G8:$K8))</f>
        <v>0</v>
      </c>
      <c r="M8" s="95" t="n">
        <f aca="false">IF($A8="","",SUMIFS(JOURNAL!$H$8:$H$1007,JOURNAL!$D$8:$D$1007,"DEPENSE",JOURNAL!$B$8:$B$1007,$A8))</f>
        <v>615</v>
      </c>
      <c r="N8" s="96" t="n">
        <f aca="false">IF($A8="","",$F8-$M8)</f>
        <v>1841</v>
      </c>
      <c r="O8" s="97" t="n">
        <f aca="false">IF($A8="","",$O7+$N8)</f>
        <v>2099</v>
      </c>
      <c r="P8" s="93" t="n">
        <f aca="false">IF($A8="","",IF($F8=0,"—",$F8-PARAMETRES!$C$20))</f>
        <v>256</v>
      </c>
    </row>
    <row r="9" customFormat="false" ht="18" hidden="false" customHeight="true" outlineLevel="0" collapsed="false">
      <c r="A9" s="98" t="n">
        <f aca="false">IF(4&gt;PARAMETRES!$C$16,"",DATE(PARAMETRES!$C$12,PARAMETRES!$C$13,4))</f>
        <v>46238</v>
      </c>
      <c r="B9" s="99" t="str">
        <f aca="false">IF($A9="","",CHOOSE(WEEKDAY($A9,2),"Lundi","Mardi","Mercredi","Jeudi","Vendredi","Samedi","Dimanche"))</f>
        <v>Mardi</v>
      </c>
      <c r="C9" s="100" t="n">
        <f aca="false">IF($A9="","",SUMIFS(JOURNAL!$H$8:$H$1007,JOURNAL!$E$8:$E$1007,"Vente Caisse",JOURNAL!$B$8:$B$1007,$A9)+SUMIFS(JOURNAL!$H$8:$H$1007,JOURNAL!$E$8:$E$1007,"Terrasse",JOURNAL!$B$8:$B$1007,$A9)+SUMIFS(JOURNAL!$H$8:$H$1007,JOURNAL!$E$8:$E$1007,"Autre Recette",JOURNAL!$B$8:$B$1007,$A9))</f>
        <v>2145</v>
      </c>
      <c r="D9" s="100" t="n">
        <f aca="false">IF($A9="","",SUMIFS(JOURNAL!$H$8:$H$1007,JOURNAL!$E$8:$E$1007,"Glovo Espèce",JOURNAL!$B$8:$B$1007,$A9))</f>
        <v>0</v>
      </c>
      <c r="E9" s="100" t="n">
        <f aca="false">IF($A9="","",SUMIFS(JOURNAL!$H$8:$H$1007,JOURNAL!$E$8:$E$1007,"Glovo Carte",JOURNAL!$B$8:$B$1007,$A9))</f>
        <v>0</v>
      </c>
      <c r="F9" s="101" t="n">
        <f aca="false">IF($A9="","",SUM($C9:$E9))</f>
        <v>2145</v>
      </c>
      <c r="G9" s="100" t="n">
        <f aca="false">IF($A9="","",SUMIFS(JOURNAL!$H$8:$H$1007,JOURNAL!$E$8:$E$1007,"Boissons",JOURNAL!$B$8:$B$1007,$A9)+SUMIFS(JOURNAL!$H$8:$H$1007,JOURNAL!$E$8:$E$1007,"Café &amp; Torréfaction",JOURNAL!$B$8:$B$1007,$A9)+SUMIFS(JOURNAL!$H$8:$H$1007,JOURNAL!$E$8:$E$1007,"Boulangerie",JOURNAL!$B$8:$B$1007,$A9)+SUMIFS(JOURNAL!$H$8:$H$1007,JOURNAL!$E$8:$E$1007,"Fruits &amp; Légumes",JOURNAL!$B$8:$B$1007,$A9)+SUMIFS(JOURNAL!$H$8:$H$1007,JOURNAL!$E$8:$E$1007,"Épicerie &amp; Divers",JOURNAL!$B$8:$B$1007,$A9))</f>
        <v>1416</v>
      </c>
      <c r="H9" s="100" t="n">
        <f aca="false">IF($A9="","",SUMIFS(JOURNAL!$H$8:$H$1007,JOURNAL!$E$8:$E$1007,"Nettoyage",JOURNAL!$B$8:$B$1007,$A9))</f>
        <v>150</v>
      </c>
      <c r="I9" s="100" t="n">
        <f aca="false">IF($A9="","",SUMIFS(JOURNAL!$H$8:$H$1007,JOURNAL!$E$8:$E$1007,"Salaires",JOURNAL!$B$8:$B$1007,$A9))</f>
        <v>0</v>
      </c>
      <c r="J9" s="100" t="n">
        <f aca="false">IF($A9="","",SUMIFS(JOURNAL!$H$8:$H$1007,JOURNAL!$E$8:$E$1007,"Loyer",JOURNAL!$B$8:$B$1007,$A9)+SUMIFS(JOURNAL!$H$8:$H$1007,JOURNAL!$E$8:$E$1007,"Eau &amp; Électricité",JOURNAL!$B$8:$B$1007,$A9)+SUMIFS(JOURNAL!$H$8:$H$1007,JOURNAL!$E$8:$E$1007,"Internet &amp; Télécom",JOURNAL!$B$8:$B$1007,$A9)+SUMIFS(JOURNAL!$H$8:$H$1007,JOURNAL!$E$8:$E$1007,"Taxes &amp; Impôts",JOURNAL!$B$8:$B$1007,$A9)+SUMIFS(JOURNAL!$H$8:$H$1007,JOURNAL!$E$8:$E$1007,"Abonnements",JOURNAL!$B$8:$B$1007,$A9)+SUMIFS(JOURNAL!$H$8:$H$1007,JOURNAL!$E$8:$E$1007,"Entretien &amp; Réparation",JOURNAL!$B$8:$B$1007,$A9))</f>
        <v>0</v>
      </c>
      <c r="K9" s="100" t="n">
        <f aca="false">IF($A9="","",SUMIFS(JOURNAL!$H$8:$H$1007,JOURNAL!$E$8:$E$1007,"Virement Banque",JOURNAL!$B$8:$B$1007,$A9)+SUMIFS(JOURNAL!$H$8:$H$1007,JOURNAL!$E$8:$E$1007,"Virement Associés",JOURNAL!$B$8:$B$1007,$A9))</f>
        <v>0</v>
      </c>
      <c r="L9" s="100" t="n">
        <f aca="false">IF($A9="","",$M9-SUM($G9:$K9))</f>
        <v>0</v>
      </c>
      <c r="M9" s="102" t="n">
        <f aca="false">IF($A9="","",SUMIFS(JOURNAL!$H$8:$H$1007,JOURNAL!$D$8:$D$1007,"DEPENSE",JOURNAL!$B$8:$B$1007,$A9))</f>
        <v>1566</v>
      </c>
      <c r="N9" s="103" t="n">
        <f aca="false">IF($A9="","",$F9-$M9)</f>
        <v>579</v>
      </c>
      <c r="O9" s="104" t="n">
        <f aca="false">IF($A9="","",$O8+$N9)</f>
        <v>2678</v>
      </c>
      <c r="P9" s="100" t="n">
        <f aca="false">IF($A9="","",IF($F9=0,"—",$F9-PARAMETRES!$C$20))</f>
        <v>-55</v>
      </c>
    </row>
    <row r="10" customFormat="false" ht="18" hidden="false" customHeight="true" outlineLevel="0" collapsed="false">
      <c r="A10" s="91" t="n">
        <f aca="false">IF(5&gt;PARAMETRES!$C$16,"",DATE(PARAMETRES!$C$12,PARAMETRES!$C$13,5))</f>
        <v>46239</v>
      </c>
      <c r="B10" s="92" t="str">
        <f aca="false">IF($A10="","",CHOOSE(WEEKDAY($A10,2),"Lundi","Mardi","Mercredi","Jeudi","Vendredi","Samedi","Dimanche"))</f>
        <v>Mercredi</v>
      </c>
      <c r="C10" s="93" t="n">
        <f aca="false">IF($A10="","",SUMIFS(JOURNAL!$H$8:$H$1007,JOURNAL!$E$8:$E$1007,"Vente Caisse",JOURNAL!$B$8:$B$1007,$A10)+SUMIFS(JOURNAL!$H$8:$H$1007,JOURNAL!$E$8:$E$1007,"Terrasse",JOURNAL!$B$8:$B$1007,$A10)+SUMIFS(JOURNAL!$H$8:$H$1007,JOURNAL!$E$8:$E$1007,"Autre Recette",JOURNAL!$B$8:$B$1007,$A10))</f>
        <v>2233</v>
      </c>
      <c r="D10" s="93" t="n">
        <f aca="false">IF($A10="","",SUMIFS(JOURNAL!$H$8:$H$1007,JOURNAL!$E$8:$E$1007,"Glovo Espèce",JOURNAL!$B$8:$B$1007,$A10))</f>
        <v>0</v>
      </c>
      <c r="E10" s="93" t="n">
        <f aca="false">IF($A10="","",SUMIFS(JOURNAL!$H$8:$H$1007,JOURNAL!$E$8:$E$1007,"Glovo Carte",JOURNAL!$B$8:$B$1007,$A10))</f>
        <v>0</v>
      </c>
      <c r="F10" s="94" t="n">
        <f aca="false">IF($A10="","",SUM($C10:$E10))</f>
        <v>2233</v>
      </c>
      <c r="G10" s="93" t="n">
        <f aca="false">IF($A10="","",SUMIFS(JOURNAL!$H$8:$H$1007,JOURNAL!$E$8:$E$1007,"Boissons",JOURNAL!$B$8:$B$1007,$A10)+SUMIFS(JOURNAL!$H$8:$H$1007,JOURNAL!$E$8:$E$1007,"Café &amp; Torréfaction",JOURNAL!$B$8:$B$1007,$A10)+SUMIFS(JOURNAL!$H$8:$H$1007,JOURNAL!$E$8:$E$1007,"Boulangerie",JOURNAL!$B$8:$B$1007,$A10)+SUMIFS(JOURNAL!$H$8:$H$1007,JOURNAL!$E$8:$E$1007,"Fruits &amp; Légumes",JOURNAL!$B$8:$B$1007,$A10)+SUMIFS(JOURNAL!$H$8:$H$1007,JOURNAL!$E$8:$E$1007,"Épicerie &amp; Divers",JOURNAL!$B$8:$B$1007,$A10))</f>
        <v>571</v>
      </c>
      <c r="H10" s="93" t="n">
        <f aca="false">IF($A10="","",SUMIFS(JOURNAL!$H$8:$H$1007,JOURNAL!$E$8:$E$1007,"Nettoyage",JOURNAL!$B$8:$B$1007,$A10))</f>
        <v>150</v>
      </c>
      <c r="I10" s="93" t="n">
        <f aca="false">IF($A10="","",SUMIFS(JOURNAL!$H$8:$H$1007,JOURNAL!$E$8:$E$1007,"Salaires",JOURNAL!$B$8:$B$1007,$A10))</f>
        <v>0</v>
      </c>
      <c r="J10" s="93" t="n">
        <f aca="false">IF($A10="","",SUMIFS(JOURNAL!$H$8:$H$1007,JOURNAL!$E$8:$E$1007,"Loyer",JOURNAL!$B$8:$B$1007,$A10)+SUMIFS(JOURNAL!$H$8:$H$1007,JOURNAL!$E$8:$E$1007,"Eau &amp; Électricité",JOURNAL!$B$8:$B$1007,$A10)+SUMIFS(JOURNAL!$H$8:$H$1007,JOURNAL!$E$8:$E$1007,"Internet &amp; Télécom",JOURNAL!$B$8:$B$1007,$A10)+SUMIFS(JOURNAL!$H$8:$H$1007,JOURNAL!$E$8:$E$1007,"Taxes &amp; Impôts",JOURNAL!$B$8:$B$1007,$A10)+SUMIFS(JOURNAL!$H$8:$H$1007,JOURNAL!$E$8:$E$1007,"Abonnements",JOURNAL!$B$8:$B$1007,$A10)+SUMIFS(JOURNAL!$H$8:$H$1007,JOURNAL!$E$8:$E$1007,"Entretien &amp; Réparation",JOURNAL!$B$8:$B$1007,$A10))</f>
        <v>0</v>
      </c>
      <c r="K10" s="93" t="n">
        <f aca="false">IF($A10="","",SUMIFS(JOURNAL!$H$8:$H$1007,JOURNAL!$E$8:$E$1007,"Virement Banque",JOURNAL!$B$8:$B$1007,$A10)+SUMIFS(JOURNAL!$H$8:$H$1007,JOURNAL!$E$8:$E$1007,"Virement Associés",JOURNAL!$B$8:$B$1007,$A10))</f>
        <v>0</v>
      </c>
      <c r="L10" s="93" t="n">
        <f aca="false">IF($A10="","",$M10-SUM($G10:$K10))</f>
        <v>0</v>
      </c>
      <c r="M10" s="95" t="n">
        <f aca="false">IF($A10="","",SUMIFS(JOURNAL!$H$8:$H$1007,JOURNAL!$D$8:$D$1007,"DEPENSE",JOURNAL!$B$8:$B$1007,$A10))</f>
        <v>721</v>
      </c>
      <c r="N10" s="96" t="n">
        <f aca="false">IF($A10="","",$F10-$M10)</f>
        <v>1512</v>
      </c>
      <c r="O10" s="97" t="n">
        <f aca="false">IF($A10="","",$O9+$N10)</f>
        <v>4190</v>
      </c>
      <c r="P10" s="93" t="n">
        <f aca="false">IF($A10="","",IF($F10=0,"—",$F10-PARAMETRES!$C$20))</f>
        <v>33</v>
      </c>
    </row>
    <row r="11" customFormat="false" ht="18" hidden="false" customHeight="true" outlineLevel="0" collapsed="false">
      <c r="A11" s="98" t="n">
        <f aca="false">IF(6&gt;PARAMETRES!$C$16,"",DATE(PARAMETRES!$C$12,PARAMETRES!$C$13,6))</f>
        <v>46240</v>
      </c>
      <c r="B11" s="99" t="str">
        <f aca="false">IF($A11="","",CHOOSE(WEEKDAY($A11,2),"Lundi","Mardi","Mercredi","Jeudi","Vendredi","Samedi","Dimanche"))</f>
        <v>Jeudi</v>
      </c>
      <c r="C11" s="100" t="n">
        <f aca="false">IF($A11="","",SUMIFS(JOURNAL!$H$8:$H$1007,JOURNAL!$E$8:$E$1007,"Vente Caisse",JOURNAL!$B$8:$B$1007,$A11)+SUMIFS(JOURNAL!$H$8:$H$1007,JOURNAL!$E$8:$E$1007,"Terrasse",JOURNAL!$B$8:$B$1007,$A11)+SUMIFS(JOURNAL!$H$8:$H$1007,JOURNAL!$E$8:$E$1007,"Autre Recette",JOURNAL!$B$8:$B$1007,$A11))</f>
        <v>2074</v>
      </c>
      <c r="D11" s="100" t="n">
        <f aca="false">IF($A11="","",SUMIFS(JOURNAL!$H$8:$H$1007,JOURNAL!$E$8:$E$1007,"Glovo Espèce",JOURNAL!$B$8:$B$1007,$A11))</f>
        <v>0</v>
      </c>
      <c r="E11" s="100" t="n">
        <f aca="false">IF($A11="","",SUMIFS(JOURNAL!$H$8:$H$1007,JOURNAL!$E$8:$E$1007,"Glovo Carte",JOURNAL!$B$8:$B$1007,$A11))</f>
        <v>0</v>
      </c>
      <c r="F11" s="101" t="n">
        <f aca="false">IF($A11="","",SUM($C11:$E11))</f>
        <v>2074</v>
      </c>
      <c r="G11" s="100" t="n">
        <f aca="false">IF($A11="","",SUMIFS(JOURNAL!$H$8:$H$1007,JOURNAL!$E$8:$E$1007,"Boissons",JOURNAL!$B$8:$B$1007,$A11)+SUMIFS(JOURNAL!$H$8:$H$1007,JOURNAL!$E$8:$E$1007,"Café &amp; Torréfaction",JOURNAL!$B$8:$B$1007,$A11)+SUMIFS(JOURNAL!$H$8:$H$1007,JOURNAL!$E$8:$E$1007,"Boulangerie",JOURNAL!$B$8:$B$1007,$A11)+SUMIFS(JOURNAL!$H$8:$H$1007,JOURNAL!$E$8:$E$1007,"Fruits &amp; Légumes",JOURNAL!$B$8:$B$1007,$A11)+SUMIFS(JOURNAL!$H$8:$H$1007,JOURNAL!$E$8:$E$1007,"Épicerie &amp; Divers",JOURNAL!$B$8:$B$1007,$A11))</f>
        <v>591</v>
      </c>
      <c r="H11" s="100" t="n">
        <f aca="false">IF($A11="","",SUMIFS(JOURNAL!$H$8:$H$1007,JOURNAL!$E$8:$E$1007,"Nettoyage",JOURNAL!$B$8:$B$1007,$A11))</f>
        <v>150</v>
      </c>
      <c r="I11" s="100" t="n">
        <f aca="false">IF($A11="","",SUMIFS(JOURNAL!$H$8:$H$1007,JOURNAL!$E$8:$E$1007,"Salaires",JOURNAL!$B$8:$B$1007,$A11))</f>
        <v>0</v>
      </c>
      <c r="J11" s="100" t="n">
        <f aca="false">IF($A11="","",SUMIFS(JOURNAL!$H$8:$H$1007,JOURNAL!$E$8:$E$1007,"Loyer",JOURNAL!$B$8:$B$1007,$A11)+SUMIFS(JOURNAL!$H$8:$H$1007,JOURNAL!$E$8:$E$1007,"Eau &amp; Électricité",JOURNAL!$B$8:$B$1007,$A11)+SUMIFS(JOURNAL!$H$8:$H$1007,JOURNAL!$E$8:$E$1007,"Internet &amp; Télécom",JOURNAL!$B$8:$B$1007,$A11)+SUMIFS(JOURNAL!$H$8:$H$1007,JOURNAL!$E$8:$E$1007,"Taxes &amp; Impôts",JOURNAL!$B$8:$B$1007,$A11)+SUMIFS(JOURNAL!$H$8:$H$1007,JOURNAL!$E$8:$E$1007,"Abonnements",JOURNAL!$B$8:$B$1007,$A11)+SUMIFS(JOURNAL!$H$8:$H$1007,JOURNAL!$E$8:$E$1007,"Entretien &amp; Réparation",JOURNAL!$B$8:$B$1007,$A11))</f>
        <v>0</v>
      </c>
      <c r="K11" s="100" t="n">
        <f aca="false">IF($A11="","",SUMIFS(JOURNAL!$H$8:$H$1007,JOURNAL!$E$8:$E$1007,"Virement Banque",JOURNAL!$B$8:$B$1007,$A11)+SUMIFS(JOURNAL!$H$8:$H$1007,JOURNAL!$E$8:$E$1007,"Virement Associés",JOURNAL!$B$8:$B$1007,$A11))</f>
        <v>0</v>
      </c>
      <c r="L11" s="100" t="n">
        <f aca="false">IF($A11="","",$M11-SUM($G11:$K11))</f>
        <v>0</v>
      </c>
      <c r="M11" s="102" t="n">
        <f aca="false">IF($A11="","",SUMIFS(JOURNAL!$H$8:$H$1007,JOURNAL!$D$8:$D$1007,"DEPENSE",JOURNAL!$B$8:$B$1007,$A11))</f>
        <v>741</v>
      </c>
      <c r="N11" s="103" t="n">
        <f aca="false">IF($A11="","",$F11-$M11)</f>
        <v>1333</v>
      </c>
      <c r="O11" s="104" t="n">
        <f aca="false">IF($A11="","",$O10+$N11)</f>
        <v>5523</v>
      </c>
      <c r="P11" s="100" t="n">
        <f aca="false">IF($A11="","",IF($F11=0,"—",$F11-PARAMETRES!$C$20))</f>
        <v>-126</v>
      </c>
    </row>
    <row r="12" customFormat="false" ht="18" hidden="false" customHeight="true" outlineLevel="0" collapsed="false">
      <c r="A12" s="91" t="n">
        <f aca="false">IF(7&gt;PARAMETRES!$C$16,"",DATE(PARAMETRES!$C$12,PARAMETRES!$C$13,7))</f>
        <v>46241</v>
      </c>
      <c r="B12" s="92" t="str">
        <f aca="false">IF($A12="","",CHOOSE(WEEKDAY($A12,2),"Lundi","Mardi","Mercredi","Jeudi","Vendredi","Samedi","Dimanche"))</f>
        <v>Vendredi</v>
      </c>
      <c r="C12" s="93" t="n">
        <f aca="false">IF($A12="","",SUMIFS(JOURNAL!$H$8:$H$1007,JOURNAL!$E$8:$E$1007,"Vente Caisse",JOURNAL!$B$8:$B$1007,$A12)+SUMIFS(JOURNAL!$H$8:$H$1007,JOURNAL!$E$8:$E$1007,"Terrasse",JOURNAL!$B$8:$B$1007,$A12)+SUMIFS(JOURNAL!$H$8:$H$1007,JOURNAL!$E$8:$E$1007,"Autre Recette",JOURNAL!$B$8:$B$1007,$A12))</f>
        <v>1892</v>
      </c>
      <c r="D12" s="93" t="n">
        <f aca="false">IF($A12="","",SUMIFS(JOURNAL!$H$8:$H$1007,JOURNAL!$E$8:$E$1007,"Glovo Espèce",JOURNAL!$B$8:$B$1007,$A12))</f>
        <v>0</v>
      </c>
      <c r="E12" s="93" t="n">
        <f aca="false">IF($A12="","",SUMIFS(JOURNAL!$H$8:$H$1007,JOURNAL!$E$8:$E$1007,"Glovo Carte",JOURNAL!$B$8:$B$1007,$A12))</f>
        <v>0</v>
      </c>
      <c r="F12" s="94" t="n">
        <f aca="false">IF($A12="","",SUM($C12:$E12))</f>
        <v>1892</v>
      </c>
      <c r="G12" s="93" t="n">
        <f aca="false">IF($A12="","",SUMIFS(JOURNAL!$H$8:$H$1007,JOURNAL!$E$8:$E$1007,"Boissons",JOURNAL!$B$8:$B$1007,$A12)+SUMIFS(JOURNAL!$H$8:$H$1007,JOURNAL!$E$8:$E$1007,"Café &amp; Torréfaction",JOURNAL!$B$8:$B$1007,$A12)+SUMIFS(JOURNAL!$H$8:$H$1007,JOURNAL!$E$8:$E$1007,"Boulangerie",JOURNAL!$B$8:$B$1007,$A12)+SUMIFS(JOURNAL!$H$8:$H$1007,JOURNAL!$E$8:$E$1007,"Fruits &amp; Légumes",JOURNAL!$B$8:$B$1007,$A12)+SUMIFS(JOURNAL!$H$8:$H$1007,JOURNAL!$E$8:$E$1007,"Épicerie &amp; Divers",JOURNAL!$B$8:$B$1007,$A12))</f>
        <v>326</v>
      </c>
      <c r="H12" s="93" t="n">
        <f aca="false">IF($A12="","",SUMIFS(JOURNAL!$H$8:$H$1007,JOURNAL!$E$8:$E$1007,"Nettoyage",JOURNAL!$B$8:$B$1007,$A12))</f>
        <v>150</v>
      </c>
      <c r="I12" s="93" t="n">
        <f aca="false">IF($A12="","",SUMIFS(JOURNAL!$H$8:$H$1007,JOURNAL!$E$8:$E$1007,"Salaires",JOURNAL!$B$8:$B$1007,$A12))</f>
        <v>0</v>
      </c>
      <c r="J12" s="93" t="n">
        <f aca="false">IF($A12="","",SUMIFS(JOURNAL!$H$8:$H$1007,JOURNAL!$E$8:$E$1007,"Loyer",JOURNAL!$B$8:$B$1007,$A12)+SUMIFS(JOURNAL!$H$8:$H$1007,JOURNAL!$E$8:$E$1007,"Eau &amp; Électricité",JOURNAL!$B$8:$B$1007,$A12)+SUMIFS(JOURNAL!$H$8:$H$1007,JOURNAL!$E$8:$E$1007,"Internet &amp; Télécom",JOURNAL!$B$8:$B$1007,$A12)+SUMIFS(JOURNAL!$H$8:$H$1007,JOURNAL!$E$8:$E$1007,"Taxes &amp; Impôts",JOURNAL!$B$8:$B$1007,$A12)+SUMIFS(JOURNAL!$H$8:$H$1007,JOURNAL!$E$8:$E$1007,"Abonnements",JOURNAL!$B$8:$B$1007,$A12)+SUMIFS(JOURNAL!$H$8:$H$1007,JOURNAL!$E$8:$E$1007,"Entretien &amp; Réparation",JOURNAL!$B$8:$B$1007,$A12))</f>
        <v>0</v>
      </c>
      <c r="K12" s="93" t="n">
        <f aca="false">IF($A12="","",SUMIFS(JOURNAL!$H$8:$H$1007,JOURNAL!$E$8:$E$1007,"Virement Banque",JOURNAL!$B$8:$B$1007,$A12)+SUMIFS(JOURNAL!$H$8:$H$1007,JOURNAL!$E$8:$E$1007,"Virement Associés",JOURNAL!$B$8:$B$1007,$A12))</f>
        <v>0</v>
      </c>
      <c r="L12" s="93" t="n">
        <f aca="false">IF($A12="","",$M12-SUM($G12:$K12))</f>
        <v>0</v>
      </c>
      <c r="M12" s="95" t="n">
        <f aca="false">IF($A12="","",SUMIFS(JOURNAL!$H$8:$H$1007,JOURNAL!$D$8:$D$1007,"DEPENSE",JOURNAL!$B$8:$B$1007,$A12))</f>
        <v>476</v>
      </c>
      <c r="N12" s="96" t="n">
        <f aca="false">IF($A12="","",$F12-$M12)</f>
        <v>1416</v>
      </c>
      <c r="O12" s="97" t="n">
        <f aca="false">IF($A12="","",$O11+$N12)</f>
        <v>6939</v>
      </c>
      <c r="P12" s="93" t="n">
        <f aca="false">IF($A12="","",IF($F12=0,"—",$F12-PARAMETRES!$C$20))</f>
        <v>-308</v>
      </c>
    </row>
    <row r="13" customFormat="false" ht="18" hidden="false" customHeight="true" outlineLevel="0" collapsed="false">
      <c r="A13" s="98" t="n">
        <f aca="false">IF(8&gt;PARAMETRES!$C$16,"",DATE(PARAMETRES!$C$12,PARAMETRES!$C$13,8))</f>
        <v>46242</v>
      </c>
      <c r="B13" s="99" t="str">
        <f aca="false">IF($A13="","",CHOOSE(WEEKDAY($A13,2),"Lundi","Mardi","Mercredi","Jeudi","Vendredi","Samedi","Dimanche"))</f>
        <v>Samedi</v>
      </c>
      <c r="C13" s="100" t="n">
        <f aca="false">IF($A13="","",SUMIFS(JOURNAL!$H$8:$H$1007,JOURNAL!$E$8:$E$1007,"Vente Caisse",JOURNAL!$B$8:$B$1007,$A13)+SUMIFS(JOURNAL!$H$8:$H$1007,JOURNAL!$E$8:$E$1007,"Terrasse",JOURNAL!$B$8:$B$1007,$A13)+SUMIFS(JOURNAL!$H$8:$H$1007,JOURNAL!$E$8:$E$1007,"Autre Recette",JOURNAL!$B$8:$B$1007,$A13))</f>
        <v>2172</v>
      </c>
      <c r="D13" s="100" t="n">
        <f aca="false">IF($A13="","",SUMIFS(JOURNAL!$H$8:$H$1007,JOURNAL!$E$8:$E$1007,"Glovo Espèce",JOURNAL!$B$8:$B$1007,$A13))</f>
        <v>0</v>
      </c>
      <c r="E13" s="100" t="n">
        <f aca="false">IF($A13="","",SUMIFS(JOURNAL!$H$8:$H$1007,JOURNAL!$E$8:$E$1007,"Glovo Carte",JOURNAL!$B$8:$B$1007,$A13))</f>
        <v>0</v>
      </c>
      <c r="F13" s="101" t="n">
        <f aca="false">IF($A13="","",SUM($C13:$E13))</f>
        <v>2172</v>
      </c>
      <c r="G13" s="100" t="n">
        <f aca="false">IF($A13="","",SUMIFS(JOURNAL!$H$8:$H$1007,JOURNAL!$E$8:$E$1007,"Boissons",JOURNAL!$B$8:$B$1007,$A13)+SUMIFS(JOURNAL!$H$8:$H$1007,JOURNAL!$E$8:$E$1007,"Café &amp; Torréfaction",JOURNAL!$B$8:$B$1007,$A13)+SUMIFS(JOURNAL!$H$8:$H$1007,JOURNAL!$E$8:$E$1007,"Boulangerie",JOURNAL!$B$8:$B$1007,$A13)+SUMIFS(JOURNAL!$H$8:$H$1007,JOURNAL!$E$8:$E$1007,"Fruits &amp; Légumes",JOURNAL!$B$8:$B$1007,$A13)+SUMIFS(JOURNAL!$H$8:$H$1007,JOURNAL!$E$8:$E$1007,"Épicerie &amp; Divers",JOURNAL!$B$8:$B$1007,$A13))</f>
        <v>606</v>
      </c>
      <c r="H13" s="100" t="n">
        <f aca="false">IF($A13="","",SUMIFS(JOURNAL!$H$8:$H$1007,JOURNAL!$E$8:$E$1007,"Nettoyage",JOURNAL!$B$8:$B$1007,$A13))</f>
        <v>150</v>
      </c>
      <c r="I13" s="100" t="n">
        <f aca="false">IF($A13="","",SUMIFS(JOURNAL!$H$8:$H$1007,JOURNAL!$E$8:$E$1007,"Salaires",JOURNAL!$B$8:$B$1007,$A13))</f>
        <v>0</v>
      </c>
      <c r="J13" s="100" t="n">
        <f aca="false">IF($A13="","",SUMIFS(JOURNAL!$H$8:$H$1007,JOURNAL!$E$8:$E$1007,"Loyer",JOURNAL!$B$8:$B$1007,$A13)+SUMIFS(JOURNAL!$H$8:$H$1007,JOURNAL!$E$8:$E$1007,"Eau &amp; Électricité",JOURNAL!$B$8:$B$1007,$A13)+SUMIFS(JOURNAL!$H$8:$H$1007,JOURNAL!$E$8:$E$1007,"Internet &amp; Télécom",JOURNAL!$B$8:$B$1007,$A13)+SUMIFS(JOURNAL!$H$8:$H$1007,JOURNAL!$E$8:$E$1007,"Taxes &amp; Impôts",JOURNAL!$B$8:$B$1007,$A13)+SUMIFS(JOURNAL!$H$8:$H$1007,JOURNAL!$E$8:$E$1007,"Abonnements",JOURNAL!$B$8:$B$1007,$A13)+SUMIFS(JOURNAL!$H$8:$H$1007,JOURNAL!$E$8:$E$1007,"Entretien &amp; Réparation",JOURNAL!$B$8:$B$1007,$A13))</f>
        <v>0</v>
      </c>
      <c r="K13" s="100" t="n">
        <f aca="false">IF($A13="","",SUMIFS(JOURNAL!$H$8:$H$1007,JOURNAL!$E$8:$E$1007,"Virement Banque",JOURNAL!$B$8:$B$1007,$A13)+SUMIFS(JOURNAL!$H$8:$H$1007,JOURNAL!$E$8:$E$1007,"Virement Associés",JOURNAL!$B$8:$B$1007,$A13))</f>
        <v>0</v>
      </c>
      <c r="L13" s="100" t="n">
        <f aca="false">IF($A13="","",$M13-SUM($G13:$K13))</f>
        <v>0</v>
      </c>
      <c r="M13" s="102" t="n">
        <f aca="false">IF($A13="","",SUMIFS(JOURNAL!$H$8:$H$1007,JOURNAL!$D$8:$D$1007,"DEPENSE",JOURNAL!$B$8:$B$1007,$A13))</f>
        <v>756</v>
      </c>
      <c r="N13" s="103" t="n">
        <f aca="false">IF($A13="","",$F13-$M13)</f>
        <v>1416</v>
      </c>
      <c r="O13" s="104" t="n">
        <f aca="false">IF($A13="","",$O12+$N13)</f>
        <v>8355</v>
      </c>
      <c r="P13" s="100" t="n">
        <f aca="false">IF($A13="","",IF($F13=0,"—",$F13-PARAMETRES!$C$20))</f>
        <v>-28</v>
      </c>
    </row>
    <row r="14" customFormat="false" ht="18" hidden="false" customHeight="true" outlineLevel="0" collapsed="false">
      <c r="A14" s="91" t="n">
        <f aca="false">IF(9&gt;PARAMETRES!$C$16,"",DATE(PARAMETRES!$C$12,PARAMETRES!$C$13,9))</f>
        <v>46243</v>
      </c>
      <c r="B14" s="92" t="str">
        <f aca="false">IF($A14="","",CHOOSE(WEEKDAY($A14,2),"Lundi","Mardi","Mercredi","Jeudi","Vendredi","Samedi","Dimanche"))</f>
        <v>Dimanche</v>
      </c>
      <c r="C14" s="93" t="n">
        <f aca="false">IF($A14="","",SUMIFS(JOURNAL!$H$8:$H$1007,JOURNAL!$E$8:$E$1007,"Vente Caisse",JOURNAL!$B$8:$B$1007,$A14)+SUMIFS(JOURNAL!$H$8:$H$1007,JOURNAL!$E$8:$E$1007,"Terrasse",JOURNAL!$B$8:$B$1007,$A14)+SUMIFS(JOURNAL!$H$8:$H$1007,JOURNAL!$E$8:$E$1007,"Autre Recette",JOURNAL!$B$8:$B$1007,$A14))</f>
        <v>2218</v>
      </c>
      <c r="D14" s="93" t="n">
        <f aca="false">IF($A14="","",SUMIFS(JOURNAL!$H$8:$H$1007,JOURNAL!$E$8:$E$1007,"Glovo Espèce",JOURNAL!$B$8:$B$1007,$A14))</f>
        <v>0</v>
      </c>
      <c r="E14" s="93" t="n">
        <f aca="false">IF($A14="","",SUMIFS(JOURNAL!$H$8:$H$1007,JOURNAL!$E$8:$E$1007,"Glovo Carte",JOURNAL!$B$8:$B$1007,$A14))</f>
        <v>0</v>
      </c>
      <c r="F14" s="94" t="n">
        <f aca="false">IF($A14="","",SUM($C14:$E14))</f>
        <v>2218</v>
      </c>
      <c r="G14" s="93" t="n">
        <f aca="false">IF($A14="","",SUMIFS(JOURNAL!$H$8:$H$1007,JOURNAL!$E$8:$E$1007,"Boissons",JOURNAL!$B$8:$B$1007,$A14)+SUMIFS(JOURNAL!$H$8:$H$1007,JOURNAL!$E$8:$E$1007,"Café &amp; Torréfaction",JOURNAL!$B$8:$B$1007,$A14)+SUMIFS(JOURNAL!$H$8:$H$1007,JOURNAL!$E$8:$E$1007,"Boulangerie",JOURNAL!$B$8:$B$1007,$A14)+SUMIFS(JOURNAL!$H$8:$H$1007,JOURNAL!$E$8:$E$1007,"Fruits &amp; Légumes",JOURNAL!$B$8:$B$1007,$A14)+SUMIFS(JOURNAL!$H$8:$H$1007,JOURNAL!$E$8:$E$1007,"Épicerie &amp; Divers",JOURNAL!$B$8:$B$1007,$A14))</f>
        <v>1023</v>
      </c>
      <c r="H14" s="93" t="n">
        <f aca="false">IF($A14="","",SUMIFS(JOURNAL!$H$8:$H$1007,JOURNAL!$E$8:$E$1007,"Nettoyage",JOURNAL!$B$8:$B$1007,$A14))</f>
        <v>150</v>
      </c>
      <c r="I14" s="93" t="n">
        <f aca="false">IF($A14="","",SUMIFS(JOURNAL!$H$8:$H$1007,JOURNAL!$E$8:$E$1007,"Salaires",JOURNAL!$B$8:$B$1007,$A14))</f>
        <v>2700</v>
      </c>
      <c r="J14" s="93" t="n">
        <f aca="false">IF($A14="","",SUMIFS(JOURNAL!$H$8:$H$1007,JOURNAL!$E$8:$E$1007,"Loyer",JOURNAL!$B$8:$B$1007,$A14)+SUMIFS(JOURNAL!$H$8:$H$1007,JOURNAL!$E$8:$E$1007,"Eau &amp; Électricité",JOURNAL!$B$8:$B$1007,$A14)+SUMIFS(JOURNAL!$H$8:$H$1007,JOURNAL!$E$8:$E$1007,"Internet &amp; Télécom",JOURNAL!$B$8:$B$1007,$A14)+SUMIFS(JOURNAL!$H$8:$H$1007,JOURNAL!$E$8:$E$1007,"Taxes &amp; Impôts",JOURNAL!$B$8:$B$1007,$A14)+SUMIFS(JOURNAL!$H$8:$H$1007,JOURNAL!$E$8:$E$1007,"Abonnements",JOURNAL!$B$8:$B$1007,$A14)+SUMIFS(JOURNAL!$H$8:$H$1007,JOURNAL!$E$8:$E$1007,"Entretien &amp; Réparation",JOURNAL!$B$8:$B$1007,$A14))</f>
        <v>0</v>
      </c>
      <c r="K14" s="93" t="n">
        <f aca="false">IF($A14="","",SUMIFS(JOURNAL!$H$8:$H$1007,JOURNAL!$E$8:$E$1007,"Virement Banque",JOURNAL!$B$8:$B$1007,$A14)+SUMIFS(JOURNAL!$H$8:$H$1007,JOURNAL!$E$8:$E$1007,"Virement Associés",JOURNAL!$B$8:$B$1007,$A14))</f>
        <v>0</v>
      </c>
      <c r="L14" s="93" t="n">
        <f aca="false">IF($A14="","",$M14-SUM($G14:$K14))</f>
        <v>0</v>
      </c>
      <c r="M14" s="95" t="n">
        <f aca="false">IF($A14="","",SUMIFS(JOURNAL!$H$8:$H$1007,JOURNAL!$D$8:$D$1007,"DEPENSE",JOURNAL!$B$8:$B$1007,$A14))</f>
        <v>3873</v>
      </c>
      <c r="N14" s="96" t="n">
        <f aca="false">IF($A14="","",$F14-$M14)</f>
        <v>-1655</v>
      </c>
      <c r="O14" s="97" t="n">
        <f aca="false">IF($A14="","",$O13+$N14)</f>
        <v>6700</v>
      </c>
      <c r="P14" s="93" t="n">
        <f aca="false">IF($A14="","",IF($F14=0,"—",$F14-PARAMETRES!$C$20))</f>
        <v>18</v>
      </c>
    </row>
    <row r="15" customFormat="false" ht="18" hidden="false" customHeight="true" outlineLevel="0" collapsed="false">
      <c r="A15" s="98" t="n">
        <f aca="false">IF(10&gt;PARAMETRES!$C$16,"",DATE(PARAMETRES!$C$12,PARAMETRES!$C$13,10))</f>
        <v>46244</v>
      </c>
      <c r="B15" s="99" t="str">
        <f aca="false">IF($A15="","",CHOOSE(WEEKDAY($A15,2),"Lundi","Mardi","Mercredi","Jeudi","Vendredi","Samedi","Dimanche"))</f>
        <v>Lundi</v>
      </c>
      <c r="C15" s="100" t="n">
        <f aca="false">IF($A15="","",SUMIFS(JOURNAL!$H$8:$H$1007,JOURNAL!$E$8:$E$1007,"Vente Caisse",JOURNAL!$B$8:$B$1007,$A15)+SUMIFS(JOURNAL!$H$8:$H$1007,JOURNAL!$E$8:$E$1007,"Terrasse",JOURNAL!$B$8:$B$1007,$A15)+SUMIFS(JOURNAL!$H$8:$H$1007,JOURNAL!$E$8:$E$1007,"Autre Recette",JOURNAL!$B$8:$B$1007,$A15))</f>
        <v>1548</v>
      </c>
      <c r="D15" s="100" t="n">
        <f aca="false">IF($A15="","",SUMIFS(JOURNAL!$H$8:$H$1007,JOURNAL!$E$8:$E$1007,"Glovo Espèce",JOURNAL!$B$8:$B$1007,$A15))</f>
        <v>0</v>
      </c>
      <c r="E15" s="100" t="n">
        <f aca="false">IF($A15="","",SUMIFS(JOURNAL!$H$8:$H$1007,JOURNAL!$E$8:$E$1007,"Glovo Carte",JOURNAL!$B$8:$B$1007,$A15))</f>
        <v>0</v>
      </c>
      <c r="F15" s="101" t="n">
        <f aca="false">IF($A15="","",SUM($C15:$E15))</f>
        <v>1548</v>
      </c>
      <c r="G15" s="100" t="n">
        <f aca="false">IF($A15="","",SUMIFS(JOURNAL!$H$8:$H$1007,JOURNAL!$E$8:$E$1007,"Boissons",JOURNAL!$B$8:$B$1007,$A15)+SUMIFS(JOURNAL!$H$8:$H$1007,JOURNAL!$E$8:$E$1007,"Café &amp; Torréfaction",JOURNAL!$B$8:$B$1007,$A15)+SUMIFS(JOURNAL!$H$8:$H$1007,JOURNAL!$E$8:$E$1007,"Boulangerie",JOURNAL!$B$8:$B$1007,$A15)+SUMIFS(JOURNAL!$H$8:$H$1007,JOURNAL!$E$8:$E$1007,"Fruits &amp; Légumes",JOURNAL!$B$8:$B$1007,$A15)+SUMIFS(JOURNAL!$H$8:$H$1007,JOURNAL!$E$8:$E$1007,"Épicerie &amp; Divers",JOURNAL!$B$8:$B$1007,$A15))</f>
        <v>471</v>
      </c>
      <c r="H15" s="100" t="n">
        <f aca="false">IF($A15="","",SUMIFS(JOURNAL!$H$8:$H$1007,JOURNAL!$E$8:$E$1007,"Nettoyage",JOURNAL!$B$8:$B$1007,$A15))</f>
        <v>150</v>
      </c>
      <c r="I15" s="100" t="n">
        <f aca="false">IF($A15="","",SUMIFS(JOURNAL!$H$8:$H$1007,JOURNAL!$E$8:$E$1007,"Salaires",JOURNAL!$B$8:$B$1007,$A15))</f>
        <v>0</v>
      </c>
      <c r="J15" s="100" t="n">
        <f aca="false">IF($A15="","",SUMIFS(JOURNAL!$H$8:$H$1007,JOURNAL!$E$8:$E$1007,"Loyer",JOURNAL!$B$8:$B$1007,$A15)+SUMIFS(JOURNAL!$H$8:$H$1007,JOURNAL!$E$8:$E$1007,"Eau &amp; Électricité",JOURNAL!$B$8:$B$1007,$A15)+SUMIFS(JOURNAL!$H$8:$H$1007,JOURNAL!$E$8:$E$1007,"Internet &amp; Télécom",JOURNAL!$B$8:$B$1007,$A15)+SUMIFS(JOURNAL!$H$8:$H$1007,JOURNAL!$E$8:$E$1007,"Taxes &amp; Impôts",JOURNAL!$B$8:$B$1007,$A15)+SUMIFS(JOURNAL!$H$8:$H$1007,JOURNAL!$E$8:$E$1007,"Abonnements",JOURNAL!$B$8:$B$1007,$A15)+SUMIFS(JOURNAL!$H$8:$H$1007,JOURNAL!$E$8:$E$1007,"Entretien &amp; Réparation",JOURNAL!$B$8:$B$1007,$A15))</f>
        <v>0</v>
      </c>
      <c r="K15" s="100" t="n">
        <f aca="false">IF($A15="","",SUMIFS(JOURNAL!$H$8:$H$1007,JOURNAL!$E$8:$E$1007,"Virement Banque",JOURNAL!$B$8:$B$1007,$A15)+SUMIFS(JOURNAL!$H$8:$H$1007,JOURNAL!$E$8:$E$1007,"Virement Associés",JOURNAL!$B$8:$B$1007,$A15))</f>
        <v>0</v>
      </c>
      <c r="L15" s="100" t="n">
        <f aca="false">IF($A15="","",$M15-SUM($G15:$K15))</f>
        <v>0</v>
      </c>
      <c r="M15" s="102" t="n">
        <f aca="false">IF($A15="","",SUMIFS(JOURNAL!$H$8:$H$1007,JOURNAL!$D$8:$D$1007,"DEPENSE",JOURNAL!$B$8:$B$1007,$A15))</f>
        <v>621</v>
      </c>
      <c r="N15" s="103" t="n">
        <f aca="false">IF($A15="","",$F15-$M15)</f>
        <v>927</v>
      </c>
      <c r="O15" s="104" t="n">
        <f aca="false">IF($A15="","",$O14+$N15)</f>
        <v>7627</v>
      </c>
      <c r="P15" s="100" t="n">
        <f aca="false">IF($A15="","",IF($F15=0,"—",$F15-PARAMETRES!$C$20))</f>
        <v>-652</v>
      </c>
    </row>
    <row r="16" customFormat="false" ht="18" hidden="false" customHeight="true" outlineLevel="0" collapsed="false">
      <c r="A16" s="91" t="n">
        <f aca="false">IF(11&gt;PARAMETRES!$C$16,"",DATE(PARAMETRES!$C$12,PARAMETRES!$C$13,11))</f>
        <v>46245</v>
      </c>
      <c r="B16" s="92" t="str">
        <f aca="false">IF($A16="","",CHOOSE(WEEKDAY($A16,2),"Lundi","Mardi","Mercredi","Jeudi","Vendredi","Samedi","Dimanche"))</f>
        <v>Mardi</v>
      </c>
      <c r="C16" s="93" t="n">
        <f aca="false">IF($A16="","",SUMIFS(JOURNAL!$H$8:$H$1007,JOURNAL!$E$8:$E$1007,"Vente Caisse",JOURNAL!$B$8:$B$1007,$A16)+SUMIFS(JOURNAL!$H$8:$H$1007,JOURNAL!$E$8:$E$1007,"Terrasse",JOURNAL!$B$8:$B$1007,$A16)+SUMIFS(JOURNAL!$H$8:$H$1007,JOURNAL!$E$8:$E$1007,"Autre Recette",JOURNAL!$B$8:$B$1007,$A16))</f>
        <v>1973</v>
      </c>
      <c r="D16" s="93" t="n">
        <f aca="false">IF($A16="","",SUMIFS(JOURNAL!$H$8:$H$1007,JOURNAL!$E$8:$E$1007,"Glovo Espèce",JOURNAL!$B$8:$B$1007,$A16))</f>
        <v>0</v>
      </c>
      <c r="E16" s="93" t="n">
        <f aca="false">IF($A16="","",SUMIFS(JOURNAL!$H$8:$H$1007,JOURNAL!$E$8:$E$1007,"Glovo Carte",JOURNAL!$B$8:$B$1007,$A16))</f>
        <v>0</v>
      </c>
      <c r="F16" s="94" t="n">
        <f aca="false">IF($A16="","",SUM($C16:$E16))</f>
        <v>1973</v>
      </c>
      <c r="G16" s="93" t="n">
        <f aca="false">IF($A16="","",SUMIFS(JOURNAL!$H$8:$H$1007,JOURNAL!$E$8:$E$1007,"Boissons",JOURNAL!$B$8:$B$1007,$A16)+SUMIFS(JOURNAL!$H$8:$H$1007,JOURNAL!$E$8:$E$1007,"Café &amp; Torréfaction",JOURNAL!$B$8:$B$1007,$A16)+SUMIFS(JOURNAL!$H$8:$H$1007,JOURNAL!$E$8:$E$1007,"Boulangerie",JOURNAL!$B$8:$B$1007,$A16)+SUMIFS(JOURNAL!$H$8:$H$1007,JOURNAL!$E$8:$E$1007,"Fruits &amp; Légumes",JOURNAL!$B$8:$B$1007,$A16)+SUMIFS(JOURNAL!$H$8:$H$1007,JOURNAL!$E$8:$E$1007,"Épicerie &amp; Divers",JOURNAL!$B$8:$B$1007,$A16))</f>
        <v>737</v>
      </c>
      <c r="H16" s="93" t="n">
        <f aca="false">IF($A16="","",SUMIFS(JOURNAL!$H$8:$H$1007,JOURNAL!$E$8:$E$1007,"Nettoyage",JOURNAL!$B$8:$B$1007,$A16))</f>
        <v>150</v>
      </c>
      <c r="I16" s="93" t="n">
        <f aca="false">IF($A16="","",SUMIFS(JOURNAL!$H$8:$H$1007,JOURNAL!$E$8:$E$1007,"Salaires",JOURNAL!$B$8:$B$1007,$A16))</f>
        <v>2000</v>
      </c>
      <c r="J16" s="93" t="n">
        <f aca="false">IF($A16="","",SUMIFS(JOURNAL!$H$8:$H$1007,JOURNAL!$E$8:$E$1007,"Loyer",JOURNAL!$B$8:$B$1007,$A16)+SUMIFS(JOURNAL!$H$8:$H$1007,JOURNAL!$E$8:$E$1007,"Eau &amp; Électricité",JOURNAL!$B$8:$B$1007,$A16)+SUMIFS(JOURNAL!$H$8:$H$1007,JOURNAL!$E$8:$E$1007,"Internet &amp; Télécom",JOURNAL!$B$8:$B$1007,$A16)+SUMIFS(JOURNAL!$H$8:$H$1007,JOURNAL!$E$8:$E$1007,"Taxes &amp; Impôts",JOURNAL!$B$8:$B$1007,$A16)+SUMIFS(JOURNAL!$H$8:$H$1007,JOURNAL!$E$8:$E$1007,"Abonnements",JOURNAL!$B$8:$B$1007,$A16)+SUMIFS(JOURNAL!$H$8:$H$1007,JOURNAL!$E$8:$E$1007,"Entretien &amp; Réparation",JOURNAL!$B$8:$B$1007,$A16))</f>
        <v>5000</v>
      </c>
      <c r="K16" s="93" t="n">
        <f aca="false">IF($A16="","",SUMIFS(JOURNAL!$H$8:$H$1007,JOURNAL!$E$8:$E$1007,"Virement Banque",JOURNAL!$B$8:$B$1007,$A16)+SUMIFS(JOURNAL!$H$8:$H$1007,JOURNAL!$E$8:$E$1007,"Virement Associés",JOURNAL!$B$8:$B$1007,$A16))</f>
        <v>0</v>
      </c>
      <c r="L16" s="93" t="n">
        <f aca="false">IF($A16="","",$M16-SUM($G16:$K16))</f>
        <v>0</v>
      </c>
      <c r="M16" s="95" t="n">
        <f aca="false">IF($A16="","",SUMIFS(JOURNAL!$H$8:$H$1007,JOURNAL!$D$8:$D$1007,"DEPENSE",JOURNAL!$B$8:$B$1007,$A16))</f>
        <v>7887</v>
      </c>
      <c r="N16" s="96" t="n">
        <f aca="false">IF($A16="","",$F16-$M16)</f>
        <v>-5914</v>
      </c>
      <c r="O16" s="97" t="n">
        <f aca="false">IF($A16="","",$O15+$N16)</f>
        <v>1713</v>
      </c>
      <c r="P16" s="93" t="n">
        <f aca="false">IF($A16="","",IF($F16=0,"—",$F16-PARAMETRES!$C$20))</f>
        <v>-227</v>
      </c>
    </row>
    <row r="17" customFormat="false" ht="18" hidden="false" customHeight="true" outlineLevel="0" collapsed="false">
      <c r="A17" s="98" t="n">
        <f aca="false">IF(12&gt;PARAMETRES!$C$16,"",DATE(PARAMETRES!$C$12,PARAMETRES!$C$13,12))</f>
        <v>46246</v>
      </c>
      <c r="B17" s="99" t="str">
        <f aca="false">IF($A17="","",CHOOSE(WEEKDAY($A17,2),"Lundi","Mardi","Mercredi","Jeudi","Vendredi","Samedi","Dimanche"))</f>
        <v>Mercredi</v>
      </c>
      <c r="C17" s="100" t="n">
        <f aca="false">IF($A17="","",SUMIFS(JOURNAL!$H$8:$H$1007,JOURNAL!$E$8:$E$1007,"Vente Caisse",JOURNAL!$B$8:$B$1007,$A17)+SUMIFS(JOURNAL!$H$8:$H$1007,JOURNAL!$E$8:$E$1007,"Terrasse",JOURNAL!$B$8:$B$1007,$A17)+SUMIFS(JOURNAL!$H$8:$H$1007,JOURNAL!$E$8:$E$1007,"Autre Recette",JOURNAL!$B$8:$B$1007,$A17))</f>
        <v>2045</v>
      </c>
      <c r="D17" s="100" t="n">
        <f aca="false">IF($A17="","",SUMIFS(JOURNAL!$H$8:$H$1007,JOURNAL!$E$8:$E$1007,"Glovo Espèce",JOURNAL!$B$8:$B$1007,$A17))</f>
        <v>0</v>
      </c>
      <c r="E17" s="100" t="n">
        <f aca="false">IF($A17="","",SUMIFS(JOURNAL!$H$8:$H$1007,JOURNAL!$E$8:$E$1007,"Glovo Carte",JOURNAL!$B$8:$B$1007,$A17))</f>
        <v>0</v>
      </c>
      <c r="F17" s="101" t="n">
        <f aca="false">IF($A17="","",SUM($C17:$E17))</f>
        <v>2045</v>
      </c>
      <c r="G17" s="100" t="n">
        <f aca="false">IF($A17="","",SUMIFS(JOURNAL!$H$8:$H$1007,JOURNAL!$E$8:$E$1007,"Boissons",JOURNAL!$B$8:$B$1007,$A17)+SUMIFS(JOURNAL!$H$8:$H$1007,JOURNAL!$E$8:$E$1007,"Café &amp; Torréfaction",JOURNAL!$B$8:$B$1007,$A17)+SUMIFS(JOURNAL!$H$8:$H$1007,JOURNAL!$E$8:$E$1007,"Boulangerie",JOURNAL!$B$8:$B$1007,$A17)+SUMIFS(JOURNAL!$H$8:$H$1007,JOURNAL!$E$8:$E$1007,"Fruits &amp; Légumes",JOURNAL!$B$8:$B$1007,$A17)+SUMIFS(JOURNAL!$H$8:$H$1007,JOURNAL!$E$8:$E$1007,"Épicerie &amp; Divers",JOURNAL!$B$8:$B$1007,$A17))</f>
        <v>2191</v>
      </c>
      <c r="H17" s="100" t="n">
        <f aca="false">IF($A17="","",SUMIFS(JOURNAL!$H$8:$H$1007,JOURNAL!$E$8:$E$1007,"Nettoyage",JOURNAL!$B$8:$B$1007,$A17))</f>
        <v>150</v>
      </c>
      <c r="I17" s="100" t="n">
        <f aca="false">IF($A17="","",SUMIFS(JOURNAL!$H$8:$H$1007,JOURNAL!$E$8:$E$1007,"Salaires",JOURNAL!$B$8:$B$1007,$A17))</f>
        <v>0</v>
      </c>
      <c r="J17" s="100" t="n">
        <f aca="false">IF($A17="","",SUMIFS(JOURNAL!$H$8:$H$1007,JOURNAL!$E$8:$E$1007,"Loyer",JOURNAL!$B$8:$B$1007,$A17)+SUMIFS(JOURNAL!$H$8:$H$1007,JOURNAL!$E$8:$E$1007,"Eau &amp; Électricité",JOURNAL!$B$8:$B$1007,$A17)+SUMIFS(JOURNAL!$H$8:$H$1007,JOURNAL!$E$8:$E$1007,"Internet &amp; Télécom",JOURNAL!$B$8:$B$1007,$A17)+SUMIFS(JOURNAL!$H$8:$H$1007,JOURNAL!$E$8:$E$1007,"Taxes &amp; Impôts",JOURNAL!$B$8:$B$1007,$A17)+SUMIFS(JOURNAL!$H$8:$H$1007,JOURNAL!$E$8:$E$1007,"Abonnements",JOURNAL!$B$8:$B$1007,$A17)+SUMIFS(JOURNAL!$H$8:$H$1007,JOURNAL!$E$8:$E$1007,"Entretien &amp; Réparation",JOURNAL!$B$8:$B$1007,$A17))</f>
        <v>0</v>
      </c>
      <c r="K17" s="100" t="n">
        <f aca="false">IF($A17="","",SUMIFS(JOURNAL!$H$8:$H$1007,JOURNAL!$E$8:$E$1007,"Virement Banque",JOURNAL!$B$8:$B$1007,$A17)+SUMIFS(JOURNAL!$H$8:$H$1007,JOURNAL!$E$8:$E$1007,"Virement Associés",JOURNAL!$B$8:$B$1007,$A17))</f>
        <v>0</v>
      </c>
      <c r="L17" s="100" t="n">
        <f aca="false">IF($A17="","",$M17-SUM($G17:$K17))</f>
        <v>0</v>
      </c>
      <c r="M17" s="102" t="n">
        <f aca="false">IF($A17="","",SUMIFS(JOURNAL!$H$8:$H$1007,JOURNAL!$D$8:$D$1007,"DEPENSE",JOURNAL!$B$8:$B$1007,$A17))</f>
        <v>2341</v>
      </c>
      <c r="N17" s="103" t="n">
        <f aca="false">IF($A17="","",$F17-$M17)</f>
        <v>-296</v>
      </c>
      <c r="O17" s="104" t="n">
        <f aca="false">IF($A17="","",$O16+$N17)</f>
        <v>1417</v>
      </c>
      <c r="P17" s="100" t="n">
        <f aca="false">IF($A17="","",IF($F17=0,"—",$F17-PARAMETRES!$C$20))</f>
        <v>-155</v>
      </c>
    </row>
    <row r="18" customFormat="false" ht="18" hidden="false" customHeight="true" outlineLevel="0" collapsed="false">
      <c r="A18" s="91" t="n">
        <f aca="false">IF(13&gt;PARAMETRES!$C$16,"",DATE(PARAMETRES!$C$12,PARAMETRES!$C$13,13))</f>
        <v>46247</v>
      </c>
      <c r="B18" s="92" t="str">
        <f aca="false">IF($A18="","",CHOOSE(WEEKDAY($A18,2),"Lundi","Mardi","Mercredi","Jeudi","Vendredi","Samedi","Dimanche"))</f>
        <v>Jeudi</v>
      </c>
      <c r="C18" s="93" t="n">
        <f aca="false">IF($A18="","",SUMIFS(JOURNAL!$H$8:$H$1007,JOURNAL!$E$8:$E$1007,"Vente Caisse",JOURNAL!$B$8:$B$1007,$A18)+SUMIFS(JOURNAL!$H$8:$H$1007,JOURNAL!$E$8:$E$1007,"Terrasse",JOURNAL!$B$8:$B$1007,$A18)+SUMIFS(JOURNAL!$H$8:$H$1007,JOURNAL!$E$8:$E$1007,"Autre Recette",JOURNAL!$B$8:$B$1007,$A18))</f>
        <v>2014</v>
      </c>
      <c r="D18" s="93" t="n">
        <f aca="false">IF($A18="","",SUMIFS(JOURNAL!$H$8:$H$1007,JOURNAL!$E$8:$E$1007,"Glovo Espèce",JOURNAL!$B$8:$B$1007,$A18))</f>
        <v>0</v>
      </c>
      <c r="E18" s="93" t="n">
        <f aca="false">IF($A18="","",SUMIFS(JOURNAL!$H$8:$H$1007,JOURNAL!$E$8:$E$1007,"Glovo Carte",JOURNAL!$B$8:$B$1007,$A18))</f>
        <v>0</v>
      </c>
      <c r="F18" s="94" t="n">
        <f aca="false">IF($A18="","",SUM($C18:$E18))</f>
        <v>2014</v>
      </c>
      <c r="G18" s="93" t="n">
        <f aca="false">IF($A18="","",SUMIFS(JOURNAL!$H$8:$H$1007,JOURNAL!$E$8:$E$1007,"Boissons",JOURNAL!$B$8:$B$1007,$A18)+SUMIFS(JOURNAL!$H$8:$H$1007,JOURNAL!$E$8:$E$1007,"Café &amp; Torréfaction",JOURNAL!$B$8:$B$1007,$A18)+SUMIFS(JOURNAL!$H$8:$H$1007,JOURNAL!$E$8:$E$1007,"Boulangerie",JOURNAL!$B$8:$B$1007,$A18)+SUMIFS(JOURNAL!$H$8:$H$1007,JOURNAL!$E$8:$E$1007,"Fruits &amp; Légumes",JOURNAL!$B$8:$B$1007,$A18)+SUMIFS(JOURNAL!$H$8:$H$1007,JOURNAL!$E$8:$E$1007,"Épicerie &amp; Divers",JOURNAL!$B$8:$B$1007,$A18))</f>
        <v>465</v>
      </c>
      <c r="H18" s="93" t="n">
        <f aca="false">IF($A18="","",SUMIFS(JOURNAL!$H$8:$H$1007,JOURNAL!$E$8:$E$1007,"Nettoyage",JOURNAL!$B$8:$B$1007,$A18))</f>
        <v>150</v>
      </c>
      <c r="I18" s="93" t="n">
        <f aca="false">IF($A18="","",SUMIFS(JOURNAL!$H$8:$H$1007,JOURNAL!$E$8:$E$1007,"Salaires",JOURNAL!$B$8:$B$1007,$A18))</f>
        <v>0</v>
      </c>
      <c r="J18" s="93" t="n">
        <f aca="false">IF($A18="","",SUMIFS(JOURNAL!$H$8:$H$1007,JOURNAL!$E$8:$E$1007,"Loyer",JOURNAL!$B$8:$B$1007,$A18)+SUMIFS(JOURNAL!$H$8:$H$1007,JOURNAL!$E$8:$E$1007,"Eau &amp; Électricité",JOURNAL!$B$8:$B$1007,$A18)+SUMIFS(JOURNAL!$H$8:$H$1007,JOURNAL!$E$8:$E$1007,"Internet &amp; Télécom",JOURNAL!$B$8:$B$1007,$A18)+SUMIFS(JOURNAL!$H$8:$H$1007,JOURNAL!$E$8:$E$1007,"Taxes &amp; Impôts",JOURNAL!$B$8:$B$1007,$A18)+SUMIFS(JOURNAL!$H$8:$H$1007,JOURNAL!$E$8:$E$1007,"Abonnements",JOURNAL!$B$8:$B$1007,$A18)+SUMIFS(JOURNAL!$H$8:$H$1007,JOURNAL!$E$8:$E$1007,"Entretien &amp; Réparation",JOURNAL!$B$8:$B$1007,$A18))</f>
        <v>0</v>
      </c>
      <c r="K18" s="93" t="n">
        <f aca="false">IF($A18="","",SUMIFS(JOURNAL!$H$8:$H$1007,JOURNAL!$E$8:$E$1007,"Virement Banque",JOURNAL!$B$8:$B$1007,$A18)+SUMIFS(JOURNAL!$H$8:$H$1007,JOURNAL!$E$8:$E$1007,"Virement Associés",JOURNAL!$B$8:$B$1007,$A18))</f>
        <v>0</v>
      </c>
      <c r="L18" s="93" t="n">
        <f aca="false">IF($A18="","",$M18-SUM($G18:$K18))</f>
        <v>0</v>
      </c>
      <c r="M18" s="95" t="n">
        <f aca="false">IF($A18="","",SUMIFS(JOURNAL!$H$8:$H$1007,JOURNAL!$D$8:$D$1007,"DEPENSE",JOURNAL!$B$8:$B$1007,$A18))</f>
        <v>615</v>
      </c>
      <c r="N18" s="96" t="n">
        <f aca="false">IF($A18="","",$F18-$M18)</f>
        <v>1399</v>
      </c>
      <c r="O18" s="97" t="n">
        <f aca="false">IF($A18="","",$O17+$N18)</f>
        <v>2816</v>
      </c>
      <c r="P18" s="93" t="n">
        <f aca="false">IF($A18="","",IF($F18=0,"—",$F18-PARAMETRES!$C$20))</f>
        <v>-186</v>
      </c>
    </row>
    <row r="19" customFormat="false" ht="18" hidden="false" customHeight="true" outlineLevel="0" collapsed="false">
      <c r="A19" s="98" t="n">
        <f aca="false">IF(14&gt;PARAMETRES!$C$16,"",DATE(PARAMETRES!$C$12,PARAMETRES!$C$13,14))</f>
        <v>46248</v>
      </c>
      <c r="B19" s="99" t="str">
        <f aca="false">IF($A19="","",CHOOSE(WEEKDAY($A19,2),"Lundi","Mardi","Mercredi","Jeudi","Vendredi","Samedi","Dimanche"))</f>
        <v>Vendredi</v>
      </c>
      <c r="C19" s="100" t="n">
        <f aca="false">IF($A19="","",SUMIFS(JOURNAL!$H$8:$H$1007,JOURNAL!$E$8:$E$1007,"Vente Caisse",JOURNAL!$B$8:$B$1007,$A19)+SUMIFS(JOURNAL!$H$8:$H$1007,JOURNAL!$E$8:$E$1007,"Terrasse",JOURNAL!$B$8:$B$1007,$A19)+SUMIFS(JOURNAL!$H$8:$H$1007,JOURNAL!$E$8:$E$1007,"Autre Recette",JOURNAL!$B$8:$B$1007,$A19))</f>
        <v>1902</v>
      </c>
      <c r="D19" s="100" t="n">
        <f aca="false">IF($A19="","",SUMIFS(JOURNAL!$H$8:$H$1007,JOURNAL!$E$8:$E$1007,"Glovo Espèce",JOURNAL!$B$8:$B$1007,$A19))</f>
        <v>0</v>
      </c>
      <c r="E19" s="100" t="n">
        <f aca="false">IF($A19="","",SUMIFS(JOURNAL!$H$8:$H$1007,JOURNAL!$E$8:$E$1007,"Glovo Carte",JOURNAL!$B$8:$B$1007,$A19))</f>
        <v>0</v>
      </c>
      <c r="F19" s="101" t="n">
        <f aca="false">IF($A19="","",SUM($C19:$E19))</f>
        <v>1902</v>
      </c>
      <c r="G19" s="100" t="n">
        <f aca="false">IF($A19="","",SUMIFS(JOURNAL!$H$8:$H$1007,JOURNAL!$E$8:$E$1007,"Boissons",JOURNAL!$B$8:$B$1007,$A19)+SUMIFS(JOURNAL!$H$8:$H$1007,JOURNAL!$E$8:$E$1007,"Café &amp; Torréfaction",JOURNAL!$B$8:$B$1007,$A19)+SUMIFS(JOURNAL!$H$8:$H$1007,JOURNAL!$E$8:$E$1007,"Boulangerie",JOURNAL!$B$8:$B$1007,$A19)+SUMIFS(JOURNAL!$H$8:$H$1007,JOURNAL!$E$8:$E$1007,"Fruits &amp; Légumes",JOURNAL!$B$8:$B$1007,$A19)+SUMIFS(JOURNAL!$H$8:$H$1007,JOURNAL!$E$8:$E$1007,"Épicerie &amp; Divers",JOURNAL!$B$8:$B$1007,$A19))</f>
        <v>606</v>
      </c>
      <c r="H19" s="100" t="n">
        <f aca="false">IF($A19="","",SUMIFS(JOURNAL!$H$8:$H$1007,JOURNAL!$E$8:$E$1007,"Nettoyage",JOURNAL!$B$8:$B$1007,$A19))</f>
        <v>150</v>
      </c>
      <c r="I19" s="100" t="n">
        <f aca="false">IF($A19="","",SUMIFS(JOURNAL!$H$8:$H$1007,JOURNAL!$E$8:$E$1007,"Salaires",JOURNAL!$B$8:$B$1007,$A19))</f>
        <v>0</v>
      </c>
      <c r="J19" s="100" t="n">
        <f aca="false">IF($A19="","",SUMIFS(JOURNAL!$H$8:$H$1007,JOURNAL!$E$8:$E$1007,"Loyer",JOURNAL!$B$8:$B$1007,$A19)+SUMIFS(JOURNAL!$H$8:$H$1007,JOURNAL!$E$8:$E$1007,"Eau &amp; Électricité",JOURNAL!$B$8:$B$1007,$A19)+SUMIFS(JOURNAL!$H$8:$H$1007,JOURNAL!$E$8:$E$1007,"Internet &amp; Télécom",JOURNAL!$B$8:$B$1007,$A19)+SUMIFS(JOURNAL!$H$8:$H$1007,JOURNAL!$E$8:$E$1007,"Taxes &amp; Impôts",JOURNAL!$B$8:$B$1007,$A19)+SUMIFS(JOURNAL!$H$8:$H$1007,JOURNAL!$E$8:$E$1007,"Abonnements",JOURNAL!$B$8:$B$1007,$A19)+SUMIFS(JOURNAL!$H$8:$H$1007,JOURNAL!$E$8:$E$1007,"Entretien &amp; Réparation",JOURNAL!$B$8:$B$1007,$A19))</f>
        <v>0</v>
      </c>
      <c r="K19" s="100" t="n">
        <f aca="false">IF($A19="","",SUMIFS(JOURNAL!$H$8:$H$1007,JOURNAL!$E$8:$E$1007,"Virement Banque",JOURNAL!$B$8:$B$1007,$A19)+SUMIFS(JOURNAL!$H$8:$H$1007,JOURNAL!$E$8:$E$1007,"Virement Associés",JOURNAL!$B$8:$B$1007,$A19))</f>
        <v>0</v>
      </c>
      <c r="L19" s="100" t="n">
        <f aca="false">IF($A19="","",$M19-SUM($G19:$K19))</f>
        <v>0</v>
      </c>
      <c r="M19" s="102" t="n">
        <f aca="false">IF($A19="","",SUMIFS(JOURNAL!$H$8:$H$1007,JOURNAL!$D$8:$D$1007,"DEPENSE",JOURNAL!$B$8:$B$1007,$A19))</f>
        <v>756</v>
      </c>
      <c r="N19" s="103" t="n">
        <f aca="false">IF($A19="","",$F19-$M19)</f>
        <v>1146</v>
      </c>
      <c r="O19" s="104" t="n">
        <f aca="false">IF($A19="","",$O18+$N19)</f>
        <v>3962</v>
      </c>
      <c r="P19" s="100" t="n">
        <f aca="false">IF($A19="","",IF($F19=0,"—",$F19-PARAMETRES!$C$20))</f>
        <v>-298</v>
      </c>
    </row>
    <row r="20" customFormat="false" ht="18" hidden="false" customHeight="true" outlineLevel="0" collapsed="false">
      <c r="A20" s="91" t="n">
        <f aca="false">IF(15&gt;PARAMETRES!$C$16,"",DATE(PARAMETRES!$C$12,PARAMETRES!$C$13,15))</f>
        <v>46249</v>
      </c>
      <c r="B20" s="92" t="str">
        <f aca="false">IF($A20="","",CHOOSE(WEEKDAY($A20,2),"Lundi","Mardi","Mercredi","Jeudi","Vendredi","Samedi","Dimanche"))</f>
        <v>Samedi</v>
      </c>
      <c r="C20" s="93" t="n">
        <f aca="false">IF($A20="","",SUMIFS(JOURNAL!$H$8:$H$1007,JOURNAL!$E$8:$E$1007,"Vente Caisse",JOURNAL!$B$8:$B$1007,$A20)+SUMIFS(JOURNAL!$H$8:$H$1007,JOURNAL!$E$8:$E$1007,"Terrasse",JOURNAL!$B$8:$B$1007,$A20)+SUMIFS(JOURNAL!$H$8:$H$1007,JOURNAL!$E$8:$E$1007,"Autre Recette",JOURNAL!$B$8:$B$1007,$A20))</f>
        <v>2053</v>
      </c>
      <c r="D20" s="93" t="n">
        <f aca="false">IF($A20="","",SUMIFS(JOURNAL!$H$8:$H$1007,JOURNAL!$E$8:$E$1007,"Glovo Espèce",JOURNAL!$B$8:$B$1007,$A20))</f>
        <v>0</v>
      </c>
      <c r="E20" s="93" t="n">
        <f aca="false">IF($A20="","",SUMIFS(JOURNAL!$H$8:$H$1007,JOURNAL!$E$8:$E$1007,"Glovo Carte",JOURNAL!$B$8:$B$1007,$A20))</f>
        <v>0</v>
      </c>
      <c r="F20" s="94" t="n">
        <f aca="false">IF($A20="","",SUM($C20:$E20))</f>
        <v>2053</v>
      </c>
      <c r="G20" s="93" t="n">
        <f aca="false">IF($A20="","",SUMIFS(JOURNAL!$H$8:$H$1007,JOURNAL!$E$8:$E$1007,"Boissons",JOURNAL!$B$8:$B$1007,$A20)+SUMIFS(JOURNAL!$H$8:$H$1007,JOURNAL!$E$8:$E$1007,"Café &amp; Torréfaction",JOURNAL!$B$8:$B$1007,$A20)+SUMIFS(JOURNAL!$H$8:$H$1007,JOURNAL!$E$8:$E$1007,"Boulangerie",JOURNAL!$B$8:$B$1007,$A20)+SUMIFS(JOURNAL!$H$8:$H$1007,JOURNAL!$E$8:$E$1007,"Fruits &amp; Légumes",JOURNAL!$B$8:$B$1007,$A20)+SUMIFS(JOURNAL!$H$8:$H$1007,JOURNAL!$E$8:$E$1007,"Épicerie &amp; Divers",JOURNAL!$B$8:$B$1007,$A20))</f>
        <v>456</v>
      </c>
      <c r="H20" s="93" t="n">
        <f aca="false">IF($A20="","",SUMIFS(JOURNAL!$H$8:$H$1007,JOURNAL!$E$8:$E$1007,"Nettoyage",JOURNAL!$B$8:$B$1007,$A20))</f>
        <v>150</v>
      </c>
      <c r="I20" s="93" t="n">
        <f aca="false">IF($A20="","",SUMIFS(JOURNAL!$H$8:$H$1007,JOURNAL!$E$8:$E$1007,"Salaires",JOURNAL!$B$8:$B$1007,$A20))</f>
        <v>0</v>
      </c>
      <c r="J20" s="93" t="n">
        <f aca="false">IF($A20="","",SUMIFS(JOURNAL!$H$8:$H$1007,JOURNAL!$E$8:$E$1007,"Loyer",JOURNAL!$B$8:$B$1007,$A20)+SUMIFS(JOURNAL!$H$8:$H$1007,JOURNAL!$E$8:$E$1007,"Eau &amp; Électricité",JOURNAL!$B$8:$B$1007,$A20)+SUMIFS(JOURNAL!$H$8:$H$1007,JOURNAL!$E$8:$E$1007,"Internet &amp; Télécom",JOURNAL!$B$8:$B$1007,$A20)+SUMIFS(JOURNAL!$H$8:$H$1007,JOURNAL!$E$8:$E$1007,"Taxes &amp; Impôts",JOURNAL!$B$8:$B$1007,$A20)+SUMIFS(JOURNAL!$H$8:$H$1007,JOURNAL!$E$8:$E$1007,"Abonnements",JOURNAL!$B$8:$B$1007,$A20)+SUMIFS(JOURNAL!$H$8:$H$1007,JOURNAL!$E$8:$E$1007,"Entretien &amp; Réparation",JOURNAL!$B$8:$B$1007,$A20))</f>
        <v>0</v>
      </c>
      <c r="K20" s="93" t="n">
        <f aca="false">IF($A20="","",SUMIFS(JOURNAL!$H$8:$H$1007,JOURNAL!$E$8:$E$1007,"Virement Banque",JOURNAL!$B$8:$B$1007,$A20)+SUMIFS(JOURNAL!$H$8:$H$1007,JOURNAL!$E$8:$E$1007,"Virement Associés",JOURNAL!$B$8:$B$1007,$A20))</f>
        <v>0</v>
      </c>
      <c r="L20" s="93" t="n">
        <f aca="false">IF($A20="","",$M20-SUM($G20:$K20))</f>
        <v>0</v>
      </c>
      <c r="M20" s="95" t="n">
        <f aca="false">IF($A20="","",SUMIFS(JOURNAL!$H$8:$H$1007,JOURNAL!$D$8:$D$1007,"DEPENSE",JOURNAL!$B$8:$B$1007,$A20))</f>
        <v>606</v>
      </c>
      <c r="N20" s="96" t="n">
        <f aca="false">IF($A20="","",$F20-$M20)</f>
        <v>1447</v>
      </c>
      <c r="O20" s="97" t="n">
        <f aca="false">IF($A20="","",$O19+$N20)</f>
        <v>5409</v>
      </c>
      <c r="P20" s="93" t="n">
        <f aca="false">IF($A20="","",IF($F20=0,"—",$F20-PARAMETRES!$C$20))</f>
        <v>-147</v>
      </c>
    </row>
    <row r="21" customFormat="false" ht="18" hidden="false" customHeight="true" outlineLevel="0" collapsed="false">
      <c r="A21" s="98" t="n">
        <f aca="false">IF(16&gt;PARAMETRES!$C$16,"",DATE(PARAMETRES!$C$12,PARAMETRES!$C$13,16))</f>
        <v>46250</v>
      </c>
      <c r="B21" s="99" t="str">
        <f aca="false">IF($A21="","",CHOOSE(WEEKDAY($A21,2),"Lundi","Mardi","Mercredi","Jeudi","Vendredi","Samedi","Dimanche"))</f>
        <v>Dimanche</v>
      </c>
      <c r="C21" s="100" t="n">
        <f aca="false">IF($A21="","",SUMIFS(JOURNAL!$H$8:$H$1007,JOURNAL!$E$8:$E$1007,"Vente Caisse",JOURNAL!$B$8:$B$1007,$A21)+SUMIFS(JOURNAL!$H$8:$H$1007,JOURNAL!$E$8:$E$1007,"Terrasse",JOURNAL!$B$8:$B$1007,$A21)+SUMIFS(JOURNAL!$H$8:$H$1007,JOURNAL!$E$8:$E$1007,"Autre Recette",JOURNAL!$B$8:$B$1007,$A21))</f>
        <v>2100</v>
      </c>
      <c r="D21" s="100" t="n">
        <f aca="false">IF($A21="","",SUMIFS(JOURNAL!$H$8:$H$1007,JOURNAL!$E$8:$E$1007,"Glovo Espèce",JOURNAL!$B$8:$B$1007,$A21))</f>
        <v>0</v>
      </c>
      <c r="E21" s="100" t="n">
        <f aca="false">IF($A21="","",SUMIFS(JOURNAL!$H$8:$H$1007,JOURNAL!$E$8:$E$1007,"Glovo Carte",JOURNAL!$B$8:$B$1007,$A21))</f>
        <v>0</v>
      </c>
      <c r="F21" s="101" t="n">
        <f aca="false">IF($A21="","",SUM($C21:$E21))</f>
        <v>2100</v>
      </c>
      <c r="G21" s="100" t="n">
        <f aca="false">IF($A21="","",SUMIFS(JOURNAL!$H$8:$H$1007,JOURNAL!$E$8:$E$1007,"Boissons",JOURNAL!$B$8:$B$1007,$A21)+SUMIFS(JOURNAL!$H$8:$H$1007,JOURNAL!$E$8:$E$1007,"Café &amp; Torréfaction",JOURNAL!$B$8:$B$1007,$A21)+SUMIFS(JOURNAL!$H$8:$H$1007,JOURNAL!$E$8:$E$1007,"Boulangerie",JOURNAL!$B$8:$B$1007,$A21)+SUMIFS(JOURNAL!$H$8:$H$1007,JOURNAL!$E$8:$E$1007,"Fruits &amp; Légumes",JOURNAL!$B$8:$B$1007,$A21)+SUMIFS(JOURNAL!$H$8:$H$1007,JOURNAL!$E$8:$E$1007,"Épicerie &amp; Divers",JOURNAL!$B$8:$B$1007,$A21))</f>
        <v>536</v>
      </c>
      <c r="H21" s="100" t="n">
        <f aca="false">IF($A21="","",SUMIFS(JOURNAL!$H$8:$H$1007,JOURNAL!$E$8:$E$1007,"Nettoyage",JOURNAL!$B$8:$B$1007,$A21))</f>
        <v>150</v>
      </c>
      <c r="I21" s="100" t="n">
        <f aca="false">IF($A21="","",SUMIFS(JOURNAL!$H$8:$H$1007,JOURNAL!$E$8:$E$1007,"Salaires",JOURNAL!$B$8:$B$1007,$A21))</f>
        <v>2500</v>
      </c>
      <c r="J21" s="100" t="n">
        <f aca="false">IF($A21="","",SUMIFS(JOURNAL!$H$8:$H$1007,JOURNAL!$E$8:$E$1007,"Loyer",JOURNAL!$B$8:$B$1007,$A21)+SUMIFS(JOURNAL!$H$8:$H$1007,JOURNAL!$E$8:$E$1007,"Eau &amp; Électricité",JOURNAL!$B$8:$B$1007,$A21)+SUMIFS(JOURNAL!$H$8:$H$1007,JOURNAL!$E$8:$E$1007,"Internet &amp; Télécom",JOURNAL!$B$8:$B$1007,$A21)+SUMIFS(JOURNAL!$H$8:$H$1007,JOURNAL!$E$8:$E$1007,"Taxes &amp; Impôts",JOURNAL!$B$8:$B$1007,$A21)+SUMIFS(JOURNAL!$H$8:$H$1007,JOURNAL!$E$8:$E$1007,"Abonnements",JOURNAL!$B$8:$B$1007,$A21)+SUMIFS(JOURNAL!$H$8:$H$1007,JOURNAL!$E$8:$E$1007,"Entretien &amp; Réparation",JOURNAL!$B$8:$B$1007,$A21))</f>
        <v>3785</v>
      </c>
      <c r="K21" s="100" t="n">
        <f aca="false">IF($A21="","",SUMIFS(JOURNAL!$H$8:$H$1007,JOURNAL!$E$8:$E$1007,"Virement Banque",JOURNAL!$B$8:$B$1007,$A21)+SUMIFS(JOURNAL!$H$8:$H$1007,JOURNAL!$E$8:$E$1007,"Virement Associés",JOURNAL!$B$8:$B$1007,$A21))</f>
        <v>0</v>
      </c>
      <c r="L21" s="100" t="n">
        <f aca="false">IF($A21="","",$M21-SUM($G21:$K21))</f>
        <v>0</v>
      </c>
      <c r="M21" s="102" t="n">
        <f aca="false">IF($A21="","",SUMIFS(JOURNAL!$H$8:$H$1007,JOURNAL!$D$8:$D$1007,"DEPENSE",JOURNAL!$B$8:$B$1007,$A21))</f>
        <v>6971</v>
      </c>
      <c r="N21" s="103" t="n">
        <f aca="false">IF($A21="","",$F21-$M21)</f>
        <v>-4871</v>
      </c>
      <c r="O21" s="104" t="n">
        <f aca="false">IF($A21="","",$O20+$N21)</f>
        <v>538</v>
      </c>
      <c r="P21" s="100" t="n">
        <f aca="false">IF($A21="","",IF($F21=0,"—",$F21-PARAMETRES!$C$20))</f>
        <v>-100</v>
      </c>
    </row>
    <row r="22" customFormat="false" ht="18" hidden="false" customHeight="true" outlineLevel="0" collapsed="false">
      <c r="A22" s="91" t="n">
        <f aca="false">IF(17&gt;PARAMETRES!$C$16,"",DATE(PARAMETRES!$C$12,PARAMETRES!$C$13,17))</f>
        <v>46251</v>
      </c>
      <c r="B22" s="92" t="str">
        <f aca="false">IF($A22="","",CHOOSE(WEEKDAY($A22,2),"Lundi","Mardi","Mercredi","Jeudi","Vendredi","Samedi","Dimanche"))</f>
        <v>Lundi</v>
      </c>
      <c r="C22" s="93" t="n">
        <f aca="false">IF($A22="","",SUMIFS(JOURNAL!$H$8:$H$1007,JOURNAL!$E$8:$E$1007,"Vente Caisse",JOURNAL!$B$8:$B$1007,$A22)+SUMIFS(JOURNAL!$H$8:$H$1007,JOURNAL!$E$8:$E$1007,"Terrasse",JOURNAL!$B$8:$B$1007,$A22)+SUMIFS(JOURNAL!$H$8:$H$1007,JOURNAL!$E$8:$E$1007,"Autre Recette",JOURNAL!$B$8:$B$1007,$A22))</f>
        <v>1930</v>
      </c>
      <c r="D22" s="93" t="n">
        <f aca="false">IF($A22="","",SUMIFS(JOURNAL!$H$8:$H$1007,JOURNAL!$E$8:$E$1007,"Glovo Espèce",JOURNAL!$B$8:$B$1007,$A22))</f>
        <v>0</v>
      </c>
      <c r="E22" s="93" t="n">
        <f aca="false">IF($A22="","",SUMIFS(JOURNAL!$H$8:$H$1007,JOURNAL!$E$8:$E$1007,"Glovo Carte",JOURNAL!$B$8:$B$1007,$A22))</f>
        <v>0</v>
      </c>
      <c r="F22" s="94" t="n">
        <f aca="false">IF($A22="","",SUM($C22:$E22))</f>
        <v>1930</v>
      </c>
      <c r="G22" s="93" t="n">
        <f aca="false">IF($A22="","",SUMIFS(JOURNAL!$H$8:$H$1007,JOURNAL!$E$8:$E$1007,"Boissons",JOURNAL!$B$8:$B$1007,$A22)+SUMIFS(JOURNAL!$H$8:$H$1007,JOURNAL!$E$8:$E$1007,"Café &amp; Torréfaction",JOURNAL!$B$8:$B$1007,$A22)+SUMIFS(JOURNAL!$H$8:$H$1007,JOURNAL!$E$8:$E$1007,"Boulangerie",JOURNAL!$B$8:$B$1007,$A22)+SUMIFS(JOURNAL!$H$8:$H$1007,JOURNAL!$E$8:$E$1007,"Fruits &amp; Légumes",JOURNAL!$B$8:$B$1007,$A22)+SUMIFS(JOURNAL!$H$8:$H$1007,JOURNAL!$E$8:$E$1007,"Épicerie &amp; Divers",JOURNAL!$B$8:$B$1007,$A22))</f>
        <v>606</v>
      </c>
      <c r="H22" s="93" t="n">
        <f aca="false">IF($A22="","",SUMIFS(JOURNAL!$H$8:$H$1007,JOURNAL!$E$8:$E$1007,"Nettoyage",JOURNAL!$B$8:$B$1007,$A22))</f>
        <v>150</v>
      </c>
      <c r="I22" s="93" t="n">
        <f aca="false">IF($A22="","",SUMIFS(JOURNAL!$H$8:$H$1007,JOURNAL!$E$8:$E$1007,"Salaires",JOURNAL!$B$8:$B$1007,$A22))</f>
        <v>0</v>
      </c>
      <c r="J22" s="93" t="n">
        <f aca="false">IF($A22="","",SUMIFS(JOURNAL!$H$8:$H$1007,JOURNAL!$E$8:$E$1007,"Loyer",JOURNAL!$B$8:$B$1007,$A22)+SUMIFS(JOURNAL!$H$8:$H$1007,JOURNAL!$E$8:$E$1007,"Eau &amp; Électricité",JOURNAL!$B$8:$B$1007,$A22)+SUMIFS(JOURNAL!$H$8:$H$1007,JOURNAL!$E$8:$E$1007,"Internet &amp; Télécom",JOURNAL!$B$8:$B$1007,$A22)+SUMIFS(JOURNAL!$H$8:$H$1007,JOURNAL!$E$8:$E$1007,"Taxes &amp; Impôts",JOURNAL!$B$8:$B$1007,$A22)+SUMIFS(JOURNAL!$H$8:$H$1007,JOURNAL!$E$8:$E$1007,"Abonnements",JOURNAL!$B$8:$B$1007,$A22)+SUMIFS(JOURNAL!$H$8:$H$1007,JOURNAL!$E$8:$E$1007,"Entretien &amp; Réparation",JOURNAL!$B$8:$B$1007,$A22))</f>
        <v>0</v>
      </c>
      <c r="K22" s="93" t="n">
        <f aca="false">IF($A22="","",SUMIFS(JOURNAL!$H$8:$H$1007,JOURNAL!$E$8:$E$1007,"Virement Banque",JOURNAL!$B$8:$B$1007,$A22)+SUMIFS(JOURNAL!$H$8:$H$1007,JOURNAL!$E$8:$E$1007,"Virement Associés",JOURNAL!$B$8:$B$1007,$A22))</f>
        <v>0</v>
      </c>
      <c r="L22" s="93" t="n">
        <f aca="false">IF($A22="","",$M22-SUM($G22:$K22))</f>
        <v>0</v>
      </c>
      <c r="M22" s="95" t="n">
        <f aca="false">IF($A22="","",SUMIFS(JOURNAL!$H$8:$H$1007,JOURNAL!$D$8:$D$1007,"DEPENSE",JOURNAL!$B$8:$B$1007,$A22))</f>
        <v>756</v>
      </c>
      <c r="N22" s="96" t="n">
        <f aca="false">IF($A22="","",$F22-$M22)</f>
        <v>1174</v>
      </c>
      <c r="O22" s="97" t="n">
        <f aca="false">IF($A22="","",$O21+$N22)</f>
        <v>1712</v>
      </c>
      <c r="P22" s="93" t="n">
        <f aca="false">IF($A22="","",IF($F22=0,"—",$F22-PARAMETRES!$C$20))</f>
        <v>-270</v>
      </c>
    </row>
    <row r="23" customFormat="false" ht="18" hidden="false" customHeight="true" outlineLevel="0" collapsed="false">
      <c r="A23" s="98" t="n">
        <f aca="false">IF(18&gt;PARAMETRES!$C$16,"",DATE(PARAMETRES!$C$12,PARAMETRES!$C$13,18))</f>
        <v>46252</v>
      </c>
      <c r="B23" s="99" t="str">
        <f aca="false">IF($A23="","",CHOOSE(WEEKDAY($A23,2),"Lundi","Mardi","Mercredi","Jeudi","Vendredi","Samedi","Dimanche"))</f>
        <v>Mardi</v>
      </c>
      <c r="C23" s="100" t="n">
        <f aca="false">IF($A23="","",SUMIFS(JOURNAL!$H$8:$H$1007,JOURNAL!$E$8:$E$1007,"Vente Caisse",JOURNAL!$B$8:$B$1007,$A23)+SUMIFS(JOURNAL!$H$8:$H$1007,JOURNAL!$E$8:$E$1007,"Terrasse",JOURNAL!$B$8:$B$1007,$A23)+SUMIFS(JOURNAL!$H$8:$H$1007,JOURNAL!$E$8:$E$1007,"Autre Recette",JOURNAL!$B$8:$B$1007,$A23))</f>
        <v>2081</v>
      </c>
      <c r="D23" s="100" t="n">
        <f aca="false">IF($A23="","",SUMIFS(JOURNAL!$H$8:$H$1007,JOURNAL!$E$8:$E$1007,"Glovo Espèce",JOURNAL!$B$8:$B$1007,$A23))</f>
        <v>0</v>
      </c>
      <c r="E23" s="100" t="n">
        <f aca="false">IF($A23="","",SUMIFS(JOURNAL!$H$8:$H$1007,JOURNAL!$E$8:$E$1007,"Glovo Carte",JOURNAL!$B$8:$B$1007,$A23))</f>
        <v>0</v>
      </c>
      <c r="F23" s="101" t="n">
        <f aca="false">IF($A23="","",SUM($C23:$E23))</f>
        <v>2081</v>
      </c>
      <c r="G23" s="100" t="n">
        <f aca="false">IF($A23="","",SUMIFS(JOURNAL!$H$8:$H$1007,JOURNAL!$E$8:$E$1007,"Boissons",JOURNAL!$B$8:$B$1007,$A23)+SUMIFS(JOURNAL!$H$8:$H$1007,JOURNAL!$E$8:$E$1007,"Café &amp; Torréfaction",JOURNAL!$B$8:$B$1007,$A23)+SUMIFS(JOURNAL!$H$8:$H$1007,JOURNAL!$E$8:$E$1007,"Boulangerie",JOURNAL!$B$8:$B$1007,$A23)+SUMIFS(JOURNAL!$H$8:$H$1007,JOURNAL!$E$8:$E$1007,"Fruits &amp; Légumes",JOURNAL!$B$8:$B$1007,$A23)+SUMIFS(JOURNAL!$H$8:$H$1007,JOURNAL!$E$8:$E$1007,"Épicerie &amp; Divers",JOURNAL!$B$8:$B$1007,$A23))</f>
        <v>465</v>
      </c>
      <c r="H23" s="100" t="n">
        <f aca="false">IF($A23="","",SUMIFS(JOURNAL!$H$8:$H$1007,JOURNAL!$E$8:$E$1007,"Nettoyage",JOURNAL!$B$8:$B$1007,$A23))</f>
        <v>150</v>
      </c>
      <c r="I23" s="100" t="n">
        <f aca="false">IF($A23="","",SUMIFS(JOURNAL!$H$8:$H$1007,JOURNAL!$E$8:$E$1007,"Salaires",JOURNAL!$B$8:$B$1007,$A23))</f>
        <v>0</v>
      </c>
      <c r="J23" s="100" t="n">
        <f aca="false">IF($A23="","",SUMIFS(JOURNAL!$H$8:$H$1007,JOURNAL!$E$8:$E$1007,"Loyer",JOURNAL!$B$8:$B$1007,$A23)+SUMIFS(JOURNAL!$H$8:$H$1007,JOURNAL!$E$8:$E$1007,"Eau &amp; Électricité",JOURNAL!$B$8:$B$1007,$A23)+SUMIFS(JOURNAL!$H$8:$H$1007,JOURNAL!$E$8:$E$1007,"Internet &amp; Télécom",JOURNAL!$B$8:$B$1007,$A23)+SUMIFS(JOURNAL!$H$8:$H$1007,JOURNAL!$E$8:$E$1007,"Taxes &amp; Impôts",JOURNAL!$B$8:$B$1007,$A23)+SUMIFS(JOURNAL!$H$8:$H$1007,JOURNAL!$E$8:$E$1007,"Abonnements",JOURNAL!$B$8:$B$1007,$A23)+SUMIFS(JOURNAL!$H$8:$H$1007,JOURNAL!$E$8:$E$1007,"Entretien &amp; Réparation",JOURNAL!$B$8:$B$1007,$A23))</f>
        <v>0</v>
      </c>
      <c r="K23" s="100" t="n">
        <f aca="false">IF($A23="","",SUMIFS(JOURNAL!$H$8:$H$1007,JOURNAL!$E$8:$E$1007,"Virement Banque",JOURNAL!$B$8:$B$1007,$A23)+SUMIFS(JOURNAL!$H$8:$H$1007,JOURNAL!$E$8:$E$1007,"Virement Associés",JOURNAL!$B$8:$B$1007,$A23))</f>
        <v>0</v>
      </c>
      <c r="L23" s="100" t="n">
        <f aca="false">IF($A23="","",$M23-SUM($G23:$K23))</f>
        <v>0</v>
      </c>
      <c r="M23" s="102" t="n">
        <f aca="false">IF($A23="","",SUMIFS(JOURNAL!$H$8:$H$1007,JOURNAL!$D$8:$D$1007,"DEPENSE",JOURNAL!$B$8:$B$1007,$A23))</f>
        <v>615</v>
      </c>
      <c r="N23" s="103" t="n">
        <f aca="false">IF($A23="","",$F23-$M23)</f>
        <v>1466</v>
      </c>
      <c r="O23" s="104" t="n">
        <f aca="false">IF($A23="","",$O22+$N23)</f>
        <v>3178</v>
      </c>
      <c r="P23" s="100" t="n">
        <f aca="false">IF($A23="","",IF($F23=0,"—",$F23-PARAMETRES!$C$20))</f>
        <v>-119</v>
      </c>
    </row>
    <row r="24" customFormat="false" ht="18" hidden="false" customHeight="true" outlineLevel="0" collapsed="false">
      <c r="A24" s="91" t="n">
        <f aca="false">IF(19&gt;PARAMETRES!$C$16,"",DATE(PARAMETRES!$C$12,PARAMETRES!$C$13,19))</f>
        <v>46253</v>
      </c>
      <c r="B24" s="92" t="str">
        <f aca="false">IF($A24="","",CHOOSE(WEEKDAY($A24,2),"Lundi","Mardi","Mercredi","Jeudi","Vendredi","Samedi","Dimanche"))</f>
        <v>Mercredi</v>
      </c>
      <c r="C24" s="93" t="n">
        <f aca="false">IF($A24="","",SUMIFS(JOURNAL!$H$8:$H$1007,JOURNAL!$E$8:$E$1007,"Vente Caisse",JOURNAL!$B$8:$B$1007,$A24)+SUMIFS(JOURNAL!$H$8:$H$1007,JOURNAL!$E$8:$E$1007,"Terrasse",JOURNAL!$B$8:$B$1007,$A24)+SUMIFS(JOURNAL!$H$8:$H$1007,JOURNAL!$E$8:$E$1007,"Autre Recette",JOURNAL!$B$8:$B$1007,$A24))</f>
        <v>2002</v>
      </c>
      <c r="D24" s="93" t="n">
        <f aca="false">IF($A24="","",SUMIFS(JOURNAL!$H$8:$H$1007,JOURNAL!$E$8:$E$1007,"Glovo Espèce",JOURNAL!$B$8:$B$1007,$A24))</f>
        <v>0</v>
      </c>
      <c r="E24" s="93" t="n">
        <f aca="false">IF($A24="","",SUMIFS(JOURNAL!$H$8:$H$1007,JOURNAL!$E$8:$E$1007,"Glovo Carte",JOURNAL!$B$8:$B$1007,$A24))</f>
        <v>0</v>
      </c>
      <c r="F24" s="94" t="n">
        <f aca="false">IF($A24="","",SUM($C24:$E24))</f>
        <v>2002</v>
      </c>
      <c r="G24" s="93" t="n">
        <f aca="false">IF($A24="","",SUMIFS(JOURNAL!$H$8:$H$1007,JOURNAL!$E$8:$E$1007,"Boissons",JOURNAL!$B$8:$B$1007,$A24)+SUMIFS(JOURNAL!$H$8:$H$1007,JOURNAL!$E$8:$E$1007,"Café &amp; Torréfaction",JOURNAL!$B$8:$B$1007,$A24)+SUMIFS(JOURNAL!$H$8:$H$1007,JOURNAL!$E$8:$E$1007,"Boulangerie",JOURNAL!$B$8:$B$1007,$A24)+SUMIFS(JOURNAL!$H$8:$H$1007,JOURNAL!$E$8:$E$1007,"Fruits &amp; Légumes",JOURNAL!$B$8:$B$1007,$A24)+SUMIFS(JOURNAL!$H$8:$H$1007,JOURNAL!$E$8:$E$1007,"Épicerie &amp; Divers",JOURNAL!$B$8:$B$1007,$A24))</f>
        <v>2066</v>
      </c>
      <c r="H24" s="93" t="n">
        <f aca="false">IF($A24="","",SUMIFS(JOURNAL!$H$8:$H$1007,JOURNAL!$E$8:$E$1007,"Nettoyage",JOURNAL!$B$8:$B$1007,$A24))</f>
        <v>150</v>
      </c>
      <c r="I24" s="93" t="n">
        <f aca="false">IF($A24="","",SUMIFS(JOURNAL!$H$8:$H$1007,JOURNAL!$E$8:$E$1007,"Salaires",JOURNAL!$B$8:$B$1007,$A24))</f>
        <v>0</v>
      </c>
      <c r="J24" s="93" t="n">
        <f aca="false">IF($A24="","",SUMIFS(JOURNAL!$H$8:$H$1007,JOURNAL!$E$8:$E$1007,"Loyer",JOURNAL!$B$8:$B$1007,$A24)+SUMIFS(JOURNAL!$H$8:$H$1007,JOURNAL!$E$8:$E$1007,"Eau &amp; Électricité",JOURNAL!$B$8:$B$1007,$A24)+SUMIFS(JOURNAL!$H$8:$H$1007,JOURNAL!$E$8:$E$1007,"Internet &amp; Télécom",JOURNAL!$B$8:$B$1007,$A24)+SUMIFS(JOURNAL!$H$8:$H$1007,JOURNAL!$E$8:$E$1007,"Taxes &amp; Impôts",JOURNAL!$B$8:$B$1007,$A24)+SUMIFS(JOURNAL!$H$8:$H$1007,JOURNAL!$E$8:$E$1007,"Abonnements",JOURNAL!$B$8:$B$1007,$A24)+SUMIFS(JOURNAL!$H$8:$H$1007,JOURNAL!$E$8:$E$1007,"Entretien &amp; Réparation",JOURNAL!$B$8:$B$1007,$A24))</f>
        <v>0</v>
      </c>
      <c r="K24" s="93" t="n">
        <f aca="false">IF($A24="","",SUMIFS(JOURNAL!$H$8:$H$1007,JOURNAL!$E$8:$E$1007,"Virement Banque",JOURNAL!$B$8:$B$1007,$A24)+SUMIFS(JOURNAL!$H$8:$H$1007,JOURNAL!$E$8:$E$1007,"Virement Associés",JOURNAL!$B$8:$B$1007,$A24))</f>
        <v>0</v>
      </c>
      <c r="L24" s="93" t="n">
        <f aca="false">IF($A24="","",$M24-SUM($G24:$K24))</f>
        <v>0</v>
      </c>
      <c r="M24" s="95" t="n">
        <f aca="false">IF($A24="","",SUMIFS(JOURNAL!$H$8:$H$1007,JOURNAL!$D$8:$D$1007,"DEPENSE",JOURNAL!$B$8:$B$1007,$A24))</f>
        <v>2216</v>
      </c>
      <c r="N24" s="96" t="n">
        <f aca="false">IF($A24="","",$F24-$M24)</f>
        <v>-214</v>
      </c>
      <c r="O24" s="97" t="n">
        <f aca="false">IF($A24="","",$O23+$N24)</f>
        <v>2964</v>
      </c>
      <c r="P24" s="93" t="n">
        <f aca="false">IF($A24="","",IF($F24=0,"—",$F24-PARAMETRES!$C$20))</f>
        <v>-198</v>
      </c>
    </row>
    <row r="25" customFormat="false" ht="18" hidden="false" customHeight="true" outlineLevel="0" collapsed="false">
      <c r="A25" s="98" t="n">
        <f aca="false">IF(20&gt;PARAMETRES!$C$16,"",DATE(PARAMETRES!$C$12,PARAMETRES!$C$13,20))</f>
        <v>46254</v>
      </c>
      <c r="B25" s="99" t="str">
        <f aca="false">IF($A25="","",CHOOSE(WEEKDAY($A25,2),"Lundi","Mardi","Mercredi","Jeudi","Vendredi","Samedi","Dimanche"))</f>
        <v>Jeudi</v>
      </c>
      <c r="C25" s="100" t="n">
        <f aca="false">IF($A25="","",SUMIFS(JOURNAL!$H$8:$H$1007,JOURNAL!$E$8:$E$1007,"Vente Caisse",JOURNAL!$B$8:$B$1007,$A25)+SUMIFS(JOURNAL!$H$8:$H$1007,JOURNAL!$E$8:$E$1007,"Terrasse",JOURNAL!$B$8:$B$1007,$A25)+SUMIFS(JOURNAL!$H$8:$H$1007,JOURNAL!$E$8:$E$1007,"Autre Recette",JOURNAL!$B$8:$B$1007,$A25))</f>
        <v>2253</v>
      </c>
      <c r="D25" s="100" t="n">
        <f aca="false">IF($A25="","",SUMIFS(JOURNAL!$H$8:$H$1007,JOURNAL!$E$8:$E$1007,"Glovo Espèce",JOURNAL!$B$8:$B$1007,$A25))</f>
        <v>0</v>
      </c>
      <c r="E25" s="100" t="n">
        <f aca="false">IF($A25="","",SUMIFS(JOURNAL!$H$8:$H$1007,JOURNAL!$E$8:$E$1007,"Glovo Carte",JOURNAL!$B$8:$B$1007,$A25))</f>
        <v>0</v>
      </c>
      <c r="F25" s="101" t="n">
        <f aca="false">IF($A25="","",SUM($C25:$E25))</f>
        <v>2253</v>
      </c>
      <c r="G25" s="100" t="n">
        <f aca="false">IF($A25="","",SUMIFS(JOURNAL!$H$8:$H$1007,JOURNAL!$E$8:$E$1007,"Boissons",JOURNAL!$B$8:$B$1007,$A25)+SUMIFS(JOURNAL!$H$8:$H$1007,JOURNAL!$E$8:$E$1007,"Café &amp; Torréfaction",JOURNAL!$B$8:$B$1007,$A25)+SUMIFS(JOURNAL!$H$8:$H$1007,JOURNAL!$E$8:$E$1007,"Boulangerie",JOURNAL!$B$8:$B$1007,$A25)+SUMIFS(JOURNAL!$H$8:$H$1007,JOURNAL!$E$8:$E$1007,"Fruits &amp; Légumes",JOURNAL!$B$8:$B$1007,$A25)+SUMIFS(JOURNAL!$H$8:$H$1007,JOURNAL!$E$8:$E$1007,"Épicerie &amp; Divers",JOURNAL!$B$8:$B$1007,$A25))</f>
        <v>520</v>
      </c>
      <c r="H25" s="100" t="n">
        <f aca="false">IF($A25="","",SUMIFS(JOURNAL!$H$8:$H$1007,JOURNAL!$E$8:$E$1007,"Nettoyage",JOURNAL!$B$8:$B$1007,$A25))</f>
        <v>150</v>
      </c>
      <c r="I25" s="100" t="n">
        <f aca="false">IF($A25="","",SUMIFS(JOURNAL!$H$8:$H$1007,JOURNAL!$E$8:$E$1007,"Salaires",JOURNAL!$B$8:$B$1007,$A25))</f>
        <v>0</v>
      </c>
      <c r="J25" s="100" t="n">
        <f aca="false">IF($A25="","",SUMIFS(JOURNAL!$H$8:$H$1007,JOURNAL!$E$8:$E$1007,"Loyer",JOURNAL!$B$8:$B$1007,$A25)+SUMIFS(JOURNAL!$H$8:$H$1007,JOURNAL!$E$8:$E$1007,"Eau &amp; Électricité",JOURNAL!$B$8:$B$1007,$A25)+SUMIFS(JOURNAL!$H$8:$H$1007,JOURNAL!$E$8:$E$1007,"Internet &amp; Télécom",JOURNAL!$B$8:$B$1007,$A25)+SUMIFS(JOURNAL!$H$8:$H$1007,JOURNAL!$E$8:$E$1007,"Taxes &amp; Impôts",JOURNAL!$B$8:$B$1007,$A25)+SUMIFS(JOURNAL!$H$8:$H$1007,JOURNAL!$E$8:$E$1007,"Abonnements",JOURNAL!$B$8:$B$1007,$A25)+SUMIFS(JOURNAL!$H$8:$H$1007,JOURNAL!$E$8:$E$1007,"Entretien &amp; Réparation",JOURNAL!$B$8:$B$1007,$A25))</f>
        <v>0</v>
      </c>
      <c r="K25" s="100" t="n">
        <f aca="false">IF($A25="","",SUMIFS(JOURNAL!$H$8:$H$1007,JOURNAL!$E$8:$E$1007,"Virement Banque",JOURNAL!$B$8:$B$1007,$A25)+SUMIFS(JOURNAL!$H$8:$H$1007,JOURNAL!$E$8:$E$1007,"Virement Associés",JOURNAL!$B$8:$B$1007,$A25))</f>
        <v>0</v>
      </c>
      <c r="L25" s="100" t="n">
        <f aca="false">IF($A25="","",$M25-SUM($G25:$K25))</f>
        <v>0</v>
      </c>
      <c r="M25" s="102" t="n">
        <f aca="false">IF($A25="","",SUMIFS(JOURNAL!$H$8:$H$1007,JOURNAL!$D$8:$D$1007,"DEPENSE",JOURNAL!$B$8:$B$1007,$A25))</f>
        <v>670</v>
      </c>
      <c r="N25" s="103" t="n">
        <f aca="false">IF($A25="","",$F25-$M25)</f>
        <v>1583</v>
      </c>
      <c r="O25" s="104" t="n">
        <f aca="false">IF($A25="","",$O24+$N25)</f>
        <v>4547</v>
      </c>
      <c r="P25" s="100" t="n">
        <f aca="false">IF($A25="","",IF($F25=0,"—",$F25-PARAMETRES!$C$20))</f>
        <v>53</v>
      </c>
    </row>
    <row r="26" customFormat="false" ht="18" hidden="false" customHeight="true" outlineLevel="0" collapsed="false">
      <c r="A26" s="91" t="n">
        <f aca="false">IF(21&gt;PARAMETRES!$C$16,"",DATE(PARAMETRES!$C$12,PARAMETRES!$C$13,21))</f>
        <v>46255</v>
      </c>
      <c r="B26" s="92" t="str">
        <f aca="false">IF($A26="","",CHOOSE(WEEKDAY($A26,2),"Lundi","Mardi","Mercredi","Jeudi","Vendredi","Samedi","Dimanche"))</f>
        <v>Vendredi</v>
      </c>
      <c r="C26" s="93" t="n">
        <f aca="false">IF($A26="","",SUMIFS(JOURNAL!$H$8:$H$1007,JOURNAL!$E$8:$E$1007,"Vente Caisse",JOURNAL!$B$8:$B$1007,$A26)+SUMIFS(JOURNAL!$H$8:$H$1007,JOURNAL!$E$8:$E$1007,"Terrasse",JOURNAL!$B$8:$B$1007,$A26)+SUMIFS(JOURNAL!$H$8:$H$1007,JOURNAL!$E$8:$E$1007,"Autre Recette",JOURNAL!$B$8:$B$1007,$A26))</f>
        <v>1607</v>
      </c>
      <c r="D26" s="93" t="n">
        <f aca="false">IF($A26="","",SUMIFS(JOURNAL!$H$8:$H$1007,JOURNAL!$E$8:$E$1007,"Glovo Espèce",JOURNAL!$B$8:$B$1007,$A26))</f>
        <v>0</v>
      </c>
      <c r="E26" s="93" t="n">
        <f aca="false">IF($A26="","",SUMIFS(JOURNAL!$H$8:$H$1007,JOURNAL!$E$8:$E$1007,"Glovo Carte",JOURNAL!$B$8:$B$1007,$A26))</f>
        <v>0</v>
      </c>
      <c r="F26" s="94" t="n">
        <f aca="false">IF($A26="","",SUM($C26:$E26))</f>
        <v>1607</v>
      </c>
      <c r="G26" s="93" t="n">
        <f aca="false">IF($A26="","",SUMIFS(JOURNAL!$H$8:$H$1007,JOURNAL!$E$8:$E$1007,"Boissons",JOURNAL!$B$8:$B$1007,$A26)+SUMIFS(JOURNAL!$H$8:$H$1007,JOURNAL!$E$8:$E$1007,"Café &amp; Torréfaction",JOURNAL!$B$8:$B$1007,$A26)+SUMIFS(JOURNAL!$H$8:$H$1007,JOURNAL!$E$8:$E$1007,"Boulangerie",JOURNAL!$B$8:$B$1007,$A26)+SUMIFS(JOURNAL!$H$8:$H$1007,JOURNAL!$E$8:$E$1007,"Fruits &amp; Légumes",JOURNAL!$B$8:$B$1007,$A26)+SUMIFS(JOURNAL!$H$8:$H$1007,JOURNAL!$E$8:$E$1007,"Épicerie &amp; Divers",JOURNAL!$B$8:$B$1007,$A26))</f>
        <v>406</v>
      </c>
      <c r="H26" s="93" t="n">
        <f aca="false">IF($A26="","",SUMIFS(JOURNAL!$H$8:$H$1007,JOURNAL!$E$8:$E$1007,"Nettoyage",JOURNAL!$B$8:$B$1007,$A26))</f>
        <v>150</v>
      </c>
      <c r="I26" s="93" t="n">
        <f aca="false">IF($A26="","",SUMIFS(JOURNAL!$H$8:$H$1007,JOURNAL!$E$8:$E$1007,"Salaires",JOURNAL!$B$8:$B$1007,$A26))</f>
        <v>0</v>
      </c>
      <c r="J26" s="93" t="n">
        <f aca="false">IF($A26="","",SUMIFS(JOURNAL!$H$8:$H$1007,JOURNAL!$E$8:$E$1007,"Loyer",JOURNAL!$B$8:$B$1007,$A26)+SUMIFS(JOURNAL!$H$8:$H$1007,JOURNAL!$E$8:$E$1007,"Eau &amp; Électricité",JOURNAL!$B$8:$B$1007,$A26)+SUMIFS(JOURNAL!$H$8:$H$1007,JOURNAL!$E$8:$E$1007,"Internet &amp; Télécom",JOURNAL!$B$8:$B$1007,$A26)+SUMIFS(JOURNAL!$H$8:$H$1007,JOURNAL!$E$8:$E$1007,"Taxes &amp; Impôts",JOURNAL!$B$8:$B$1007,$A26)+SUMIFS(JOURNAL!$H$8:$H$1007,JOURNAL!$E$8:$E$1007,"Abonnements",JOURNAL!$B$8:$B$1007,$A26)+SUMIFS(JOURNAL!$H$8:$H$1007,JOURNAL!$E$8:$E$1007,"Entretien &amp; Réparation",JOURNAL!$B$8:$B$1007,$A26))</f>
        <v>0</v>
      </c>
      <c r="K26" s="93" t="n">
        <f aca="false">IF($A26="","",SUMIFS(JOURNAL!$H$8:$H$1007,JOURNAL!$E$8:$E$1007,"Virement Banque",JOURNAL!$B$8:$B$1007,$A26)+SUMIFS(JOURNAL!$H$8:$H$1007,JOURNAL!$E$8:$E$1007,"Virement Associés",JOURNAL!$B$8:$B$1007,$A26))</f>
        <v>0</v>
      </c>
      <c r="L26" s="93" t="n">
        <f aca="false">IF($A26="","",$M26-SUM($G26:$K26))</f>
        <v>0</v>
      </c>
      <c r="M26" s="95" t="n">
        <f aca="false">IF($A26="","",SUMIFS(JOURNAL!$H$8:$H$1007,JOURNAL!$D$8:$D$1007,"DEPENSE",JOURNAL!$B$8:$B$1007,$A26))</f>
        <v>556</v>
      </c>
      <c r="N26" s="96" t="n">
        <f aca="false">IF($A26="","",$F26-$M26)</f>
        <v>1051</v>
      </c>
      <c r="O26" s="97" t="n">
        <f aca="false">IF($A26="","",$O25+$N26)</f>
        <v>5598</v>
      </c>
      <c r="P26" s="93" t="n">
        <f aca="false">IF($A26="","",IF($F26=0,"—",$F26-PARAMETRES!$C$20))</f>
        <v>-593</v>
      </c>
    </row>
    <row r="27" customFormat="false" ht="18" hidden="false" customHeight="true" outlineLevel="0" collapsed="false">
      <c r="A27" s="98" t="n">
        <f aca="false">IF(22&gt;PARAMETRES!$C$16,"",DATE(PARAMETRES!$C$12,PARAMETRES!$C$13,22))</f>
        <v>46256</v>
      </c>
      <c r="B27" s="99" t="str">
        <f aca="false">IF($A27="","",CHOOSE(WEEKDAY($A27,2),"Lundi","Mardi","Mercredi","Jeudi","Vendredi","Samedi","Dimanche"))</f>
        <v>Samedi</v>
      </c>
      <c r="C27" s="100" t="n">
        <f aca="false">IF($A27="","",SUMIFS(JOURNAL!$H$8:$H$1007,JOURNAL!$E$8:$E$1007,"Vente Caisse",JOURNAL!$B$8:$B$1007,$A27)+SUMIFS(JOURNAL!$H$8:$H$1007,JOURNAL!$E$8:$E$1007,"Terrasse",JOURNAL!$B$8:$B$1007,$A27)+SUMIFS(JOURNAL!$H$8:$H$1007,JOURNAL!$E$8:$E$1007,"Autre Recette",JOURNAL!$B$8:$B$1007,$A27))</f>
        <v>1853</v>
      </c>
      <c r="D27" s="100" t="n">
        <f aca="false">IF($A27="","",SUMIFS(JOURNAL!$H$8:$H$1007,JOURNAL!$E$8:$E$1007,"Glovo Espèce",JOURNAL!$B$8:$B$1007,$A27))</f>
        <v>0</v>
      </c>
      <c r="E27" s="100" t="n">
        <f aca="false">IF($A27="","",SUMIFS(JOURNAL!$H$8:$H$1007,JOURNAL!$E$8:$E$1007,"Glovo Carte",JOURNAL!$B$8:$B$1007,$A27))</f>
        <v>0</v>
      </c>
      <c r="F27" s="101" t="n">
        <f aca="false">IF($A27="","",SUM($C27:$E27))</f>
        <v>1853</v>
      </c>
      <c r="G27" s="100" t="n">
        <f aca="false">IF($A27="","",SUMIFS(JOURNAL!$H$8:$H$1007,JOURNAL!$E$8:$E$1007,"Boissons",JOURNAL!$B$8:$B$1007,$A27)+SUMIFS(JOURNAL!$H$8:$H$1007,JOURNAL!$E$8:$E$1007,"Café &amp; Torréfaction",JOURNAL!$B$8:$B$1007,$A27)+SUMIFS(JOURNAL!$H$8:$H$1007,JOURNAL!$E$8:$E$1007,"Boulangerie",JOURNAL!$B$8:$B$1007,$A27)+SUMIFS(JOURNAL!$H$8:$H$1007,JOURNAL!$E$8:$E$1007,"Fruits &amp; Légumes",JOURNAL!$B$8:$B$1007,$A27)+SUMIFS(JOURNAL!$H$8:$H$1007,JOURNAL!$E$8:$E$1007,"Épicerie &amp; Divers",JOURNAL!$B$8:$B$1007,$A27))</f>
        <v>1048</v>
      </c>
      <c r="H27" s="100" t="n">
        <f aca="false">IF($A27="","",SUMIFS(JOURNAL!$H$8:$H$1007,JOURNAL!$E$8:$E$1007,"Nettoyage",JOURNAL!$B$8:$B$1007,$A27))</f>
        <v>150</v>
      </c>
      <c r="I27" s="100" t="n">
        <f aca="false">IF($A27="","",SUMIFS(JOURNAL!$H$8:$H$1007,JOURNAL!$E$8:$E$1007,"Salaires",JOURNAL!$B$8:$B$1007,$A27))</f>
        <v>0</v>
      </c>
      <c r="J27" s="100" t="n">
        <f aca="false">IF($A27="","",SUMIFS(JOURNAL!$H$8:$H$1007,JOURNAL!$E$8:$E$1007,"Loyer",JOURNAL!$B$8:$B$1007,$A27)+SUMIFS(JOURNAL!$H$8:$H$1007,JOURNAL!$E$8:$E$1007,"Eau &amp; Électricité",JOURNAL!$B$8:$B$1007,$A27)+SUMIFS(JOURNAL!$H$8:$H$1007,JOURNAL!$E$8:$E$1007,"Internet &amp; Télécom",JOURNAL!$B$8:$B$1007,$A27)+SUMIFS(JOURNAL!$H$8:$H$1007,JOURNAL!$E$8:$E$1007,"Taxes &amp; Impôts",JOURNAL!$B$8:$B$1007,$A27)+SUMIFS(JOURNAL!$H$8:$H$1007,JOURNAL!$E$8:$E$1007,"Abonnements",JOURNAL!$B$8:$B$1007,$A27)+SUMIFS(JOURNAL!$H$8:$H$1007,JOURNAL!$E$8:$E$1007,"Entretien &amp; Réparation",JOURNAL!$B$8:$B$1007,$A27))</f>
        <v>0</v>
      </c>
      <c r="K27" s="100" t="n">
        <f aca="false">IF($A27="","",SUMIFS(JOURNAL!$H$8:$H$1007,JOURNAL!$E$8:$E$1007,"Virement Banque",JOURNAL!$B$8:$B$1007,$A27)+SUMIFS(JOURNAL!$H$8:$H$1007,JOURNAL!$E$8:$E$1007,"Virement Associés",JOURNAL!$B$8:$B$1007,$A27))</f>
        <v>0</v>
      </c>
      <c r="L27" s="100" t="n">
        <f aca="false">IF($A27="","",$M27-SUM($G27:$K27))</f>
        <v>0</v>
      </c>
      <c r="M27" s="102" t="n">
        <f aca="false">IF($A27="","",SUMIFS(JOURNAL!$H$8:$H$1007,JOURNAL!$D$8:$D$1007,"DEPENSE",JOURNAL!$B$8:$B$1007,$A27))</f>
        <v>1198</v>
      </c>
      <c r="N27" s="103" t="n">
        <f aca="false">IF($A27="","",$F27-$M27)</f>
        <v>655</v>
      </c>
      <c r="O27" s="104" t="n">
        <f aca="false">IF($A27="","",$O26+$N27)</f>
        <v>6253</v>
      </c>
      <c r="P27" s="100" t="n">
        <f aca="false">IF($A27="","",IF($F27=0,"—",$F27-PARAMETRES!$C$20))</f>
        <v>-347</v>
      </c>
    </row>
    <row r="28" customFormat="false" ht="18" hidden="false" customHeight="true" outlineLevel="0" collapsed="false">
      <c r="A28" s="91" t="n">
        <f aca="false">IF(23&gt;PARAMETRES!$C$16,"",DATE(PARAMETRES!$C$12,PARAMETRES!$C$13,23))</f>
        <v>46257</v>
      </c>
      <c r="B28" s="92" t="str">
        <f aca="false">IF($A28="","",CHOOSE(WEEKDAY($A28,2),"Lundi","Mardi","Mercredi","Jeudi","Vendredi","Samedi","Dimanche"))</f>
        <v>Dimanche</v>
      </c>
      <c r="C28" s="93" t="n">
        <f aca="false">IF($A28="","",SUMIFS(JOURNAL!$H$8:$H$1007,JOURNAL!$E$8:$E$1007,"Vente Caisse",JOURNAL!$B$8:$B$1007,$A28)+SUMIFS(JOURNAL!$H$8:$H$1007,JOURNAL!$E$8:$E$1007,"Terrasse",JOURNAL!$B$8:$B$1007,$A28)+SUMIFS(JOURNAL!$H$8:$H$1007,JOURNAL!$E$8:$E$1007,"Autre Recette",JOURNAL!$B$8:$B$1007,$A28))</f>
        <v>2141</v>
      </c>
      <c r="D28" s="93" t="n">
        <f aca="false">IF($A28="","",SUMIFS(JOURNAL!$H$8:$H$1007,JOURNAL!$E$8:$E$1007,"Glovo Espèce",JOURNAL!$B$8:$B$1007,$A28))</f>
        <v>0</v>
      </c>
      <c r="E28" s="93" t="n">
        <f aca="false">IF($A28="","",SUMIFS(JOURNAL!$H$8:$H$1007,JOURNAL!$E$8:$E$1007,"Glovo Carte",JOURNAL!$B$8:$B$1007,$A28))</f>
        <v>0</v>
      </c>
      <c r="F28" s="94" t="n">
        <f aca="false">IF($A28="","",SUM($C28:$E28))</f>
        <v>2141</v>
      </c>
      <c r="G28" s="93" t="n">
        <f aca="false">IF($A28="","",SUMIFS(JOURNAL!$H$8:$H$1007,JOURNAL!$E$8:$E$1007,"Boissons",JOURNAL!$B$8:$B$1007,$A28)+SUMIFS(JOURNAL!$H$8:$H$1007,JOURNAL!$E$8:$E$1007,"Café &amp; Torréfaction",JOURNAL!$B$8:$B$1007,$A28)+SUMIFS(JOURNAL!$H$8:$H$1007,JOURNAL!$E$8:$E$1007,"Boulangerie",JOURNAL!$B$8:$B$1007,$A28)+SUMIFS(JOURNAL!$H$8:$H$1007,JOURNAL!$E$8:$E$1007,"Fruits &amp; Légumes",JOURNAL!$B$8:$B$1007,$A28)+SUMIFS(JOURNAL!$H$8:$H$1007,JOURNAL!$E$8:$E$1007,"Épicerie &amp; Divers",JOURNAL!$B$8:$B$1007,$A28))</f>
        <v>621</v>
      </c>
      <c r="H28" s="93" t="n">
        <f aca="false">IF($A28="","",SUMIFS(JOURNAL!$H$8:$H$1007,JOURNAL!$E$8:$E$1007,"Nettoyage",JOURNAL!$B$8:$B$1007,$A28))</f>
        <v>150</v>
      </c>
      <c r="I28" s="93" t="n">
        <f aca="false">IF($A28="","",SUMIFS(JOURNAL!$H$8:$H$1007,JOURNAL!$E$8:$E$1007,"Salaires",JOURNAL!$B$8:$B$1007,$A28))</f>
        <v>2500</v>
      </c>
      <c r="J28" s="93" t="n">
        <f aca="false">IF($A28="","",SUMIFS(JOURNAL!$H$8:$H$1007,JOURNAL!$E$8:$E$1007,"Loyer",JOURNAL!$B$8:$B$1007,$A28)+SUMIFS(JOURNAL!$H$8:$H$1007,JOURNAL!$E$8:$E$1007,"Eau &amp; Électricité",JOURNAL!$B$8:$B$1007,$A28)+SUMIFS(JOURNAL!$H$8:$H$1007,JOURNAL!$E$8:$E$1007,"Internet &amp; Télécom",JOURNAL!$B$8:$B$1007,$A28)+SUMIFS(JOURNAL!$H$8:$H$1007,JOURNAL!$E$8:$E$1007,"Taxes &amp; Impôts",JOURNAL!$B$8:$B$1007,$A28)+SUMIFS(JOURNAL!$H$8:$H$1007,JOURNAL!$E$8:$E$1007,"Abonnements",JOURNAL!$B$8:$B$1007,$A28)+SUMIFS(JOURNAL!$H$8:$H$1007,JOURNAL!$E$8:$E$1007,"Entretien &amp; Réparation",JOURNAL!$B$8:$B$1007,$A28))</f>
        <v>0</v>
      </c>
      <c r="K28" s="93" t="n">
        <f aca="false">IF($A28="","",SUMIFS(JOURNAL!$H$8:$H$1007,JOURNAL!$E$8:$E$1007,"Virement Banque",JOURNAL!$B$8:$B$1007,$A28)+SUMIFS(JOURNAL!$H$8:$H$1007,JOURNAL!$E$8:$E$1007,"Virement Associés",JOURNAL!$B$8:$B$1007,$A28))</f>
        <v>0</v>
      </c>
      <c r="L28" s="93" t="n">
        <f aca="false">IF($A28="","",$M28-SUM($G28:$K28))</f>
        <v>0</v>
      </c>
      <c r="M28" s="95" t="n">
        <f aca="false">IF($A28="","",SUMIFS(JOURNAL!$H$8:$H$1007,JOURNAL!$D$8:$D$1007,"DEPENSE",JOURNAL!$B$8:$B$1007,$A28))</f>
        <v>3271</v>
      </c>
      <c r="N28" s="96" t="n">
        <f aca="false">IF($A28="","",$F28-$M28)</f>
        <v>-1130</v>
      </c>
      <c r="O28" s="97" t="n">
        <f aca="false">IF($A28="","",$O27+$N28)</f>
        <v>5123</v>
      </c>
      <c r="P28" s="93" t="n">
        <f aca="false">IF($A28="","",IF($F28=0,"—",$F28-PARAMETRES!$C$20))</f>
        <v>-59</v>
      </c>
    </row>
    <row r="29" customFormat="false" ht="18" hidden="false" customHeight="true" outlineLevel="0" collapsed="false">
      <c r="A29" s="98" t="n">
        <f aca="false">IF(24&gt;PARAMETRES!$C$16,"",DATE(PARAMETRES!$C$12,PARAMETRES!$C$13,24))</f>
        <v>46258</v>
      </c>
      <c r="B29" s="99" t="str">
        <f aca="false">IF($A29="","",CHOOSE(WEEKDAY($A29,2),"Lundi","Mardi","Mercredi","Jeudi","Vendredi","Samedi","Dimanche"))</f>
        <v>Lundi</v>
      </c>
      <c r="C29" s="100" t="n">
        <f aca="false">IF($A29="","",SUMIFS(JOURNAL!$H$8:$H$1007,JOURNAL!$E$8:$E$1007,"Vente Caisse",JOURNAL!$B$8:$B$1007,$A29)+SUMIFS(JOURNAL!$H$8:$H$1007,JOURNAL!$E$8:$E$1007,"Terrasse",JOURNAL!$B$8:$B$1007,$A29)+SUMIFS(JOURNAL!$H$8:$H$1007,JOURNAL!$E$8:$E$1007,"Autre Recette",JOURNAL!$B$8:$B$1007,$A29))</f>
        <v>2154</v>
      </c>
      <c r="D29" s="100" t="n">
        <f aca="false">IF($A29="","",SUMIFS(JOURNAL!$H$8:$H$1007,JOURNAL!$E$8:$E$1007,"Glovo Espèce",JOURNAL!$B$8:$B$1007,$A29))</f>
        <v>0</v>
      </c>
      <c r="E29" s="100" t="n">
        <f aca="false">IF($A29="","",SUMIFS(JOURNAL!$H$8:$H$1007,JOURNAL!$E$8:$E$1007,"Glovo Carte",JOURNAL!$B$8:$B$1007,$A29))</f>
        <v>0</v>
      </c>
      <c r="F29" s="101" t="n">
        <f aca="false">IF($A29="","",SUM($C29:$E29))</f>
        <v>2154</v>
      </c>
      <c r="G29" s="100" t="n">
        <f aca="false">IF($A29="","",SUMIFS(JOURNAL!$H$8:$H$1007,JOURNAL!$E$8:$E$1007,"Boissons",JOURNAL!$B$8:$B$1007,$A29)+SUMIFS(JOURNAL!$H$8:$H$1007,JOURNAL!$E$8:$E$1007,"Café &amp; Torréfaction",JOURNAL!$B$8:$B$1007,$A29)+SUMIFS(JOURNAL!$H$8:$H$1007,JOURNAL!$E$8:$E$1007,"Boulangerie",JOURNAL!$B$8:$B$1007,$A29)+SUMIFS(JOURNAL!$H$8:$H$1007,JOURNAL!$E$8:$E$1007,"Fruits &amp; Légumes",JOURNAL!$B$8:$B$1007,$A29)+SUMIFS(JOURNAL!$H$8:$H$1007,JOURNAL!$E$8:$E$1007,"Épicerie &amp; Divers",JOURNAL!$B$8:$B$1007,$A29))</f>
        <v>456</v>
      </c>
      <c r="H29" s="100" t="n">
        <f aca="false">IF($A29="","",SUMIFS(JOURNAL!$H$8:$H$1007,JOURNAL!$E$8:$E$1007,"Nettoyage",JOURNAL!$B$8:$B$1007,$A29))</f>
        <v>150</v>
      </c>
      <c r="I29" s="100" t="n">
        <f aca="false">IF($A29="","",SUMIFS(JOURNAL!$H$8:$H$1007,JOURNAL!$E$8:$E$1007,"Salaires",JOURNAL!$B$8:$B$1007,$A29))</f>
        <v>0</v>
      </c>
      <c r="J29" s="100" t="n">
        <f aca="false">IF($A29="","",SUMIFS(JOURNAL!$H$8:$H$1007,JOURNAL!$E$8:$E$1007,"Loyer",JOURNAL!$B$8:$B$1007,$A29)+SUMIFS(JOURNAL!$H$8:$H$1007,JOURNAL!$E$8:$E$1007,"Eau &amp; Électricité",JOURNAL!$B$8:$B$1007,$A29)+SUMIFS(JOURNAL!$H$8:$H$1007,JOURNAL!$E$8:$E$1007,"Internet &amp; Télécom",JOURNAL!$B$8:$B$1007,$A29)+SUMIFS(JOURNAL!$H$8:$H$1007,JOURNAL!$E$8:$E$1007,"Taxes &amp; Impôts",JOURNAL!$B$8:$B$1007,$A29)+SUMIFS(JOURNAL!$H$8:$H$1007,JOURNAL!$E$8:$E$1007,"Abonnements",JOURNAL!$B$8:$B$1007,$A29)+SUMIFS(JOURNAL!$H$8:$H$1007,JOURNAL!$E$8:$E$1007,"Entretien &amp; Réparation",JOURNAL!$B$8:$B$1007,$A29))</f>
        <v>5000</v>
      </c>
      <c r="K29" s="100" t="n">
        <f aca="false">IF($A29="","",SUMIFS(JOURNAL!$H$8:$H$1007,JOURNAL!$E$8:$E$1007,"Virement Banque",JOURNAL!$B$8:$B$1007,$A29)+SUMIFS(JOURNAL!$H$8:$H$1007,JOURNAL!$E$8:$E$1007,"Virement Associés",JOURNAL!$B$8:$B$1007,$A29))</f>
        <v>0</v>
      </c>
      <c r="L29" s="100" t="n">
        <f aca="false">IF($A29="","",$M29-SUM($G29:$K29))</f>
        <v>0</v>
      </c>
      <c r="M29" s="102" t="n">
        <f aca="false">IF($A29="","",SUMIFS(JOURNAL!$H$8:$H$1007,JOURNAL!$D$8:$D$1007,"DEPENSE",JOURNAL!$B$8:$B$1007,$A29))</f>
        <v>5606</v>
      </c>
      <c r="N29" s="103" t="n">
        <f aca="false">IF($A29="","",$F29-$M29)</f>
        <v>-3452</v>
      </c>
      <c r="O29" s="104" t="n">
        <f aca="false">IF($A29="","",$O28+$N29)</f>
        <v>1671</v>
      </c>
      <c r="P29" s="100" t="n">
        <f aca="false">IF($A29="","",IF($F29=0,"—",$F29-PARAMETRES!$C$20))</f>
        <v>-46</v>
      </c>
    </row>
    <row r="30" customFormat="false" ht="18" hidden="false" customHeight="true" outlineLevel="0" collapsed="false">
      <c r="A30" s="91" t="n">
        <f aca="false">IF(25&gt;PARAMETRES!$C$16,"",DATE(PARAMETRES!$C$12,PARAMETRES!$C$13,25))</f>
        <v>46259</v>
      </c>
      <c r="B30" s="92" t="str">
        <f aca="false">IF($A30="","",CHOOSE(WEEKDAY($A30,2),"Lundi","Mardi","Mercredi","Jeudi","Vendredi","Samedi","Dimanche"))</f>
        <v>Mardi</v>
      </c>
      <c r="C30" s="93" t="n">
        <f aca="false">IF($A30="","",SUMIFS(JOURNAL!$H$8:$H$1007,JOURNAL!$E$8:$E$1007,"Vente Caisse",JOURNAL!$B$8:$B$1007,$A30)+SUMIFS(JOURNAL!$H$8:$H$1007,JOURNAL!$E$8:$E$1007,"Terrasse",JOURNAL!$B$8:$B$1007,$A30)+SUMIFS(JOURNAL!$H$8:$H$1007,JOURNAL!$E$8:$E$1007,"Autre Recette",JOURNAL!$B$8:$B$1007,$A30))</f>
        <v>1900</v>
      </c>
      <c r="D30" s="93" t="n">
        <f aca="false">IF($A30="","",SUMIFS(JOURNAL!$H$8:$H$1007,JOURNAL!$E$8:$E$1007,"Glovo Espèce",JOURNAL!$B$8:$B$1007,$A30))</f>
        <v>0</v>
      </c>
      <c r="E30" s="93" t="n">
        <f aca="false">IF($A30="","",SUMIFS(JOURNAL!$H$8:$H$1007,JOURNAL!$E$8:$E$1007,"Glovo Carte",JOURNAL!$B$8:$B$1007,$A30))</f>
        <v>0</v>
      </c>
      <c r="F30" s="94" t="n">
        <f aca="false">IF($A30="","",SUM($C30:$E30))</f>
        <v>1900</v>
      </c>
      <c r="G30" s="93" t="n">
        <f aca="false">IF($A30="","",SUMIFS(JOURNAL!$H$8:$H$1007,JOURNAL!$E$8:$E$1007,"Boissons",JOURNAL!$B$8:$B$1007,$A30)+SUMIFS(JOURNAL!$H$8:$H$1007,JOURNAL!$E$8:$E$1007,"Café &amp; Torréfaction",JOURNAL!$B$8:$B$1007,$A30)+SUMIFS(JOURNAL!$H$8:$H$1007,JOURNAL!$E$8:$E$1007,"Boulangerie",JOURNAL!$B$8:$B$1007,$A30)+SUMIFS(JOURNAL!$H$8:$H$1007,JOURNAL!$E$8:$E$1007,"Fruits &amp; Légumes",JOURNAL!$B$8:$B$1007,$A30)+SUMIFS(JOURNAL!$H$8:$H$1007,JOURNAL!$E$8:$E$1007,"Épicerie &amp; Divers",JOURNAL!$B$8:$B$1007,$A30))</f>
        <v>571</v>
      </c>
      <c r="H30" s="93" t="n">
        <f aca="false">IF($A30="","",SUMIFS(JOURNAL!$H$8:$H$1007,JOURNAL!$E$8:$E$1007,"Nettoyage",JOURNAL!$B$8:$B$1007,$A30))</f>
        <v>150</v>
      </c>
      <c r="I30" s="93" t="n">
        <f aca="false">IF($A30="","",SUMIFS(JOURNAL!$H$8:$H$1007,JOURNAL!$E$8:$E$1007,"Salaires",JOURNAL!$B$8:$B$1007,$A30))</f>
        <v>0</v>
      </c>
      <c r="J30" s="93" t="n">
        <f aca="false">IF($A30="","",SUMIFS(JOURNAL!$H$8:$H$1007,JOURNAL!$E$8:$E$1007,"Loyer",JOURNAL!$B$8:$B$1007,$A30)+SUMIFS(JOURNAL!$H$8:$H$1007,JOURNAL!$E$8:$E$1007,"Eau &amp; Électricité",JOURNAL!$B$8:$B$1007,$A30)+SUMIFS(JOURNAL!$H$8:$H$1007,JOURNAL!$E$8:$E$1007,"Internet &amp; Télécom",JOURNAL!$B$8:$B$1007,$A30)+SUMIFS(JOURNAL!$H$8:$H$1007,JOURNAL!$E$8:$E$1007,"Taxes &amp; Impôts",JOURNAL!$B$8:$B$1007,$A30)+SUMIFS(JOURNAL!$H$8:$H$1007,JOURNAL!$E$8:$E$1007,"Abonnements",JOURNAL!$B$8:$B$1007,$A30)+SUMIFS(JOURNAL!$H$8:$H$1007,JOURNAL!$E$8:$E$1007,"Entretien &amp; Réparation",JOURNAL!$B$8:$B$1007,$A30))</f>
        <v>0</v>
      </c>
      <c r="K30" s="93" t="n">
        <f aca="false">IF($A30="","",SUMIFS(JOURNAL!$H$8:$H$1007,JOURNAL!$E$8:$E$1007,"Virement Banque",JOURNAL!$B$8:$B$1007,$A30)+SUMIFS(JOURNAL!$H$8:$H$1007,JOURNAL!$E$8:$E$1007,"Virement Associés",JOURNAL!$B$8:$B$1007,$A30))</f>
        <v>0</v>
      </c>
      <c r="L30" s="93" t="n">
        <f aca="false">IF($A30="","",$M30-SUM($G30:$K30))</f>
        <v>0</v>
      </c>
      <c r="M30" s="95" t="n">
        <f aca="false">IF($A30="","",SUMIFS(JOURNAL!$H$8:$H$1007,JOURNAL!$D$8:$D$1007,"DEPENSE",JOURNAL!$B$8:$B$1007,$A30))</f>
        <v>721</v>
      </c>
      <c r="N30" s="96" t="n">
        <f aca="false">IF($A30="","",$F30-$M30)</f>
        <v>1179</v>
      </c>
      <c r="O30" s="97" t="n">
        <f aca="false">IF($A30="","",$O29+$N30)</f>
        <v>2850</v>
      </c>
      <c r="P30" s="93" t="n">
        <f aca="false">IF($A30="","",IF($F30=0,"—",$F30-PARAMETRES!$C$20))</f>
        <v>-300</v>
      </c>
    </row>
    <row r="31" customFormat="false" ht="18" hidden="false" customHeight="true" outlineLevel="0" collapsed="false">
      <c r="A31" s="98" t="n">
        <f aca="false">IF(26&gt;PARAMETRES!$C$16,"",DATE(PARAMETRES!$C$12,PARAMETRES!$C$13,26))</f>
        <v>46260</v>
      </c>
      <c r="B31" s="99" t="str">
        <f aca="false">IF($A31="","",CHOOSE(WEEKDAY($A31,2),"Lundi","Mardi","Mercredi","Jeudi","Vendredi","Samedi","Dimanche"))</f>
        <v>Mercredi</v>
      </c>
      <c r="C31" s="100" t="n">
        <f aca="false">IF($A31="","",SUMIFS(JOURNAL!$H$8:$H$1007,JOURNAL!$E$8:$E$1007,"Vente Caisse",JOURNAL!$B$8:$B$1007,$A31)+SUMIFS(JOURNAL!$H$8:$H$1007,JOURNAL!$E$8:$E$1007,"Terrasse",JOURNAL!$B$8:$B$1007,$A31)+SUMIFS(JOURNAL!$H$8:$H$1007,JOURNAL!$E$8:$E$1007,"Autre Recette",JOURNAL!$B$8:$B$1007,$A31))</f>
        <v>1713</v>
      </c>
      <c r="D31" s="100" t="n">
        <f aca="false">IF($A31="","",SUMIFS(JOURNAL!$H$8:$H$1007,JOURNAL!$E$8:$E$1007,"Glovo Espèce",JOURNAL!$B$8:$B$1007,$A31))</f>
        <v>0</v>
      </c>
      <c r="E31" s="100" t="n">
        <f aca="false">IF($A31="","",SUMIFS(JOURNAL!$H$8:$H$1007,JOURNAL!$E$8:$E$1007,"Glovo Carte",JOURNAL!$B$8:$B$1007,$A31))</f>
        <v>0</v>
      </c>
      <c r="F31" s="101" t="n">
        <f aca="false">IF($A31="","",SUM($C31:$E31))</f>
        <v>1713</v>
      </c>
      <c r="G31" s="100" t="n">
        <f aca="false">IF($A31="","",SUMIFS(JOURNAL!$H$8:$H$1007,JOURNAL!$E$8:$E$1007,"Boissons",JOURNAL!$B$8:$B$1007,$A31)+SUMIFS(JOURNAL!$H$8:$H$1007,JOURNAL!$E$8:$E$1007,"Café &amp; Torréfaction",JOURNAL!$B$8:$B$1007,$A31)+SUMIFS(JOURNAL!$H$8:$H$1007,JOURNAL!$E$8:$E$1007,"Boulangerie",JOURNAL!$B$8:$B$1007,$A31)+SUMIFS(JOURNAL!$H$8:$H$1007,JOURNAL!$E$8:$E$1007,"Fruits &amp; Légumes",JOURNAL!$B$8:$B$1007,$A31)+SUMIFS(JOURNAL!$H$8:$H$1007,JOURNAL!$E$8:$E$1007,"Épicerie &amp; Divers",JOURNAL!$B$8:$B$1007,$A31))</f>
        <v>1286</v>
      </c>
      <c r="H31" s="100" t="n">
        <f aca="false">IF($A31="","",SUMIFS(JOURNAL!$H$8:$H$1007,JOURNAL!$E$8:$E$1007,"Nettoyage",JOURNAL!$B$8:$B$1007,$A31))</f>
        <v>150</v>
      </c>
      <c r="I31" s="100" t="n">
        <f aca="false">IF($A31="","",SUMIFS(JOURNAL!$H$8:$H$1007,JOURNAL!$E$8:$E$1007,"Salaires",JOURNAL!$B$8:$B$1007,$A31))</f>
        <v>0</v>
      </c>
      <c r="J31" s="100" t="n">
        <f aca="false">IF($A31="","",SUMIFS(JOURNAL!$H$8:$H$1007,JOURNAL!$E$8:$E$1007,"Loyer",JOURNAL!$B$8:$B$1007,$A31)+SUMIFS(JOURNAL!$H$8:$H$1007,JOURNAL!$E$8:$E$1007,"Eau &amp; Électricité",JOURNAL!$B$8:$B$1007,$A31)+SUMIFS(JOURNAL!$H$8:$H$1007,JOURNAL!$E$8:$E$1007,"Internet &amp; Télécom",JOURNAL!$B$8:$B$1007,$A31)+SUMIFS(JOURNAL!$H$8:$H$1007,JOURNAL!$E$8:$E$1007,"Taxes &amp; Impôts",JOURNAL!$B$8:$B$1007,$A31)+SUMIFS(JOURNAL!$H$8:$H$1007,JOURNAL!$E$8:$E$1007,"Abonnements",JOURNAL!$B$8:$B$1007,$A31)+SUMIFS(JOURNAL!$H$8:$H$1007,JOURNAL!$E$8:$E$1007,"Entretien &amp; Réparation",JOURNAL!$B$8:$B$1007,$A31))</f>
        <v>0</v>
      </c>
      <c r="K31" s="100" t="n">
        <f aca="false">IF($A31="","",SUMIFS(JOURNAL!$H$8:$H$1007,JOURNAL!$E$8:$E$1007,"Virement Banque",JOURNAL!$B$8:$B$1007,$A31)+SUMIFS(JOURNAL!$H$8:$H$1007,JOURNAL!$E$8:$E$1007,"Virement Associés",JOURNAL!$B$8:$B$1007,$A31))</f>
        <v>0</v>
      </c>
      <c r="L31" s="100" t="n">
        <f aca="false">IF($A31="","",$M31-SUM($G31:$K31))</f>
        <v>0</v>
      </c>
      <c r="M31" s="102" t="n">
        <f aca="false">IF($A31="","",SUMIFS(JOURNAL!$H$8:$H$1007,JOURNAL!$D$8:$D$1007,"DEPENSE",JOURNAL!$B$8:$B$1007,$A31))</f>
        <v>1436</v>
      </c>
      <c r="N31" s="103" t="n">
        <f aca="false">IF($A31="","",$F31-$M31)</f>
        <v>277</v>
      </c>
      <c r="O31" s="104" t="n">
        <f aca="false">IF($A31="","",$O30+$N31)</f>
        <v>3127</v>
      </c>
      <c r="P31" s="100" t="n">
        <f aca="false">IF($A31="","",IF($F31=0,"—",$F31-PARAMETRES!$C$20))</f>
        <v>-487</v>
      </c>
    </row>
    <row r="32" customFormat="false" ht="18" hidden="false" customHeight="true" outlineLevel="0" collapsed="false">
      <c r="A32" s="91" t="n">
        <f aca="false">IF(27&gt;PARAMETRES!$C$16,"",DATE(PARAMETRES!$C$12,PARAMETRES!$C$13,27))</f>
        <v>46261</v>
      </c>
      <c r="B32" s="92" t="str">
        <f aca="false">IF($A32="","",CHOOSE(WEEKDAY($A32,2),"Lundi","Mardi","Mercredi","Jeudi","Vendredi","Samedi","Dimanche"))</f>
        <v>Jeudi</v>
      </c>
      <c r="C32" s="93" t="n">
        <f aca="false">IF($A32="","",SUMIFS(JOURNAL!$H$8:$H$1007,JOURNAL!$E$8:$E$1007,"Vente Caisse",JOURNAL!$B$8:$B$1007,$A32)+SUMIFS(JOURNAL!$H$8:$H$1007,JOURNAL!$E$8:$E$1007,"Terrasse",JOURNAL!$B$8:$B$1007,$A32)+SUMIFS(JOURNAL!$H$8:$H$1007,JOURNAL!$E$8:$E$1007,"Autre Recette",JOURNAL!$B$8:$B$1007,$A32))</f>
        <v>1687</v>
      </c>
      <c r="D32" s="93" t="n">
        <f aca="false">IF($A32="","",SUMIFS(JOURNAL!$H$8:$H$1007,JOURNAL!$E$8:$E$1007,"Glovo Espèce",JOURNAL!$B$8:$B$1007,$A32))</f>
        <v>0</v>
      </c>
      <c r="E32" s="93" t="n">
        <f aca="false">IF($A32="","",SUMIFS(JOURNAL!$H$8:$H$1007,JOURNAL!$E$8:$E$1007,"Glovo Carte",JOURNAL!$B$8:$B$1007,$A32))</f>
        <v>0</v>
      </c>
      <c r="F32" s="94" t="n">
        <f aca="false">IF($A32="","",SUM($C32:$E32))</f>
        <v>1687</v>
      </c>
      <c r="G32" s="93" t="n">
        <f aca="false">IF($A32="","",SUMIFS(JOURNAL!$H$8:$H$1007,JOURNAL!$E$8:$E$1007,"Boissons",JOURNAL!$B$8:$B$1007,$A32)+SUMIFS(JOURNAL!$H$8:$H$1007,JOURNAL!$E$8:$E$1007,"Café &amp; Torréfaction",JOURNAL!$B$8:$B$1007,$A32)+SUMIFS(JOURNAL!$H$8:$H$1007,JOURNAL!$E$8:$E$1007,"Boulangerie",JOURNAL!$B$8:$B$1007,$A32)+SUMIFS(JOURNAL!$H$8:$H$1007,JOURNAL!$E$8:$E$1007,"Fruits &amp; Légumes",JOURNAL!$B$8:$B$1007,$A32)+SUMIFS(JOURNAL!$H$8:$H$1007,JOURNAL!$E$8:$E$1007,"Épicerie &amp; Divers",JOURNAL!$B$8:$B$1007,$A32))</f>
        <v>441</v>
      </c>
      <c r="H32" s="93" t="n">
        <f aca="false">IF($A32="","",SUMIFS(JOURNAL!$H$8:$H$1007,JOURNAL!$E$8:$E$1007,"Nettoyage",JOURNAL!$B$8:$B$1007,$A32))</f>
        <v>150</v>
      </c>
      <c r="I32" s="93" t="n">
        <f aca="false">IF($A32="","",SUMIFS(JOURNAL!$H$8:$H$1007,JOURNAL!$E$8:$E$1007,"Salaires",JOURNAL!$B$8:$B$1007,$A32))</f>
        <v>0</v>
      </c>
      <c r="J32" s="93" t="n">
        <f aca="false">IF($A32="","",SUMIFS(JOURNAL!$H$8:$H$1007,JOURNAL!$E$8:$E$1007,"Loyer",JOURNAL!$B$8:$B$1007,$A32)+SUMIFS(JOURNAL!$H$8:$H$1007,JOURNAL!$E$8:$E$1007,"Eau &amp; Électricité",JOURNAL!$B$8:$B$1007,$A32)+SUMIFS(JOURNAL!$H$8:$H$1007,JOURNAL!$E$8:$E$1007,"Internet &amp; Télécom",JOURNAL!$B$8:$B$1007,$A32)+SUMIFS(JOURNAL!$H$8:$H$1007,JOURNAL!$E$8:$E$1007,"Taxes &amp; Impôts",JOURNAL!$B$8:$B$1007,$A32)+SUMIFS(JOURNAL!$H$8:$H$1007,JOURNAL!$E$8:$E$1007,"Abonnements",JOURNAL!$B$8:$B$1007,$A32)+SUMIFS(JOURNAL!$H$8:$H$1007,JOURNAL!$E$8:$E$1007,"Entretien &amp; Réparation",JOURNAL!$B$8:$B$1007,$A32))</f>
        <v>0</v>
      </c>
      <c r="K32" s="93" t="n">
        <f aca="false">IF($A32="","",SUMIFS(JOURNAL!$H$8:$H$1007,JOURNAL!$E$8:$E$1007,"Virement Banque",JOURNAL!$B$8:$B$1007,$A32)+SUMIFS(JOURNAL!$H$8:$H$1007,JOURNAL!$E$8:$E$1007,"Virement Associés",JOURNAL!$B$8:$B$1007,$A32))</f>
        <v>0</v>
      </c>
      <c r="L32" s="93" t="n">
        <f aca="false">IF($A32="","",$M32-SUM($G32:$K32))</f>
        <v>0</v>
      </c>
      <c r="M32" s="95" t="n">
        <f aca="false">IF($A32="","",SUMIFS(JOURNAL!$H$8:$H$1007,JOURNAL!$D$8:$D$1007,"DEPENSE",JOURNAL!$B$8:$B$1007,$A32))</f>
        <v>591</v>
      </c>
      <c r="N32" s="96" t="n">
        <f aca="false">IF($A32="","",$F32-$M32)</f>
        <v>1096</v>
      </c>
      <c r="O32" s="97" t="n">
        <f aca="false">IF($A32="","",$O31+$N32)</f>
        <v>4223</v>
      </c>
      <c r="P32" s="93" t="n">
        <f aca="false">IF($A32="","",IF($F32=0,"—",$F32-PARAMETRES!$C$20))</f>
        <v>-513</v>
      </c>
    </row>
    <row r="33" customFormat="false" ht="18" hidden="false" customHeight="true" outlineLevel="0" collapsed="false">
      <c r="A33" s="98" t="n">
        <f aca="false">IF(28&gt;PARAMETRES!$C$16,"",DATE(PARAMETRES!$C$12,PARAMETRES!$C$13,28))</f>
        <v>46262</v>
      </c>
      <c r="B33" s="99" t="str">
        <f aca="false">IF($A33="","",CHOOSE(WEEKDAY($A33,2),"Lundi","Mardi","Mercredi","Jeudi","Vendredi","Samedi","Dimanche"))</f>
        <v>Vendredi</v>
      </c>
      <c r="C33" s="100" t="n">
        <f aca="false">IF($A33="","",SUMIFS(JOURNAL!$H$8:$H$1007,JOURNAL!$E$8:$E$1007,"Vente Caisse",JOURNAL!$B$8:$B$1007,$A33)+SUMIFS(JOURNAL!$H$8:$H$1007,JOURNAL!$E$8:$E$1007,"Terrasse",JOURNAL!$B$8:$B$1007,$A33)+SUMIFS(JOURNAL!$H$8:$H$1007,JOURNAL!$E$8:$E$1007,"Autre Recette",JOURNAL!$B$8:$B$1007,$A33))</f>
        <v>0</v>
      </c>
      <c r="D33" s="100" t="n">
        <f aca="false">IF($A33="","",SUMIFS(JOURNAL!$H$8:$H$1007,JOURNAL!$E$8:$E$1007,"Glovo Espèce",JOURNAL!$B$8:$B$1007,$A33))</f>
        <v>0</v>
      </c>
      <c r="E33" s="100" t="n">
        <f aca="false">IF($A33="","",SUMIFS(JOURNAL!$H$8:$H$1007,JOURNAL!$E$8:$E$1007,"Glovo Carte",JOURNAL!$B$8:$B$1007,$A33))</f>
        <v>0</v>
      </c>
      <c r="F33" s="101" t="n">
        <f aca="false">IF($A33="","",SUM($C33:$E33))</f>
        <v>0</v>
      </c>
      <c r="G33" s="100" t="n">
        <f aca="false">IF($A33="","",SUMIFS(JOURNAL!$H$8:$H$1007,JOURNAL!$E$8:$E$1007,"Boissons",JOURNAL!$B$8:$B$1007,$A33)+SUMIFS(JOURNAL!$H$8:$H$1007,JOURNAL!$E$8:$E$1007,"Café &amp; Torréfaction",JOURNAL!$B$8:$B$1007,$A33)+SUMIFS(JOURNAL!$H$8:$H$1007,JOURNAL!$E$8:$E$1007,"Boulangerie",JOURNAL!$B$8:$B$1007,$A33)+SUMIFS(JOURNAL!$H$8:$H$1007,JOURNAL!$E$8:$E$1007,"Fruits &amp; Légumes",JOURNAL!$B$8:$B$1007,$A33)+SUMIFS(JOURNAL!$H$8:$H$1007,JOURNAL!$E$8:$E$1007,"Épicerie &amp; Divers",JOURNAL!$B$8:$B$1007,$A33))</f>
        <v>0</v>
      </c>
      <c r="H33" s="100" t="n">
        <f aca="false">IF($A33="","",SUMIFS(JOURNAL!$H$8:$H$1007,JOURNAL!$E$8:$E$1007,"Nettoyage",JOURNAL!$B$8:$B$1007,$A33))</f>
        <v>0</v>
      </c>
      <c r="I33" s="100" t="n">
        <f aca="false">IF($A33="","",SUMIFS(JOURNAL!$H$8:$H$1007,JOURNAL!$E$8:$E$1007,"Salaires",JOURNAL!$B$8:$B$1007,$A33))</f>
        <v>0</v>
      </c>
      <c r="J33" s="100" t="n">
        <f aca="false">IF($A33="","",SUMIFS(JOURNAL!$H$8:$H$1007,JOURNAL!$E$8:$E$1007,"Loyer",JOURNAL!$B$8:$B$1007,$A33)+SUMIFS(JOURNAL!$H$8:$H$1007,JOURNAL!$E$8:$E$1007,"Eau &amp; Électricité",JOURNAL!$B$8:$B$1007,$A33)+SUMIFS(JOURNAL!$H$8:$H$1007,JOURNAL!$E$8:$E$1007,"Internet &amp; Télécom",JOURNAL!$B$8:$B$1007,$A33)+SUMIFS(JOURNAL!$H$8:$H$1007,JOURNAL!$E$8:$E$1007,"Taxes &amp; Impôts",JOURNAL!$B$8:$B$1007,$A33)+SUMIFS(JOURNAL!$H$8:$H$1007,JOURNAL!$E$8:$E$1007,"Abonnements",JOURNAL!$B$8:$B$1007,$A33)+SUMIFS(JOURNAL!$H$8:$H$1007,JOURNAL!$E$8:$E$1007,"Entretien &amp; Réparation",JOURNAL!$B$8:$B$1007,$A33))</f>
        <v>0</v>
      </c>
      <c r="K33" s="100" t="n">
        <f aca="false">IF($A33="","",SUMIFS(JOURNAL!$H$8:$H$1007,JOURNAL!$E$8:$E$1007,"Virement Banque",JOURNAL!$B$8:$B$1007,$A33)+SUMIFS(JOURNAL!$H$8:$H$1007,JOURNAL!$E$8:$E$1007,"Virement Associés",JOURNAL!$B$8:$B$1007,$A33))</f>
        <v>0</v>
      </c>
      <c r="L33" s="100" t="n">
        <f aca="false">IF($A33="","",$M33-SUM($G33:$K33))</f>
        <v>0</v>
      </c>
      <c r="M33" s="102" t="n">
        <f aca="false">IF($A33="","",SUMIFS(JOURNAL!$H$8:$H$1007,JOURNAL!$D$8:$D$1007,"DEPENSE",JOURNAL!$B$8:$B$1007,$A33))</f>
        <v>0</v>
      </c>
      <c r="N33" s="103" t="n">
        <f aca="false">IF($A33="","",$F33-$M33)</f>
        <v>0</v>
      </c>
      <c r="O33" s="104" t="n">
        <f aca="false">IF($A33="","",$O32+$N33)</f>
        <v>4223</v>
      </c>
      <c r="P33" s="100" t="str">
        <f aca="false">IF($A33="","",IF($F33=0,"—",$F33-PARAMETRES!$C$20))</f>
        <v>—</v>
      </c>
    </row>
    <row r="34" customFormat="false" ht="18" hidden="false" customHeight="true" outlineLevel="0" collapsed="false">
      <c r="A34" s="91" t="n">
        <f aca="false">IF(29&gt;PARAMETRES!$C$16,"",DATE(PARAMETRES!$C$12,PARAMETRES!$C$13,29))</f>
        <v>46263</v>
      </c>
      <c r="B34" s="92" t="str">
        <f aca="false">IF($A34="","",CHOOSE(WEEKDAY($A34,2),"Lundi","Mardi","Mercredi","Jeudi","Vendredi","Samedi","Dimanche"))</f>
        <v>Samedi</v>
      </c>
      <c r="C34" s="93" t="n">
        <f aca="false">IF($A34="","",SUMIFS(JOURNAL!$H$8:$H$1007,JOURNAL!$E$8:$E$1007,"Vente Caisse",JOURNAL!$B$8:$B$1007,$A34)+SUMIFS(JOURNAL!$H$8:$H$1007,JOURNAL!$E$8:$E$1007,"Terrasse",JOURNAL!$B$8:$B$1007,$A34)+SUMIFS(JOURNAL!$H$8:$H$1007,JOURNAL!$E$8:$E$1007,"Autre Recette",JOURNAL!$B$8:$B$1007,$A34))</f>
        <v>0</v>
      </c>
      <c r="D34" s="93" t="n">
        <f aca="false">IF($A34="","",SUMIFS(JOURNAL!$H$8:$H$1007,JOURNAL!$E$8:$E$1007,"Glovo Espèce",JOURNAL!$B$8:$B$1007,$A34))</f>
        <v>0</v>
      </c>
      <c r="E34" s="93" t="n">
        <f aca="false">IF($A34="","",SUMIFS(JOURNAL!$H$8:$H$1007,JOURNAL!$E$8:$E$1007,"Glovo Carte",JOURNAL!$B$8:$B$1007,$A34))</f>
        <v>0</v>
      </c>
      <c r="F34" s="94" t="n">
        <f aca="false">IF($A34="","",SUM($C34:$E34))</f>
        <v>0</v>
      </c>
      <c r="G34" s="93" t="n">
        <f aca="false">IF($A34="","",SUMIFS(JOURNAL!$H$8:$H$1007,JOURNAL!$E$8:$E$1007,"Boissons",JOURNAL!$B$8:$B$1007,$A34)+SUMIFS(JOURNAL!$H$8:$H$1007,JOURNAL!$E$8:$E$1007,"Café &amp; Torréfaction",JOURNAL!$B$8:$B$1007,$A34)+SUMIFS(JOURNAL!$H$8:$H$1007,JOURNAL!$E$8:$E$1007,"Boulangerie",JOURNAL!$B$8:$B$1007,$A34)+SUMIFS(JOURNAL!$H$8:$H$1007,JOURNAL!$E$8:$E$1007,"Fruits &amp; Légumes",JOURNAL!$B$8:$B$1007,$A34)+SUMIFS(JOURNAL!$H$8:$H$1007,JOURNAL!$E$8:$E$1007,"Épicerie &amp; Divers",JOURNAL!$B$8:$B$1007,$A34))</f>
        <v>0</v>
      </c>
      <c r="H34" s="93" t="n">
        <f aca="false">IF($A34="","",SUMIFS(JOURNAL!$H$8:$H$1007,JOURNAL!$E$8:$E$1007,"Nettoyage",JOURNAL!$B$8:$B$1007,$A34))</f>
        <v>0</v>
      </c>
      <c r="I34" s="93" t="n">
        <f aca="false">IF($A34="","",SUMIFS(JOURNAL!$H$8:$H$1007,JOURNAL!$E$8:$E$1007,"Salaires",JOURNAL!$B$8:$B$1007,$A34))</f>
        <v>0</v>
      </c>
      <c r="J34" s="93" t="n">
        <f aca="false">IF($A34="","",SUMIFS(JOURNAL!$H$8:$H$1007,JOURNAL!$E$8:$E$1007,"Loyer",JOURNAL!$B$8:$B$1007,$A34)+SUMIFS(JOURNAL!$H$8:$H$1007,JOURNAL!$E$8:$E$1007,"Eau &amp; Électricité",JOURNAL!$B$8:$B$1007,$A34)+SUMIFS(JOURNAL!$H$8:$H$1007,JOURNAL!$E$8:$E$1007,"Internet &amp; Télécom",JOURNAL!$B$8:$B$1007,$A34)+SUMIFS(JOURNAL!$H$8:$H$1007,JOURNAL!$E$8:$E$1007,"Taxes &amp; Impôts",JOURNAL!$B$8:$B$1007,$A34)+SUMIFS(JOURNAL!$H$8:$H$1007,JOURNAL!$E$8:$E$1007,"Abonnements",JOURNAL!$B$8:$B$1007,$A34)+SUMIFS(JOURNAL!$H$8:$H$1007,JOURNAL!$E$8:$E$1007,"Entretien &amp; Réparation",JOURNAL!$B$8:$B$1007,$A34))</f>
        <v>0</v>
      </c>
      <c r="K34" s="93" t="n">
        <f aca="false">IF($A34="","",SUMIFS(JOURNAL!$H$8:$H$1007,JOURNAL!$E$8:$E$1007,"Virement Banque",JOURNAL!$B$8:$B$1007,$A34)+SUMIFS(JOURNAL!$H$8:$H$1007,JOURNAL!$E$8:$E$1007,"Virement Associés",JOURNAL!$B$8:$B$1007,$A34))</f>
        <v>0</v>
      </c>
      <c r="L34" s="93" t="n">
        <f aca="false">IF($A34="","",$M34-SUM($G34:$K34))</f>
        <v>0</v>
      </c>
      <c r="M34" s="95" t="n">
        <f aca="false">IF($A34="","",SUMIFS(JOURNAL!$H$8:$H$1007,JOURNAL!$D$8:$D$1007,"DEPENSE",JOURNAL!$B$8:$B$1007,$A34))</f>
        <v>0</v>
      </c>
      <c r="N34" s="96" t="n">
        <f aca="false">IF($A34="","",$F34-$M34)</f>
        <v>0</v>
      </c>
      <c r="O34" s="97" t="n">
        <f aca="false">IF($A34="","",$O33+$N34)</f>
        <v>4223</v>
      </c>
      <c r="P34" s="93" t="str">
        <f aca="false">IF($A34="","",IF($F34=0,"—",$F34-PARAMETRES!$C$20))</f>
        <v>—</v>
      </c>
    </row>
    <row r="35" customFormat="false" ht="18" hidden="false" customHeight="true" outlineLevel="0" collapsed="false">
      <c r="A35" s="98" t="n">
        <f aca="false">IF(30&gt;PARAMETRES!$C$16,"",DATE(PARAMETRES!$C$12,PARAMETRES!$C$13,30))</f>
        <v>46264</v>
      </c>
      <c r="B35" s="99" t="str">
        <f aca="false">IF($A35="","",CHOOSE(WEEKDAY($A35,2),"Lundi","Mardi","Mercredi","Jeudi","Vendredi","Samedi","Dimanche"))</f>
        <v>Dimanche</v>
      </c>
      <c r="C35" s="100" t="n">
        <f aca="false">IF($A35="","",SUMIFS(JOURNAL!$H$8:$H$1007,JOURNAL!$E$8:$E$1007,"Vente Caisse",JOURNAL!$B$8:$B$1007,$A35)+SUMIFS(JOURNAL!$H$8:$H$1007,JOURNAL!$E$8:$E$1007,"Terrasse",JOURNAL!$B$8:$B$1007,$A35)+SUMIFS(JOURNAL!$H$8:$H$1007,JOURNAL!$E$8:$E$1007,"Autre Recette",JOURNAL!$B$8:$B$1007,$A35))</f>
        <v>0</v>
      </c>
      <c r="D35" s="100" t="n">
        <f aca="false">IF($A35="","",SUMIFS(JOURNAL!$H$8:$H$1007,JOURNAL!$E$8:$E$1007,"Glovo Espèce",JOURNAL!$B$8:$B$1007,$A35))</f>
        <v>0</v>
      </c>
      <c r="E35" s="100" t="n">
        <f aca="false">IF($A35="","",SUMIFS(JOURNAL!$H$8:$H$1007,JOURNAL!$E$8:$E$1007,"Glovo Carte",JOURNAL!$B$8:$B$1007,$A35))</f>
        <v>0</v>
      </c>
      <c r="F35" s="101" t="n">
        <f aca="false">IF($A35="","",SUM($C35:$E35))</f>
        <v>0</v>
      </c>
      <c r="G35" s="100" t="n">
        <f aca="false">IF($A35="","",SUMIFS(JOURNAL!$H$8:$H$1007,JOURNAL!$E$8:$E$1007,"Boissons",JOURNAL!$B$8:$B$1007,$A35)+SUMIFS(JOURNAL!$H$8:$H$1007,JOURNAL!$E$8:$E$1007,"Café &amp; Torréfaction",JOURNAL!$B$8:$B$1007,$A35)+SUMIFS(JOURNAL!$H$8:$H$1007,JOURNAL!$E$8:$E$1007,"Boulangerie",JOURNAL!$B$8:$B$1007,$A35)+SUMIFS(JOURNAL!$H$8:$H$1007,JOURNAL!$E$8:$E$1007,"Fruits &amp; Légumes",JOURNAL!$B$8:$B$1007,$A35)+SUMIFS(JOURNAL!$H$8:$H$1007,JOURNAL!$E$8:$E$1007,"Épicerie &amp; Divers",JOURNAL!$B$8:$B$1007,$A35))</f>
        <v>0</v>
      </c>
      <c r="H35" s="100" t="n">
        <f aca="false">IF($A35="","",SUMIFS(JOURNAL!$H$8:$H$1007,JOURNAL!$E$8:$E$1007,"Nettoyage",JOURNAL!$B$8:$B$1007,$A35))</f>
        <v>0</v>
      </c>
      <c r="I35" s="100" t="n">
        <f aca="false">IF($A35="","",SUMIFS(JOURNAL!$H$8:$H$1007,JOURNAL!$E$8:$E$1007,"Salaires",JOURNAL!$B$8:$B$1007,$A35))</f>
        <v>0</v>
      </c>
      <c r="J35" s="100" t="n">
        <f aca="false">IF($A35="","",SUMIFS(JOURNAL!$H$8:$H$1007,JOURNAL!$E$8:$E$1007,"Loyer",JOURNAL!$B$8:$B$1007,$A35)+SUMIFS(JOURNAL!$H$8:$H$1007,JOURNAL!$E$8:$E$1007,"Eau &amp; Électricité",JOURNAL!$B$8:$B$1007,$A35)+SUMIFS(JOURNAL!$H$8:$H$1007,JOURNAL!$E$8:$E$1007,"Internet &amp; Télécom",JOURNAL!$B$8:$B$1007,$A35)+SUMIFS(JOURNAL!$H$8:$H$1007,JOURNAL!$E$8:$E$1007,"Taxes &amp; Impôts",JOURNAL!$B$8:$B$1007,$A35)+SUMIFS(JOURNAL!$H$8:$H$1007,JOURNAL!$E$8:$E$1007,"Abonnements",JOURNAL!$B$8:$B$1007,$A35)+SUMIFS(JOURNAL!$H$8:$H$1007,JOURNAL!$E$8:$E$1007,"Entretien &amp; Réparation",JOURNAL!$B$8:$B$1007,$A35))</f>
        <v>0</v>
      </c>
      <c r="K35" s="100" t="n">
        <f aca="false">IF($A35="","",SUMIFS(JOURNAL!$H$8:$H$1007,JOURNAL!$E$8:$E$1007,"Virement Banque",JOURNAL!$B$8:$B$1007,$A35)+SUMIFS(JOURNAL!$H$8:$H$1007,JOURNAL!$E$8:$E$1007,"Virement Associés",JOURNAL!$B$8:$B$1007,$A35))</f>
        <v>0</v>
      </c>
      <c r="L35" s="100" t="n">
        <f aca="false">IF($A35="","",$M35-SUM($G35:$K35))</f>
        <v>0</v>
      </c>
      <c r="M35" s="102" t="n">
        <f aca="false">IF($A35="","",SUMIFS(JOURNAL!$H$8:$H$1007,JOURNAL!$D$8:$D$1007,"DEPENSE",JOURNAL!$B$8:$B$1007,$A35))</f>
        <v>0</v>
      </c>
      <c r="N35" s="103" t="n">
        <f aca="false">IF($A35="","",$F35-$M35)</f>
        <v>0</v>
      </c>
      <c r="O35" s="104" t="n">
        <f aca="false">IF($A35="","",$O34+$N35)</f>
        <v>4223</v>
      </c>
      <c r="P35" s="100" t="str">
        <f aca="false">IF($A35="","",IF($F35=0,"—",$F35-PARAMETRES!$C$20))</f>
        <v>—</v>
      </c>
    </row>
    <row r="36" customFormat="false" ht="18" hidden="false" customHeight="true" outlineLevel="0" collapsed="false">
      <c r="A36" s="91" t="n">
        <f aca="false">IF(31&gt;PARAMETRES!$C$16,"",DATE(PARAMETRES!$C$12,PARAMETRES!$C$13,31))</f>
        <v>46265</v>
      </c>
      <c r="B36" s="92" t="str">
        <f aca="false">IF($A36="","",CHOOSE(WEEKDAY($A36,2),"Lundi","Mardi","Mercredi","Jeudi","Vendredi","Samedi","Dimanche"))</f>
        <v>Lundi</v>
      </c>
      <c r="C36" s="93" t="n">
        <f aca="false">IF($A36="","",SUMIFS(JOURNAL!$H$8:$H$1007,JOURNAL!$E$8:$E$1007,"Vente Caisse",JOURNAL!$B$8:$B$1007,$A36)+SUMIFS(JOURNAL!$H$8:$H$1007,JOURNAL!$E$8:$E$1007,"Terrasse",JOURNAL!$B$8:$B$1007,$A36)+SUMIFS(JOURNAL!$H$8:$H$1007,JOURNAL!$E$8:$E$1007,"Autre Recette",JOURNAL!$B$8:$B$1007,$A36))</f>
        <v>0</v>
      </c>
      <c r="D36" s="93" t="n">
        <f aca="false">IF($A36="","",SUMIFS(JOURNAL!$H$8:$H$1007,JOURNAL!$E$8:$E$1007,"Glovo Espèce",JOURNAL!$B$8:$B$1007,$A36))</f>
        <v>0</v>
      </c>
      <c r="E36" s="93" t="n">
        <f aca="false">IF($A36="","",SUMIFS(JOURNAL!$H$8:$H$1007,JOURNAL!$E$8:$E$1007,"Glovo Carte",JOURNAL!$B$8:$B$1007,$A36))</f>
        <v>0</v>
      </c>
      <c r="F36" s="94" t="n">
        <f aca="false">IF($A36="","",SUM($C36:$E36))</f>
        <v>0</v>
      </c>
      <c r="G36" s="93" t="n">
        <f aca="false">IF($A36="","",SUMIFS(JOURNAL!$H$8:$H$1007,JOURNAL!$E$8:$E$1007,"Boissons",JOURNAL!$B$8:$B$1007,$A36)+SUMIFS(JOURNAL!$H$8:$H$1007,JOURNAL!$E$8:$E$1007,"Café &amp; Torréfaction",JOURNAL!$B$8:$B$1007,$A36)+SUMIFS(JOURNAL!$H$8:$H$1007,JOURNAL!$E$8:$E$1007,"Boulangerie",JOURNAL!$B$8:$B$1007,$A36)+SUMIFS(JOURNAL!$H$8:$H$1007,JOURNAL!$E$8:$E$1007,"Fruits &amp; Légumes",JOURNAL!$B$8:$B$1007,$A36)+SUMIFS(JOURNAL!$H$8:$H$1007,JOURNAL!$E$8:$E$1007,"Épicerie &amp; Divers",JOURNAL!$B$8:$B$1007,$A36))</f>
        <v>0</v>
      </c>
      <c r="H36" s="93" t="n">
        <f aca="false">IF($A36="","",SUMIFS(JOURNAL!$H$8:$H$1007,JOURNAL!$E$8:$E$1007,"Nettoyage",JOURNAL!$B$8:$B$1007,$A36))</f>
        <v>0</v>
      </c>
      <c r="I36" s="93" t="n">
        <f aca="false">IF($A36="","",SUMIFS(JOURNAL!$H$8:$H$1007,JOURNAL!$E$8:$E$1007,"Salaires",JOURNAL!$B$8:$B$1007,$A36))</f>
        <v>0</v>
      </c>
      <c r="J36" s="93" t="n">
        <f aca="false">IF($A36="","",SUMIFS(JOURNAL!$H$8:$H$1007,JOURNAL!$E$8:$E$1007,"Loyer",JOURNAL!$B$8:$B$1007,$A36)+SUMIFS(JOURNAL!$H$8:$H$1007,JOURNAL!$E$8:$E$1007,"Eau &amp; Électricité",JOURNAL!$B$8:$B$1007,$A36)+SUMIFS(JOURNAL!$H$8:$H$1007,JOURNAL!$E$8:$E$1007,"Internet &amp; Télécom",JOURNAL!$B$8:$B$1007,$A36)+SUMIFS(JOURNAL!$H$8:$H$1007,JOURNAL!$E$8:$E$1007,"Taxes &amp; Impôts",JOURNAL!$B$8:$B$1007,$A36)+SUMIFS(JOURNAL!$H$8:$H$1007,JOURNAL!$E$8:$E$1007,"Abonnements",JOURNAL!$B$8:$B$1007,$A36)+SUMIFS(JOURNAL!$H$8:$H$1007,JOURNAL!$E$8:$E$1007,"Entretien &amp; Réparation",JOURNAL!$B$8:$B$1007,$A36))</f>
        <v>0</v>
      </c>
      <c r="K36" s="93" t="n">
        <f aca="false">IF($A36="","",SUMIFS(JOURNAL!$H$8:$H$1007,JOURNAL!$E$8:$E$1007,"Virement Banque",JOURNAL!$B$8:$B$1007,$A36)+SUMIFS(JOURNAL!$H$8:$H$1007,JOURNAL!$E$8:$E$1007,"Virement Associés",JOURNAL!$B$8:$B$1007,$A36))</f>
        <v>0</v>
      </c>
      <c r="L36" s="93" t="n">
        <f aca="false">IF($A36="","",$M36-SUM($G36:$K36))</f>
        <v>0</v>
      </c>
      <c r="M36" s="95" t="n">
        <f aca="false">IF($A36="","",SUMIFS(JOURNAL!$H$8:$H$1007,JOURNAL!$D$8:$D$1007,"DEPENSE",JOURNAL!$B$8:$B$1007,$A36))</f>
        <v>0</v>
      </c>
      <c r="N36" s="96" t="n">
        <f aca="false">IF($A36="","",$F36-$M36)</f>
        <v>0</v>
      </c>
      <c r="O36" s="97" t="n">
        <f aca="false">IF($A36="","",$O35+$N36)</f>
        <v>4223</v>
      </c>
      <c r="P36" s="93" t="str">
        <f aca="false">IF($A36="","",IF($F36=0,"—",$F36-PARAMETRES!$C$20))</f>
        <v>—</v>
      </c>
    </row>
    <row r="37" customFormat="false" ht="24" hidden="false" customHeight="true" outlineLevel="0" collapsed="false">
      <c r="A37" s="63" t="s">
        <v>171</v>
      </c>
      <c r="B37" s="63"/>
      <c r="C37" s="64" t="n">
        <f aca="false">SUM(C6:C36)</f>
        <v>54937</v>
      </c>
      <c r="D37" s="64" t="n">
        <f aca="false">SUM(D6:D36)</f>
        <v>0</v>
      </c>
      <c r="E37" s="64" t="n">
        <f aca="false">SUM(E6:E36)</f>
        <v>0</v>
      </c>
      <c r="F37" s="64" t="n">
        <f aca="false">SUM(F6:F36)</f>
        <v>54937</v>
      </c>
      <c r="G37" s="64" t="n">
        <f aca="false">SUM(G6:G36)</f>
        <v>20479</v>
      </c>
      <c r="H37" s="64" t="n">
        <f aca="false">SUM(H6:H36)</f>
        <v>4050</v>
      </c>
      <c r="I37" s="64" t="n">
        <f aca="false">SUM(I6:I36)</f>
        <v>12400</v>
      </c>
      <c r="J37" s="64" t="n">
        <f aca="false">SUM(J6:J36)</f>
        <v>13785</v>
      </c>
      <c r="K37" s="64" t="n">
        <f aca="false">SUM(K6:K36)</f>
        <v>0</v>
      </c>
      <c r="L37" s="64" t="n">
        <f aca="false">SUM(L6:L36)</f>
        <v>0</v>
      </c>
      <c r="M37" s="64" t="n">
        <f aca="false">SUM(M6:M36)</f>
        <v>50714</v>
      </c>
      <c r="N37" s="64" t="n">
        <f aca="false">SUM(N6:N36)</f>
        <v>4223</v>
      </c>
      <c r="O37" s="64" t="n">
        <f aca="false">$O36</f>
        <v>4223</v>
      </c>
      <c r="P37" s="64" t="n">
        <f aca="false">SUMIF($F$6:$F$36,"&gt;0",$P$6:$P$36)</f>
        <v>-4463</v>
      </c>
    </row>
    <row r="38" customFormat="false" ht="19.5" hidden="false" customHeight="true" outlineLevel="0" collapsed="false">
      <c r="A38" s="105" t="s">
        <v>172</v>
      </c>
      <c r="B38" s="105"/>
      <c r="C38" s="106"/>
      <c r="D38" s="106"/>
      <c r="E38" s="106"/>
      <c r="F38" s="106"/>
      <c r="G38" s="107" t="n">
        <f aca="false">IFERROR(G37/$F$37,0)</f>
        <v>0.372772448440941</v>
      </c>
      <c r="H38" s="107" t="n">
        <f aca="false">IFERROR(H37/$F$37,0)</f>
        <v>0.0737208074703752</v>
      </c>
      <c r="I38" s="107" t="n">
        <f aca="false">IFERROR(I37/$F$37,0)</f>
        <v>0.225713089538926</v>
      </c>
      <c r="J38" s="107" t="n">
        <f aca="false">IFERROR(J37/$F$37,0)</f>
        <v>0.250923785426944</v>
      </c>
      <c r="K38" s="107" t="n">
        <f aca="false">IFERROR(K37/$F$37,0)</f>
        <v>0</v>
      </c>
      <c r="L38" s="106"/>
      <c r="M38" s="107" t="n">
        <f aca="false">IFERROR(M37/$F$37,0)</f>
        <v>0.923130130877187</v>
      </c>
      <c r="N38" s="106"/>
      <c r="O38" s="106"/>
      <c r="P38" s="106"/>
    </row>
    <row r="40" customFormat="false" ht="43.5" hidden="false" customHeight="true" outlineLevel="0" collapsed="false">
      <c r="A40" s="36" t="s">
        <v>173</v>
      </c>
      <c r="B40" s="36"/>
      <c r="C40" s="36"/>
      <c r="D40" s="36"/>
      <c r="E40" s="36"/>
      <c r="F40" s="36"/>
      <c r="G40" s="36"/>
      <c r="H40" s="36"/>
      <c r="I40" s="36"/>
      <c r="J40" s="36"/>
      <c r="K40" s="36"/>
      <c r="L40" s="36"/>
      <c r="M40" s="36"/>
      <c r="N40" s="36"/>
      <c r="O40" s="36"/>
      <c r="P40" s="36"/>
    </row>
  </sheetData>
  <mergeCells count="6">
    <mergeCell ref="A1:P1"/>
    <mergeCell ref="A2:P2"/>
    <mergeCell ref="A3:F3"/>
    <mergeCell ref="A37:B37"/>
    <mergeCell ref="A38:B38"/>
    <mergeCell ref="A40:P40"/>
  </mergeCells>
  <conditionalFormatting sqref="N6:N36">
    <cfRule type="cellIs" priority="2" operator="lessThan" aboveAverage="0" equalAverage="0" bottom="0" percent="0" rank="0" text="" dxfId="12">
      <formula>0</formula>
    </cfRule>
    <cfRule type="cellIs" priority="3" operator="greaterThan" aboveAverage="0" equalAverage="0" bottom="0" percent="0" rank="0" text="" dxfId="13">
      <formula>0</formula>
    </cfRule>
  </conditionalFormatting>
  <conditionalFormatting sqref="O6:O36">
    <cfRule type="cellIs" priority="4" operator="lessThan" aboveAverage="0" equalAverage="0" bottom="0" percent="0" rank="0" text="" dxfId="12">
      <formula>PARAMETRES!$C$21</formula>
    </cfRule>
  </conditionalFormatting>
  <conditionalFormatting sqref="P6:P36">
    <cfRule type="cellIs" priority="5" operator="greaterThanOrEqual" aboveAverage="0" equalAverage="0" bottom="0" percent="0" rank="0" text="" dxfId="13">
      <formula>0</formula>
    </cfRule>
    <cfRule type="cellIs" priority="6" operator="lessThan" aboveAverage="0" equalAverage="0" bottom="0" percent="0" rank="0" text="" dxfId="14">
      <formula>0</formula>
    </cfRule>
  </conditionalFormatting>
  <conditionalFormatting sqref="F6:F36">
    <cfRule type="dataBar" priority="7">
      <dataBar showValue="1" minLength="10" maxLength="90">
        <cfvo type="num" val="0"/>
        <cfvo type="percentile" val="98"/>
        <color rgb="FF9CCC9C"/>
      </dataBar>
      <extLst>
        <ext xmlns:x14="http://schemas.microsoft.com/office/spreadsheetml/2009/9/main" uri="{B025F937-C7B1-47D3-B67F-A62EFF666E3E}">
          <x14:id>{B49C368A-C448-4F25-B0FE-4FA84159C2B3}</x14:id>
        </ext>
      </extLst>
    </cfRule>
  </conditionalFormatting>
  <conditionalFormatting sqref="A6:P36">
    <cfRule type="expression" priority="8" aboveAverage="0" equalAverage="0" bottom="0" percent="0" rank="0" text="" dxfId="15">
      <formula>AND($A6&lt;&gt;"",WEEKDAY($A6,2)&gt;5)</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B49C368A-C448-4F25-B0FE-4FA84159C2B3}">
            <x14:dataBar minLength="10" maxLength="90" axisPosition="none" gradient="true">
              <x14:cfvo type="num">
                <xm:f>0</xm:f>
              </x14:cfvo>
              <x14:cfvo type="percentile">
                <xm:f>98</xm:f>
              </x14:cfvo>
              <x14:negativeFillColor rgb="FF9CCC9C"/>
              <x14:axisColor rgb="FF000000"/>
            </x14:dataBar>
          </x14:cfRule>
          <xm:sqref>F6:F36</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4037"/>
    <pageSetUpPr fitToPage="true"/>
  </sheetPr>
  <dimension ref="A1:K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5"/>
    <col collapsed="false" customWidth="true" hidden="false" outlineLevel="0" max="3" min="3" style="0" width="14"/>
    <col collapsed="false" customWidth="true" hidden="false" outlineLevel="0" max="4" min="4" style="0" width="11"/>
    <col collapsed="false" customWidth="true" hidden="false" outlineLevel="0" max="6" min="5" style="0" width="14"/>
    <col collapsed="false" customWidth="true" hidden="false" outlineLevel="0" max="7" min="7" style="0" width="13"/>
    <col collapsed="false" customWidth="true" hidden="false" outlineLevel="0" max="9" min="8" style="0" width="15"/>
    <col collapsed="false" customWidth="true" hidden="false" outlineLevel="0" max="10" min="10" style="0" width="11"/>
    <col collapsed="false" customWidth="true" hidden="false" outlineLevel="0" max="11" min="11" style="0" width="14"/>
  </cols>
  <sheetData>
    <row r="1" customFormat="false" ht="37.5" hidden="false" customHeight="true" outlineLevel="0" collapsed="false">
      <c r="A1" s="37" t="s">
        <v>34</v>
      </c>
      <c r="B1" s="37"/>
      <c r="C1" s="37"/>
      <c r="D1" s="37"/>
      <c r="E1" s="37"/>
      <c r="F1" s="37"/>
      <c r="G1" s="37"/>
      <c r="H1" s="37"/>
      <c r="I1" s="37"/>
      <c r="J1" s="37"/>
      <c r="K1" s="37"/>
    </row>
    <row r="2" customFormat="false" ht="18" hidden="false" customHeight="true" outlineLevel="0" collapsed="false">
      <c r="A2" s="38" t="s">
        <v>174</v>
      </c>
      <c r="B2" s="38"/>
      <c r="C2" s="38"/>
      <c r="D2" s="38"/>
      <c r="E2" s="38"/>
      <c r="F2" s="38"/>
      <c r="G2" s="38"/>
      <c r="H2" s="38"/>
      <c r="I2" s="38"/>
      <c r="J2" s="38"/>
      <c r="K2" s="38"/>
    </row>
    <row r="4" customFormat="false" ht="30" hidden="false" customHeight="true" outlineLevel="0" collapsed="false">
      <c r="A4" s="23" t="s">
        <v>175</v>
      </c>
      <c r="B4" s="23" t="s">
        <v>137</v>
      </c>
      <c r="C4" s="23" t="s">
        <v>176</v>
      </c>
      <c r="D4" s="23" t="s">
        <v>177</v>
      </c>
      <c r="E4" s="23" t="s">
        <v>39</v>
      </c>
      <c r="F4" s="23" t="s">
        <v>164</v>
      </c>
      <c r="G4" s="23" t="s">
        <v>165</v>
      </c>
      <c r="H4" s="23" t="s">
        <v>167</v>
      </c>
      <c r="I4" s="23" t="s">
        <v>178</v>
      </c>
      <c r="J4" s="23" t="s">
        <v>179</v>
      </c>
      <c r="K4" s="23" t="s">
        <v>180</v>
      </c>
    </row>
    <row r="5" customFormat="false" ht="18" hidden="false" customHeight="true" outlineLevel="0" collapsed="false">
      <c r="A5" s="108" t="n">
        <v>45658</v>
      </c>
      <c r="B5" s="109" t="n">
        <v>58097</v>
      </c>
      <c r="C5" s="109" t="n">
        <v>17550</v>
      </c>
      <c r="D5" s="110" t="n">
        <f aca="false">IFERROR($C5/$B5,0)</f>
        <v>0.302081002461401</v>
      </c>
      <c r="E5" s="111" t="s">
        <v>181</v>
      </c>
      <c r="F5" s="111" t="s">
        <v>181</v>
      </c>
      <c r="G5" s="111" t="s">
        <v>181</v>
      </c>
      <c r="H5" s="111" t="s">
        <v>181</v>
      </c>
      <c r="I5" s="111" t="s">
        <v>181</v>
      </c>
      <c r="J5" s="111" t="s">
        <v>181</v>
      </c>
      <c r="K5" s="112" t="n">
        <f aca="false">IFERROR($B5/DAY(EOMONTH($A5,0)),0)</f>
        <v>1874.09677419355</v>
      </c>
    </row>
    <row r="6" customFormat="false" ht="18" hidden="false" customHeight="true" outlineLevel="0" collapsed="false">
      <c r="A6" s="108" t="n">
        <v>45689</v>
      </c>
      <c r="B6" s="109" t="n">
        <v>47774</v>
      </c>
      <c r="C6" s="109" t="n">
        <v>15723</v>
      </c>
      <c r="D6" s="110" t="n">
        <f aca="false">IFERROR($C6/$B6,0)</f>
        <v>0.329112069326412</v>
      </c>
      <c r="E6" s="111" t="s">
        <v>181</v>
      </c>
      <c r="F6" s="111" t="s">
        <v>181</v>
      </c>
      <c r="G6" s="111" t="s">
        <v>181</v>
      </c>
      <c r="H6" s="111" t="s">
        <v>181</v>
      </c>
      <c r="I6" s="111" t="s">
        <v>181</v>
      </c>
      <c r="J6" s="111" t="s">
        <v>181</v>
      </c>
      <c r="K6" s="112" t="n">
        <f aca="false">IFERROR($B6/DAY(EOMONTH($A6,0)),0)</f>
        <v>1706.21428571429</v>
      </c>
    </row>
    <row r="7" customFormat="false" ht="18" hidden="false" customHeight="true" outlineLevel="0" collapsed="false">
      <c r="A7" s="108" t="n">
        <v>45717</v>
      </c>
      <c r="B7" s="109" t="n">
        <v>33629</v>
      </c>
      <c r="C7" s="109" t="n">
        <v>19497</v>
      </c>
      <c r="D7" s="110" t="n">
        <f aca="false">IFERROR($C7/$B7,0)</f>
        <v>0.579767462606679</v>
      </c>
      <c r="E7" s="111" t="s">
        <v>181</v>
      </c>
      <c r="F7" s="111" t="s">
        <v>181</v>
      </c>
      <c r="G7" s="111" t="s">
        <v>181</v>
      </c>
      <c r="H7" s="111" t="s">
        <v>181</v>
      </c>
      <c r="I7" s="111" t="s">
        <v>181</v>
      </c>
      <c r="J7" s="111" t="s">
        <v>181</v>
      </c>
      <c r="K7" s="112" t="n">
        <f aca="false">IFERROR($B7/DAY(EOMONTH($A7,0)),0)</f>
        <v>1084.8064516129</v>
      </c>
    </row>
    <row r="8" customFormat="false" ht="18" hidden="false" customHeight="true" outlineLevel="0" collapsed="false">
      <c r="A8" s="108" t="n">
        <v>45748</v>
      </c>
      <c r="B8" s="109" t="n">
        <v>63101</v>
      </c>
      <c r="C8" s="109" t="n">
        <v>24871</v>
      </c>
      <c r="D8" s="110" t="n">
        <f aca="false">IFERROR($C8/$B8,0)</f>
        <v>0.394145893092027</v>
      </c>
      <c r="E8" s="111" t="s">
        <v>181</v>
      </c>
      <c r="F8" s="111" t="s">
        <v>181</v>
      </c>
      <c r="G8" s="111" t="s">
        <v>181</v>
      </c>
      <c r="H8" s="111" t="s">
        <v>181</v>
      </c>
      <c r="I8" s="111" t="s">
        <v>181</v>
      </c>
      <c r="J8" s="111" t="s">
        <v>181</v>
      </c>
      <c r="K8" s="112" t="n">
        <f aca="false">IFERROR($B8/DAY(EOMONTH($A8,0)),0)</f>
        <v>2103.36666666667</v>
      </c>
    </row>
    <row r="9" customFormat="false" ht="18" hidden="false" customHeight="true" outlineLevel="0" collapsed="false">
      <c r="A9" s="108" t="n">
        <v>45778</v>
      </c>
      <c r="B9" s="109" t="n">
        <v>67697</v>
      </c>
      <c r="C9" s="109" t="n">
        <v>27947</v>
      </c>
      <c r="D9" s="110" t="n">
        <f aca="false">IFERROR($C9/$B9,0)</f>
        <v>0.412824792826861</v>
      </c>
      <c r="E9" s="111" t="s">
        <v>181</v>
      </c>
      <c r="F9" s="111" t="s">
        <v>181</v>
      </c>
      <c r="G9" s="111" t="s">
        <v>181</v>
      </c>
      <c r="H9" s="111" t="s">
        <v>181</v>
      </c>
      <c r="I9" s="111" t="s">
        <v>181</v>
      </c>
      <c r="J9" s="111" t="s">
        <v>181</v>
      </c>
      <c r="K9" s="112" t="n">
        <f aca="false">IFERROR($B9/DAY(EOMONTH($A9,0)),0)</f>
        <v>2183.77419354839</v>
      </c>
    </row>
    <row r="10" customFormat="false" ht="18" hidden="false" customHeight="true" outlineLevel="0" collapsed="false">
      <c r="A10" s="108" t="n">
        <v>45809</v>
      </c>
      <c r="B10" s="109" t="n">
        <v>57443</v>
      </c>
      <c r="C10" s="109" t="n">
        <v>23534</v>
      </c>
      <c r="D10" s="110" t="n">
        <f aca="false">IFERROR($C10/$B10,0)</f>
        <v>0.409693087060216</v>
      </c>
      <c r="E10" s="111" t="s">
        <v>181</v>
      </c>
      <c r="F10" s="111" t="s">
        <v>181</v>
      </c>
      <c r="G10" s="111" t="s">
        <v>181</v>
      </c>
      <c r="H10" s="111" t="s">
        <v>181</v>
      </c>
      <c r="I10" s="111" t="s">
        <v>181</v>
      </c>
      <c r="J10" s="111" t="s">
        <v>181</v>
      </c>
      <c r="K10" s="112" t="n">
        <f aca="false">IFERROR($B10/DAY(EOMONTH($A10,0)),0)</f>
        <v>1914.76666666667</v>
      </c>
    </row>
    <row r="11" customFormat="false" ht="18" hidden="false" customHeight="true" outlineLevel="0" collapsed="false">
      <c r="A11" s="108" t="n">
        <v>45839</v>
      </c>
      <c r="B11" s="109" t="n">
        <v>71948</v>
      </c>
      <c r="C11" s="109" t="n">
        <v>28425</v>
      </c>
      <c r="D11" s="110" t="n">
        <f aca="false">IFERROR($C11/$B11,0)</f>
        <v>0.395077000055596</v>
      </c>
      <c r="E11" s="111" t="s">
        <v>181</v>
      </c>
      <c r="F11" s="111" t="s">
        <v>181</v>
      </c>
      <c r="G11" s="111" t="s">
        <v>181</v>
      </c>
      <c r="H11" s="111" t="s">
        <v>181</v>
      </c>
      <c r="I11" s="111" t="s">
        <v>181</v>
      </c>
      <c r="J11" s="111" t="s">
        <v>181</v>
      </c>
      <c r="K11" s="112" t="n">
        <f aca="false">IFERROR($B11/DAY(EOMONTH($A11,0)),0)</f>
        <v>2320.90322580645</v>
      </c>
    </row>
    <row r="12" customFormat="false" ht="18" hidden="false" customHeight="true" outlineLevel="0" collapsed="false">
      <c r="A12" s="108" t="n">
        <v>45870</v>
      </c>
      <c r="B12" s="109" t="n">
        <v>78294</v>
      </c>
      <c r="C12" s="109" t="n">
        <v>31683</v>
      </c>
      <c r="D12" s="110" t="n">
        <f aca="false">IFERROR($C12/$B12,0)</f>
        <v>0.404667024293049</v>
      </c>
      <c r="E12" s="111" t="s">
        <v>181</v>
      </c>
      <c r="F12" s="111" t="s">
        <v>181</v>
      </c>
      <c r="G12" s="111" t="s">
        <v>181</v>
      </c>
      <c r="H12" s="111" t="s">
        <v>181</v>
      </c>
      <c r="I12" s="111" t="s">
        <v>181</v>
      </c>
      <c r="J12" s="111" t="s">
        <v>181</v>
      </c>
      <c r="K12" s="112" t="n">
        <f aca="false">IFERROR($B12/DAY(EOMONTH($A12,0)),0)</f>
        <v>2525.61290322581</v>
      </c>
    </row>
    <row r="13" customFormat="false" ht="18" hidden="false" customHeight="true" outlineLevel="0" collapsed="false">
      <c r="A13" s="108" t="n">
        <v>45901</v>
      </c>
      <c r="B13" s="109" t="n">
        <v>53925</v>
      </c>
      <c r="C13" s="109" t="n">
        <v>23474</v>
      </c>
      <c r="D13" s="110" t="n">
        <f aca="false">IFERROR($C13/$B13,0)</f>
        <v>0.435308298562819</v>
      </c>
      <c r="E13" s="111" t="s">
        <v>181</v>
      </c>
      <c r="F13" s="111" t="s">
        <v>181</v>
      </c>
      <c r="G13" s="111" t="s">
        <v>181</v>
      </c>
      <c r="H13" s="111" t="s">
        <v>181</v>
      </c>
      <c r="I13" s="111" t="s">
        <v>181</v>
      </c>
      <c r="J13" s="111" t="s">
        <v>181</v>
      </c>
      <c r="K13" s="112" t="n">
        <f aca="false">IFERROR($B13/DAY(EOMONTH($A13,0)),0)</f>
        <v>1797.5</v>
      </c>
    </row>
    <row r="14" customFormat="false" ht="18" hidden="false" customHeight="true" outlineLevel="0" collapsed="false">
      <c r="A14" s="108" t="n">
        <v>45931</v>
      </c>
      <c r="B14" s="109" t="n">
        <v>52669</v>
      </c>
      <c r="C14" s="109" t="n">
        <v>22122</v>
      </c>
      <c r="D14" s="110" t="n">
        <f aca="false">IFERROR($C14/$B14,0)</f>
        <v>0.42001936623061</v>
      </c>
      <c r="E14" s="111" t="s">
        <v>181</v>
      </c>
      <c r="F14" s="111" t="s">
        <v>181</v>
      </c>
      <c r="G14" s="111" t="s">
        <v>181</v>
      </c>
      <c r="H14" s="111" t="s">
        <v>181</v>
      </c>
      <c r="I14" s="111" t="s">
        <v>181</v>
      </c>
      <c r="J14" s="111" t="s">
        <v>181</v>
      </c>
      <c r="K14" s="112" t="n">
        <f aca="false">IFERROR($B14/DAY(EOMONTH($A14,0)),0)</f>
        <v>1699</v>
      </c>
    </row>
    <row r="15" customFormat="false" ht="18" hidden="false" customHeight="true" outlineLevel="0" collapsed="false">
      <c r="A15" s="108" t="n">
        <v>45962</v>
      </c>
      <c r="B15" s="109"/>
      <c r="C15" s="109"/>
      <c r="D15" s="110" t="n">
        <f aca="false">IFERROR($C15/$B15,0)</f>
        <v>0</v>
      </c>
      <c r="E15" s="111" t="s">
        <v>181</v>
      </c>
      <c r="F15" s="111" t="s">
        <v>181</v>
      </c>
      <c r="G15" s="111" t="s">
        <v>181</v>
      </c>
      <c r="H15" s="111" t="s">
        <v>181</v>
      </c>
      <c r="I15" s="111" t="s">
        <v>181</v>
      </c>
      <c r="J15" s="111" t="s">
        <v>181</v>
      </c>
      <c r="K15" s="112" t="n">
        <f aca="false">IFERROR($B15/DAY(EOMONTH($A15,0)),0)</f>
        <v>0</v>
      </c>
    </row>
    <row r="16" customFormat="false" ht="18" hidden="false" customHeight="true" outlineLevel="0" collapsed="false">
      <c r="A16" s="108" t="n">
        <v>45992</v>
      </c>
      <c r="B16" s="109"/>
      <c r="C16" s="109"/>
      <c r="D16" s="110" t="n">
        <f aca="false">IFERROR($C16/$B16,0)</f>
        <v>0</v>
      </c>
      <c r="E16" s="111" t="s">
        <v>181</v>
      </c>
      <c r="F16" s="111" t="s">
        <v>181</v>
      </c>
      <c r="G16" s="111" t="s">
        <v>181</v>
      </c>
      <c r="H16" s="111" t="s">
        <v>181</v>
      </c>
      <c r="I16" s="111" t="s">
        <v>181</v>
      </c>
      <c r="J16" s="111" t="s">
        <v>181</v>
      </c>
      <c r="K16" s="112" t="n">
        <f aca="false">IFERROR($B16/DAY(EOMONTH($A16,0)),0)</f>
        <v>0</v>
      </c>
    </row>
    <row r="17" customFormat="false" ht="18" hidden="false" customHeight="true" outlineLevel="0" collapsed="false">
      <c r="A17" s="113" t="n">
        <v>46023</v>
      </c>
      <c r="B17" s="94" t="n">
        <f aca="false">SUMIFS(JOURNAL!$H$8:$H$1007,JOURNAL!$D$8:$D$1007,"RECETTE",JOURNAL!$C$8:$C$1007,202601)</f>
        <v>0</v>
      </c>
      <c r="C17" s="93" t="n">
        <f aca="false">SUMIFS(JOURNAL!$H$8:$H$1007,JOURNAL!$E$8:$E$1007,"Boissons",JOURNAL!$C$8:$C$1007,202601)+SUMIFS(JOURNAL!$H$8:$H$1007,JOURNAL!$E$8:$E$1007,"Café &amp; Torréfaction",JOURNAL!$C$8:$C$1007,202601)+SUMIFS(JOURNAL!$H$8:$H$1007,JOURNAL!$E$8:$E$1007,"Boulangerie",JOURNAL!$C$8:$C$1007,202601)+SUMIFS(JOURNAL!$H$8:$H$1007,JOURNAL!$E$8:$E$1007,"Fruits &amp; Légumes",JOURNAL!$C$8:$C$1007,202601)+SUMIFS(JOURNAL!$H$8:$H$1007,JOURNAL!$E$8:$E$1007,"Épicerie &amp; Divers",JOURNAL!$C$8:$C$1007,202601)+SUMIFS(JOURNAL!$H$8:$H$1007,JOURNAL!$E$8:$E$1007,"Nettoyage",JOURNAL!$C$8:$C$1007,202601)</f>
        <v>0</v>
      </c>
      <c r="D17" s="114" t="n">
        <f aca="false">IFERROR($C17/$B17,0)</f>
        <v>0</v>
      </c>
      <c r="E17" s="93" t="n">
        <f aca="false">SUMIFS(JOURNAL!$H$8:$H$1007,JOURNAL!$E$8:$E$1007,"Salaires",JOURNAL!$C$8:$C$1007,202601)</f>
        <v>0</v>
      </c>
      <c r="F17" s="93" t="n">
        <f aca="false">SUMIFS(JOURNAL!$H$8:$H$1007,JOURNAL!$E$8:$E$1007,"Loyer",JOURNAL!$C$8:$C$1007,202601)+SUMIFS(JOURNAL!$H$8:$H$1007,JOURNAL!$E$8:$E$1007,"Eau &amp; Électricité",JOURNAL!$C$8:$C$1007,202601)+SUMIFS(JOURNAL!$H$8:$H$1007,JOURNAL!$E$8:$E$1007,"Internet &amp; Télécom",JOURNAL!$C$8:$C$1007,202601)+SUMIFS(JOURNAL!$H$8:$H$1007,JOURNAL!$E$8:$E$1007,"Taxes &amp; Impôts",JOURNAL!$C$8:$C$1007,202601)+SUMIFS(JOURNAL!$H$8:$H$1007,JOURNAL!$E$8:$E$1007,"Abonnements",JOURNAL!$C$8:$C$1007,202601)+SUMIFS(JOURNAL!$H$8:$H$1007,JOURNAL!$E$8:$E$1007,"Entretien &amp; Réparation",JOURNAL!$C$8:$C$1007,202601)</f>
        <v>0</v>
      </c>
      <c r="G17" s="93" t="n">
        <f aca="false">SUMIFS(JOURNAL!$H$8:$H$1007,JOURNAL!$E$8:$E$1007,"Virement Banque",JOURNAL!$C$8:$C$1007,202601)+SUMIFS(JOURNAL!$H$8:$H$1007,JOURNAL!$E$8:$E$1007,"Virement Associés",JOURNAL!$C$8:$C$1007,202601)</f>
        <v>0</v>
      </c>
      <c r="H17" s="95" t="n">
        <f aca="false">SUMIFS(JOURNAL!$H$8:$H$1007,JOURNAL!$D$8:$D$1007,"DEPENSE",JOURNAL!$C$8:$C$1007,202601)</f>
        <v>0</v>
      </c>
      <c r="I17" s="96" t="n">
        <f aca="false">$B17-$H17</f>
        <v>0</v>
      </c>
      <c r="J17" s="115" t="n">
        <f aca="false">IFERROR($I17/$B17,0)</f>
        <v>0</v>
      </c>
      <c r="K17" s="93" t="n">
        <f aca="false">IFERROR($B17/DAY(EOMONTH($A17,0)),0)</f>
        <v>0</v>
      </c>
    </row>
    <row r="18" customFormat="false" ht="18" hidden="false" customHeight="true" outlineLevel="0" collapsed="false">
      <c r="A18" s="116" t="n">
        <v>46054</v>
      </c>
      <c r="B18" s="101" t="n">
        <f aca="false">SUMIFS(JOURNAL!$H$8:$H$1007,JOURNAL!$D$8:$D$1007,"RECETTE",JOURNAL!$C$8:$C$1007,202602)</f>
        <v>0</v>
      </c>
      <c r="C18" s="100" t="n">
        <f aca="false">SUMIFS(JOURNAL!$H$8:$H$1007,JOURNAL!$E$8:$E$1007,"Boissons",JOURNAL!$C$8:$C$1007,202602)+SUMIFS(JOURNAL!$H$8:$H$1007,JOURNAL!$E$8:$E$1007,"Café &amp; Torréfaction",JOURNAL!$C$8:$C$1007,202602)+SUMIFS(JOURNAL!$H$8:$H$1007,JOURNAL!$E$8:$E$1007,"Boulangerie",JOURNAL!$C$8:$C$1007,202602)+SUMIFS(JOURNAL!$H$8:$H$1007,JOURNAL!$E$8:$E$1007,"Fruits &amp; Légumes",JOURNAL!$C$8:$C$1007,202602)+SUMIFS(JOURNAL!$H$8:$H$1007,JOURNAL!$E$8:$E$1007,"Épicerie &amp; Divers",JOURNAL!$C$8:$C$1007,202602)+SUMIFS(JOURNAL!$H$8:$H$1007,JOURNAL!$E$8:$E$1007,"Nettoyage",JOURNAL!$C$8:$C$1007,202602)</f>
        <v>0</v>
      </c>
      <c r="D18" s="117" t="n">
        <f aca="false">IFERROR($C18/$B18,0)</f>
        <v>0</v>
      </c>
      <c r="E18" s="100" t="n">
        <f aca="false">SUMIFS(JOURNAL!$H$8:$H$1007,JOURNAL!$E$8:$E$1007,"Salaires",JOURNAL!$C$8:$C$1007,202602)</f>
        <v>0</v>
      </c>
      <c r="F18" s="100" t="n">
        <f aca="false">SUMIFS(JOURNAL!$H$8:$H$1007,JOURNAL!$E$8:$E$1007,"Loyer",JOURNAL!$C$8:$C$1007,202602)+SUMIFS(JOURNAL!$H$8:$H$1007,JOURNAL!$E$8:$E$1007,"Eau &amp; Électricité",JOURNAL!$C$8:$C$1007,202602)+SUMIFS(JOURNAL!$H$8:$H$1007,JOURNAL!$E$8:$E$1007,"Internet &amp; Télécom",JOURNAL!$C$8:$C$1007,202602)+SUMIFS(JOURNAL!$H$8:$H$1007,JOURNAL!$E$8:$E$1007,"Taxes &amp; Impôts",JOURNAL!$C$8:$C$1007,202602)+SUMIFS(JOURNAL!$H$8:$H$1007,JOURNAL!$E$8:$E$1007,"Abonnements",JOURNAL!$C$8:$C$1007,202602)+SUMIFS(JOURNAL!$H$8:$H$1007,JOURNAL!$E$8:$E$1007,"Entretien &amp; Réparation",JOURNAL!$C$8:$C$1007,202602)</f>
        <v>0</v>
      </c>
      <c r="G18" s="100" t="n">
        <f aca="false">SUMIFS(JOURNAL!$H$8:$H$1007,JOURNAL!$E$8:$E$1007,"Virement Banque",JOURNAL!$C$8:$C$1007,202602)+SUMIFS(JOURNAL!$H$8:$H$1007,JOURNAL!$E$8:$E$1007,"Virement Associés",JOURNAL!$C$8:$C$1007,202602)</f>
        <v>0</v>
      </c>
      <c r="H18" s="102" t="n">
        <f aca="false">SUMIFS(JOURNAL!$H$8:$H$1007,JOURNAL!$D$8:$D$1007,"DEPENSE",JOURNAL!$C$8:$C$1007,202602)</f>
        <v>0</v>
      </c>
      <c r="I18" s="103" t="n">
        <f aca="false">$B18-$H18</f>
        <v>0</v>
      </c>
      <c r="J18" s="118" t="n">
        <f aca="false">IFERROR($I18/$B18,0)</f>
        <v>0</v>
      </c>
      <c r="K18" s="100" t="n">
        <f aca="false">IFERROR($B18/DAY(EOMONTH($A18,0)),0)</f>
        <v>0</v>
      </c>
    </row>
    <row r="19" customFormat="false" ht="18" hidden="false" customHeight="true" outlineLevel="0" collapsed="false">
      <c r="A19" s="113" t="n">
        <v>46082</v>
      </c>
      <c r="B19" s="94" t="n">
        <f aca="false">SUMIFS(JOURNAL!$H$8:$H$1007,JOURNAL!$D$8:$D$1007,"RECETTE",JOURNAL!$C$8:$C$1007,202603)</f>
        <v>0</v>
      </c>
      <c r="C19" s="93" t="n">
        <f aca="false">SUMIFS(JOURNAL!$H$8:$H$1007,JOURNAL!$E$8:$E$1007,"Boissons",JOURNAL!$C$8:$C$1007,202603)+SUMIFS(JOURNAL!$H$8:$H$1007,JOURNAL!$E$8:$E$1007,"Café &amp; Torréfaction",JOURNAL!$C$8:$C$1007,202603)+SUMIFS(JOURNAL!$H$8:$H$1007,JOURNAL!$E$8:$E$1007,"Boulangerie",JOURNAL!$C$8:$C$1007,202603)+SUMIFS(JOURNAL!$H$8:$H$1007,JOURNAL!$E$8:$E$1007,"Fruits &amp; Légumes",JOURNAL!$C$8:$C$1007,202603)+SUMIFS(JOURNAL!$H$8:$H$1007,JOURNAL!$E$8:$E$1007,"Épicerie &amp; Divers",JOURNAL!$C$8:$C$1007,202603)+SUMIFS(JOURNAL!$H$8:$H$1007,JOURNAL!$E$8:$E$1007,"Nettoyage",JOURNAL!$C$8:$C$1007,202603)</f>
        <v>0</v>
      </c>
      <c r="D19" s="114" t="n">
        <f aca="false">IFERROR($C19/$B19,0)</f>
        <v>0</v>
      </c>
      <c r="E19" s="93" t="n">
        <f aca="false">SUMIFS(JOURNAL!$H$8:$H$1007,JOURNAL!$E$8:$E$1007,"Salaires",JOURNAL!$C$8:$C$1007,202603)</f>
        <v>0</v>
      </c>
      <c r="F19" s="93" t="n">
        <f aca="false">SUMIFS(JOURNAL!$H$8:$H$1007,JOURNAL!$E$8:$E$1007,"Loyer",JOURNAL!$C$8:$C$1007,202603)+SUMIFS(JOURNAL!$H$8:$H$1007,JOURNAL!$E$8:$E$1007,"Eau &amp; Électricité",JOURNAL!$C$8:$C$1007,202603)+SUMIFS(JOURNAL!$H$8:$H$1007,JOURNAL!$E$8:$E$1007,"Internet &amp; Télécom",JOURNAL!$C$8:$C$1007,202603)+SUMIFS(JOURNAL!$H$8:$H$1007,JOURNAL!$E$8:$E$1007,"Taxes &amp; Impôts",JOURNAL!$C$8:$C$1007,202603)+SUMIFS(JOURNAL!$H$8:$H$1007,JOURNAL!$E$8:$E$1007,"Abonnements",JOURNAL!$C$8:$C$1007,202603)+SUMIFS(JOURNAL!$H$8:$H$1007,JOURNAL!$E$8:$E$1007,"Entretien &amp; Réparation",JOURNAL!$C$8:$C$1007,202603)</f>
        <v>0</v>
      </c>
      <c r="G19" s="93" t="n">
        <f aca="false">SUMIFS(JOURNAL!$H$8:$H$1007,JOURNAL!$E$8:$E$1007,"Virement Banque",JOURNAL!$C$8:$C$1007,202603)+SUMIFS(JOURNAL!$H$8:$H$1007,JOURNAL!$E$8:$E$1007,"Virement Associés",JOURNAL!$C$8:$C$1007,202603)</f>
        <v>0</v>
      </c>
      <c r="H19" s="95" t="n">
        <f aca="false">SUMIFS(JOURNAL!$H$8:$H$1007,JOURNAL!$D$8:$D$1007,"DEPENSE",JOURNAL!$C$8:$C$1007,202603)</f>
        <v>0</v>
      </c>
      <c r="I19" s="96" t="n">
        <f aca="false">$B19-$H19</f>
        <v>0</v>
      </c>
      <c r="J19" s="115" t="n">
        <f aca="false">IFERROR($I19/$B19,0)</f>
        <v>0</v>
      </c>
      <c r="K19" s="93" t="n">
        <f aca="false">IFERROR($B19/DAY(EOMONTH($A19,0)),0)</f>
        <v>0</v>
      </c>
    </row>
    <row r="20" customFormat="false" ht="18" hidden="false" customHeight="true" outlineLevel="0" collapsed="false">
      <c r="A20" s="116" t="n">
        <v>46113</v>
      </c>
      <c r="B20" s="101" t="n">
        <f aca="false">SUMIFS(JOURNAL!$H$8:$H$1007,JOURNAL!$D$8:$D$1007,"RECETTE",JOURNAL!$C$8:$C$1007,202604)</f>
        <v>0</v>
      </c>
      <c r="C20" s="100" t="n">
        <f aca="false">SUMIFS(JOURNAL!$H$8:$H$1007,JOURNAL!$E$8:$E$1007,"Boissons",JOURNAL!$C$8:$C$1007,202604)+SUMIFS(JOURNAL!$H$8:$H$1007,JOURNAL!$E$8:$E$1007,"Café &amp; Torréfaction",JOURNAL!$C$8:$C$1007,202604)+SUMIFS(JOURNAL!$H$8:$H$1007,JOURNAL!$E$8:$E$1007,"Boulangerie",JOURNAL!$C$8:$C$1007,202604)+SUMIFS(JOURNAL!$H$8:$H$1007,JOURNAL!$E$8:$E$1007,"Fruits &amp; Légumes",JOURNAL!$C$8:$C$1007,202604)+SUMIFS(JOURNAL!$H$8:$H$1007,JOURNAL!$E$8:$E$1007,"Épicerie &amp; Divers",JOURNAL!$C$8:$C$1007,202604)+SUMIFS(JOURNAL!$H$8:$H$1007,JOURNAL!$E$8:$E$1007,"Nettoyage",JOURNAL!$C$8:$C$1007,202604)</f>
        <v>0</v>
      </c>
      <c r="D20" s="117" t="n">
        <f aca="false">IFERROR($C20/$B20,0)</f>
        <v>0</v>
      </c>
      <c r="E20" s="100" t="n">
        <f aca="false">SUMIFS(JOURNAL!$H$8:$H$1007,JOURNAL!$E$8:$E$1007,"Salaires",JOURNAL!$C$8:$C$1007,202604)</f>
        <v>0</v>
      </c>
      <c r="F20" s="100" t="n">
        <f aca="false">SUMIFS(JOURNAL!$H$8:$H$1007,JOURNAL!$E$8:$E$1007,"Loyer",JOURNAL!$C$8:$C$1007,202604)+SUMIFS(JOURNAL!$H$8:$H$1007,JOURNAL!$E$8:$E$1007,"Eau &amp; Électricité",JOURNAL!$C$8:$C$1007,202604)+SUMIFS(JOURNAL!$H$8:$H$1007,JOURNAL!$E$8:$E$1007,"Internet &amp; Télécom",JOURNAL!$C$8:$C$1007,202604)+SUMIFS(JOURNAL!$H$8:$H$1007,JOURNAL!$E$8:$E$1007,"Taxes &amp; Impôts",JOURNAL!$C$8:$C$1007,202604)+SUMIFS(JOURNAL!$H$8:$H$1007,JOURNAL!$E$8:$E$1007,"Abonnements",JOURNAL!$C$8:$C$1007,202604)+SUMIFS(JOURNAL!$H$8:$H$1007,JOURNAL!$E$8:$E$1007,"Entretien &amp; Réparation",JOURNAL!$C$8:$C$1007,202604)</f>
        <v>0</v>
      </c>
      <c r="G20" s="100" t="n">
        <f aca="false">SUMIFS(JOURNAL!$H$8:$H$1007,JOURNAL!$E$8:$E$1007,"Virement Banque",JOURNAL!$C$8:$C$1007,202604)+SUMIFS(JOURNAL!$H$8:$H$1007,JOURNAL!$E$8:$E$1007,"Virement Associés",JOURNAL!$C$8:$C$1007,202604)</f>
        <v>0</v>
      </c>
      <c r="H20" s="102" t="n">
        <f aca="false">SUMIFS(JOURNAL!$H$8:$H$1007,JOURNAL!$D$8:$D$1007,"DEPENSE",JOURNAL!$C$8:$C$1007,202604)</f>
        <v>0</v>
      </c>
      <c r="I20" s="103" t="n">
        <f aca="false">$B20-$H20</f>
        <v>0</v>
      </c>
      <c r="J20" s="118" t="n">
        <f aca="false">IFERROR($I20/$B20,0)</f>
        <v>0</v>
      </c>
      <c r="K20" s="100" t="n">
        <f aca="false">IFERROR($B20/DAY(EOMONTH($A20,0)),0)</f>
        <v>0</v>
      </c>
    </row>
    <row r="21" customFormat="false" ht="18" hidden="false" customHeight="true" outlineLevel="0" collapsed="false">
      <c r="A21" s="113" t="n">
        <v>46143</v>
      </c>
      <c r="B21" s="94" t="n">
        <f aca="false">SUMIFS(JOURNAL!$H$8:$H$1007,JOURNAL!$D$8:$D$1007,"RECETTE",JOURNAL!$C$8:$C$1007,202605)</f>
        <v>0</v>
      </c>
      <c r="C21" s="93" t="n">
        <f aca="false">SUMIFS(JOURNAL!$H$8:$H$1007,JOURNAL!$E$8:$E$1007,"Boissons",JOURNAL!$C$8:$C$1007,202605)+SUMIFS(JOURNAL!$H$8:$H$1007,JOURNAL!$E$8:$E$1007,"Café &amp; Torréfaction",JOURNAL!$C$8:$C$1007,202605)+SUMIFS(JOURNAL!$H$8:$H$1007,JOURNAL!$E$8:$E$1007,"Boulangerie",JOURNAL!$C$8:$C$1007,202605)+SUMIFS(JOURNAL!$H$8:$H$1007,JOURNAL!$E$8:$E$1007,"Fruits &amp; Légumes",JOURNAL!$C$8:$C$1007,202605)+SUMIFS(JOURNAL!$H$8:$H$1007,JOURNAL!$E$8:$E$1007,"Épicerie &amp; Divers",JOURNAL!$C$8:$C$1007,202605)+SUMIFS(JOURNAL!$H$8:$H$1007,JOURNAL!$E$8:$E$1007,"Nettoyage",JOURNAL!$C$8:$C$1007,202605)</f>
        <v>0</v>
      </c>
      <c r="D21" s="114" t="n">
        <f aca="false">IFERROR($C21/$B21,0)</f>
        <v>0</v>
      </c>
      <c r="E21" s="93" t="n">
        <f aca="false">SUMIFS(JOURNAL!$H$8:$H$1007,JOURNAL!$E$8:$E$1007,"Salaires",JOURNAL!$C$8:$C$1007,202605)</f>
        <v>0</v>
      </c>
      <c r="F21" s="93" t="n">
        <f aca="false">SUMIFS(JOURNAL!$H$8:$H$1007,JOURNAL!$E$8:$E$1007,"Loyer",JOURNAL!$C$8:$C$1007,202605)+SUMIFS(JOURNAL!$H$8:$H$1007,JOURNAL!$E$8:$E$1007,"Eau &amp; Électricité",JOURNAL!$C$8:$C$1007,202605)+SUMIFS(JOURNAL!$H$8:$H$1007,JOURNAL!$E$8:$E$1007,"Internet &amp; Télécom",JOURNAL!$C$8:$C$1007,202605)+SUMIFS(JOURNAL!$H$8:$H$1007,JOURNAL!$E$8:$E$1007,"Taxes &amp; Impôts",JOURNAL!$C$8:$C$1007,202605)+SUMIFS(JOURNAL!$H$8:$H$1007,JOURNAL!$E$8:$E$1007,"Abonnements",JOURNAL!$C$8:$C$1007,202605)+SUMIFS(JOURNAL!$H$8:$H$1007,JOURNAL!$E$8:$E$1007,"Entretien &amp; Réparation",JOURNAL!$C$8:$C$1007,202605)</f>
        <v>0</v>
      </c>
      <c r="G21" s="93" t="n">
        <f aca="false">SUMIFS(JOURNAL!$H$8:$H$1007,JOURNAL!$E$8:$E$1007,"Virement Banque",JOURNAL!$C$8:$C$1007,202605)+SUMIFS(JOURNAL!$H$8:$H$1007,JOURNAL!$E$8:$E$1007,"Virement Associés",JOURNAL!$C$8:$C$1007,202605)</f>
        <v>0</v>
      </c>
      <c r="H21" s="95" t="n">
        <f aca="false">SUMIFS(JOURNAL!$H$8:$H$1007,JOURNAL!$D$8:$D$1007,"DEPENSE",JOURNAL!$C$8:$C$1007,202605)</f>
        <v>0</v>
      </c>
      <c r="I21" s="96" t="n">
        <f aca="false">$B21-$H21</f>
        <v>0</v>
      </c>
      <c r="J21" s="115" t="n">
        <f aca="false">IFERROR($I21/$B21,0)</f>
        <v>0</v>
      </c>
      <c r="K21" s="93" t="n">
        <f aca="false">IFERROR($B21/DAY(EOMONTH($A21,0)),0)</f>
        <v>0</v>
      </c>
    </row>
    <row r="22" customFormat="false" ht="18" hidden="false" customHeight="true" outlineLevel="0" collapsed="false">
      <c r="A22" s="116" t="n">
        <v>46174</v>
      </c>
      <c r="B22" s="101" t="n">
        <f aca="false">SUMIFS(JOURNAL!$H$8:$H$1007,JOURNAL!$D$8:$D$1007,"RECETTE",JOURNAL!$C$8:$C$1007,202606)</f>
        <v>0</v>
      </c>
      <c r="C22" s="100" t="n">
        <f aca="false">SUMIFS(JOURNAL!$H$8:$H$1007,JOURNAL!$E$8:$E$1007,"Boissons",JOURNAL!$C$8:$C$1007,202606)+SUMIFS(JOURNAL!$H$8:$H$1007,JOURNAL!$E$8:$E$1007,"Café &amp; Torréfaction",JOURNAL!$C$8:$C$1007,202606)+SUMIFS(JOURNAL!$H$8:$H$1007,JOURNAL!$E$8:$E$1007,"Boulangerie",JOURNAL!$C$8:$C$1007,202606)+SUMIFS(JOURNAL!$H$8:$H$1007,JOURNAL!$E$8:$E$1007,"Fruits &amp; Légumes",JOURNAL!$C$8:$C$1007,202606)+SUMIFS(JOURNAL!$H$8:$H$1007,JOURNAL!$E$8:$E$1007,"Épicerie &amp; Divers",JOURNAL!$C$8:$C$1007,202606)+SUMIFS(JOURNAL!$H$8:$H$1007,JOURNAL!$E$8:$E$1007,"Nettoyage",JOURNAL!$C$8:$C$1007,202606)</f>
        <v>0</v>
      </c>
      <c r="D22" s="117" t="n">
        <f aca="false">IFERROR($C22/$B22,0)</f>
        <v>0</v>
      </c>
      <c r="E22" s="100" t="n">
        <f aca="false">SUMIFS(JOURNAL!$H$8:$H$1007,JOURNAL!$E$8:$E$1007,"Salaires",JOURNAL!$C$8:$C$1007,202606)</f>
        <v>0</v>
      </c>
      <c r="F22" s="100" t="n">
        <f aca="false">SUMIFS(JOURNAL!$H$8:$H$1007,JOURNAL!$E$8:$E$1007,"Loyer",JOURNAL!$C$8:$C$1007,202606)+SUMIFS(JOURNAL!$H$8:$H$1007,JOURNAL!$E$8:$E$1007,"Eau &amp; Électricité",JOURNAL!$C$8:$C$1007,202606)+SUMIFS(JOURNAL!$H$8:$H$1007,JOURNAL!$E$8:$E$1007,"Internet &amp; Télécom",JOURNAL!$C$8:$C$1007,202606)+SUMIFS(JOURNAL!$H$8:$H$1007,JOURNAL!$E$8:$E$1007,"Taxes &amp; Impôts",JOURNAL!$C$8:$C$1007,202606)+SUMIFS(JOURNAL!$H$8:$H$1007,JOURNAL!$E$8:$E$1007,"Abonnements",JOURNAL!$C$8:$C$1007,202606)+SUMIFS(JOURNAL!$H$8:$H$1007,JOURNAL!$E$8:$E$1007,"Entretien &amp; Réparation",JOURNAL!$C$8:$C$1007,202606)</f>
        <v>0</v>
      </c>
      <c r="G22" s="100" t="n">
        <f aca="false">SUMIFS(JOURNAL!$H$8:$H$1007,JOURNAL!$E$8:$E$1007,"Virement Banque",JOURNAL!$C$8:$C$1007,202606)+SUMIFS(JOURNAL!$H$8:$H$1007,JOURNAL!$E$8:$E$1007,"Virement Associés",JOURNAL!$C$8:$C$1007,202606)</f>
        <v>0</v>
      </c>
      <c r="H22" s="102" t="n">
        <f aca="false">SUMIFS(JOURNAL!$H$8:$H$1007,JOURNAL!$D$8:$D$1007,"DEPENSE",JOURNAL!$C$8:$C$1007,202606)</f>
        <v>0</v>
      </c>
      <c r="I22" s="103" t="n">
        <f aca="false">$B22-$H22</f>
        <v>0</v>
      </c>
      <c r="J22" s="118" t="n">
        <f aca="false">IFERROR($I22/$B22,0)</f>
        <v>0</v>
      </c>
      <c r="K22" s="100" t="n">
        <f aca="false">IFERROR($B22/DAY(EOMONTH($A22,0)),0)</f>
        <v>0</v>
      </c>
    </row>
    <row r="23" customFormat="false" ht="18" hidden="false" customHeight="true" outlineLevel="0" collapsed="false">
      <c r="A23" s="113" t="n">
        <v>46204</v>
      </c>
      <c r="B23" s="94" t="n">
        <f aca="false">SUMIFS(JOURNAL!$H$8:$H$1007,JOURNAL!$D$8:$D$1007,"RECETTE",JOURNAL!$C$8:$C$1007,202607)</f>
        <v>0</v>
      </c>
      <c r="C23" s="93" t="n">
        <f aca="false">SUMIFS(JOURNAL!$H$8:$H$1007,JOURNAL!$E$8:$E$1007,"Boissons",JOURNAL!$C$8:$C$1007,202607)+SUMIFS(JOURNAL!$H$8:$H$1007,JOURNAL!$E$8:$E$1007,"Café &amp; Torréfaction",JOURNAL!$C$8:$C$1007,202607)+SUMIFS(JOURNAL!$H$8:$H$1007,JOURNAL!$E$8:$E$1007,"Boulangerie",JOURNAL!$C$8:$C$1007,202607)+SUMIFS(JOURNAL!$H$8:$H$1007,JOURNAL!$E$8:$E$1007,"Fruits &amp; Légumes",JOURNAL!$C$8:$C$1007,202607)+SUMIFS(JOURNAL!$H$8:$H$1007,JOURNAL!$E$8:$E$1007,"Épicerie &amp; Divers",JOURNAL!$C$8:$C$1007,202607)+SUMIFS(JOURNAL!$H$8:$H$1007,JOURNAL!$E$8:$E$1007,"Nettoyage",JOURNAL!$C$8:$C$1007,202607)</f>
        <v>0</v>
      </c>
      <c r="D23" s="114" t="n">
        <f aca="false">IFERROR($C23/$B23,0)</f>
        <v>0</v>
      </c>
      <c r="E23" s="93" t="n">
        <f aca="false">SUMIFS(JOURNAL!$H$8:$H$1007,JOURNAL!$E$8:$E$1007,"Salaires",JOURNAL!$C$8:$C$1007,202607)</f>
        <v>0</v>
      </c>
      <c r="F23" s="93" t="n">
        <f aca="false">SUMIFS(JOURNAL!$H$8:$H$1007,JOURNAL!$E$8:$E$1007,"Loyer",JOURNAL!$C$8:$C$1007,202607)+SUMIFS(JOURNAL!$H$8:$H$1007,JOURNAL!$E$8:$E$1007,"Eau &amp; Électricité",JOURNAL!$C$8:$C$1007,202607)+SUMIFS(JOURNAL!$H$8:$H$1007,JOURNAL!$E$8:$E$1007,"Internet &amp; Télécom",JOURNAL!$C$8:$C$1007,202607)+SUMIFS(JOURNAL!$H$8:$H$1007,JOURNAL!$E$8:$E$1007,"Taxes &amp; Impôts",JOURNAL!$C$8:$C$1007,202607)+SUMIFS(JOURNAL!$H$8:$H$1007,JOURNAL!$E$8:$E$1007,"Abonnements",JOURNAL!$C$8:$C$1007,202607)+SUMIFS(JOURNAL!$H$8:$H$1007,JOURNAL!$E$8:$E$1007,"Entretien &amp; Réparation",JOURNAL!$C$8:$C$1007,202607)</f>
        <v>0</v>
      </c>
      <c r="G23" s="93" t="n">
        <f aca="false">SUMIFS(JOURNAL!$H$8:$H$1007,JOURNAL!$E$8:$E$1007,"Virement Banque",JOURNAL!$C$8:$C$1007,202607)+SUMIFS(JOURNAL!$H$8:$H$1007,JOURNAL!$E$8:$E$1007,"Virement Associés",JOURNAL!$C$8:$C$1007,202607)</f>
        <v>0</v>
      </c>
      <c r="H23" s="95" t="n">
        <f aca="false">SUMIFS(JOURNAL!$H$8:$H$1007,JOURNAL!$D$8:$D$1007,"DEPENSE",JOURNAL!$C$8:$C$1007,202607)</f>
        <v>0</v>
      </c>
      <c r="I23" s="96" t="n">
        <f aca="false">$B23-$H23</f>
        <v>0</v>
      </c>
      <c r="J23" s="115" t="n">
        <f aca="false">IFERROR($I23/$B23,0)</f>
        <v>0</v>
      </c>
      <c r="K23" s="93" t="n">
        <f aca="false">IFERROR($B23/DAY(EOMONTH($A23,0)),0)</f>
        <v>0</v>
      </c>
    </row>
    <row r="24" customFormat="false" ht="18" hidden="false" customHeight="true" outlineLevel="0" collapsed="false">
      <c r="A24" s="116" t="n">
        <v>46235</v>
      </c>
      <c r="B24" s="101" t="n">
        <f aca="false">SUMIFS(JOURNAL!$H$8:$H$1007,JOURNAL!$D$8:$D$1007,"RECETTE",JOURNAL!$C$8:$C$1007,202608)</f>
        <v>54937</v>
      </c>
      <c r="C24" s="100" t="n">
        <f aca="false">SUMIFS(JOURNAL!$H$8:$H$1007,JOURNAL!$E$8:$E$1007,"Boissons",JOURNAL!$C$8:$C$1007,202608)+SUMIFS(JOURNAL!$H$8:$H$1007,JOURNAL!$E$8:$E$1007,"Café &amp; Torréfaction",JOURNAL!$C$8:$C$1007,202608)+SUMIFS(JOURNAL!$H$8:$H$1007,JOURNAL!$E$8:$E$1007,"Boulangerie",JOURNAL!$C$8:$C$1007,202608)+SUMIFS(JOURNAL!$H$8:$H$1007,JOURNAL!$E$8:$E$1007,"Fruits &amp; Légumes",JOURNAL!$C$8:$C$1007,202608)+SUMIFS(JOURNAL!$H$8:$H$1007,JOURNAL!$E$8:$E$1007,"Épicerie &amp; Divers",JOURNAL!$C$8:$C$1007,202608)+SUMIFS(JOURNAL!$H$8:$H$1007,JOURNAL!$E$8:$E$1007,"Nettoyage",JOURNAL!$C$8:$C$1007,202608)</f>
        <v>24529</v>
      </c>
      <c r="D24" s="117" t="n">
        <f aca="false">IFERROR($C24/$B24,0)</f>
        <v>0.446493255911317</v>
      </c>
      <c r="E24" s="100" t="n">
        <f aca="false">SUMIFS(JOURNAL!$H$8:$H$1007,JOURNAL!$E$8:$E$1007,"Salaires",JOURNAL!$C$8:$C$1007,202608)</f>
        <v>12400</v>
      </c>
      <c r="F24" s="100" t="n">
        <f aca="false">SUMIFS(JOURNAL!$H$8:$H$1007,JOURNAL!$E$8:$E$1007,"Loyer",JOURNAL!$C$8:$C$1007,202608)+SUMIFS(JOURNAL!$H$8:$H$1007,JOURNAL!$E$8:$E$1007,"Eau &amp; Électricité",JOURNAL!$C$8:$C$1007,202608)+SUMIFS(JOURNAL!$H$8:$H$1007,JOURNAL!$E$8:$E$1007,"Internet &amp; Télécom",JOURNAL!$C$8:$C$1007,202608)+SUMIFS(JOURNAL!$H$8:$H$1007,JOURNAL!$E$8:$E$1007,"Taxes &amp; Impôts",JOURNAL!$C$8:$C$1007,202608)+SUMIFS(JOURNAL!$H$8:$H$1007,JOURNAL!$E$8:$E$1007,"Abonnements",JOURNAL!$C$8:$C$1007,202608)+SUMIFS(JOURNAL!$H$8:$H$1007,JOURNAL!$E$8:$E$1007,"Entretien &amp; Réparation",JOURNAL!$C$8:$C$1007,202608)</f>
        <v>13785</v>
      </c>
      <c r="G24" s="100" t="n">
        <f aca="false">SUMIFS(JOURNAL!$H$8:$H$1007,JOURNAL!$E$8:$E$1007,"Virement Banque",JOURNAL!$C$8:$C$1007,202608)+SUMIFS(JOURNAL!$H$8:$H$1007,JOURNAL!$E$8:$E$1007,"Virement Associés",JOURNAL!$C$8:$C$1007,202608)</f>
        <v>0</v>
      </c>
      <c r="H24" s="102" t="n">
        <f aca="false">SUMIFS(JOURNAL!$H$8:$H$1007,JOURNAL!$D$8:$D$1007,"DEPENSE",JOURNAL!$C$8:$C$1007,202608)</f>
        <v>50714</v>
      </c>
      <c r="I24" s="103" t="n">
        <f aca="false">$B24-$H24</f>
        <v>4223</v>
      </c>
      <c r="J24" s="118" t="n">
        <f aca="false">IFERROR($I24/$B24,0)</f>
        <v>0.0768698691228134</v>
      </c>
      <c r="K24" s="100" t="n">
        <f aca="false">IFERROR($B24/DAY(EOMONTH($A24,0)),0)</f>
        <v>1772.16129032258</v>
      </c>
    </row>
    <row r="25" customFormat="false" ht="18" hidden="false" customHeight="true" outlineLevel="0" collapsed="false">
      <c r="A25" s="113" t="n">
        <v>46266</v>
      </c>
      <c r="B25" s="94" t="n">
        <f aca="false">SUMIFS(JOURNAL!$H$8:$H$1007,JOURNAL!$D$8:$D$1007,"RECETTE",JOURNAL!$C$8:$C$1007,202609)</f>
        <v>0</v>
      </c>
      <c r="C25" s="93" t="n">
        <f aca="false">SUMIFS(JOURNAL!$H$8:$H$1007,JOURNAL!$E$8:$E$1007,"Boissons",JOURNAL!$C$8:$C$1007,202609)+SUMIFS(JOURNAL!$H$8:$H$1007,JOURNAL!$E$8:$E$1007,"Café &amp; Torréfaction",JOURNAL!$C$8:$C$1007,202609)+SUMIFS(JOURNAL!$H$8:$H$1007,JOURNAL!$E$8:$E$1007,"Boulangerie",JOURNAL!$C$8:$C$1007,202609)+SUMIFS(JOURNAL!$H$8:$H$1007,JOURNAL!$E$8:$E$1007,"Fruits &amp; Légumes",JOURNAL!$C$8:$C$1007,202609)+SUMIFS(JOURNAL!$H$8:$H$1007,JOURNAL!$E$8:$E$1007,"Épicerie &amp; Divers",JOURNAL!$C$8:$C$1007,202609)+SUMIFS(JOURNAL!$H$8:$H$1007,JOURNAL!$E$8:$E$1007,"Nettoyage",JOURNAL!$C$8:$C$1007,202609)</f>
        <v>0</v>
      </c>
      <c r="D25" s="114" t="n">
        <f aca="false">IFERROR($C25/$B25,0)</f>
        <v>0</v>
      </c>
      <c r="E25" s="93" t="n">
        <f aca="false">SUMIFS(JOURNAL!$H$8:$H$1007,JOURNAL!$E$8:$E$1007,"Salaires",JOURNAL!$C$8:$C$1007,202609)</f>
        <v>0</v>
      </c>
      <c r="F25" s="93" t="n">
        <f aca="false">SUMIFS(JOURNAL!$H$8:$H$1007,JOURNAL!$E$8:$E$1007,"Loyer",JOURNAL!$C$8:$C$1007,202609)+SUMIFS(JOURNAL!$H$8:$H$1007,JOURNAL!$E$8:$E$1007,"Eau &amp; Électricité",JOURNAL!$C$8:$C$1007,202609)+SUMIFS(JOURNAL!$H$8:$H$1007,JOURNAL!$E$8:$E$1007,"Internet &amp; Télécom",JOURNAL!$C$8:$C$1007,202609)+SUMIFS(JOURNAL!$H$8:$H$1007,JOURNAL!$E$8:$E$1007,"Taxes &amp; Impôts",JOURNAL!$C$8:$C$1007,202609)+SUMIFS(JOURNAL!$H$8:$H$1007,JOURNAL!$E$8:$E$1007,"Abonnements",JOURNAL!$C$8:$C$1007,202609)+SUMIFS(JOURNAL!$H$8:$H$1007,JOURNAL!$E$8:$E$1007,"Entretien &amp; Réparation",JOURNAL!$C$8:$C$1007,202609)</f>
        <v>0</v>
      </c>
      <c r="G25" s="93" t="n">
        <f aca="false">SUMIFS(JOURNAL!$H$8:$H$1007,JOURNAL!$E$8:$E$1007,"Virement Banque",JOURNAL!$C$8:$C$1007,202609)+SUMIFS(JOURNAL!$H$8:$H$1007,JOURNAL!$E$8:$E$1007,"Virement Associés",JOURNAL!$C$8:$C$1007,202609)</f>
        <v>0</v>
      </c>
      <c r="H25" s="95" t="n">
        <f aca="false">SUMIFS(JOURNAL!$H$8:$H$1007,JOURNAL!$D$8:$D$1007,"DEPENSE",JOURNAL!$C$8:$C$1007,202609)</f>
        <v>0</v>
      </c>
      <c r="I25" s="96" t="n">
        <f aca="false">$B25-$H25</f>
        <v>0</v>
      </c>
      <c r="J25" s="115" t="n">
        <f aca="false">IFERROR($I25/$B25,0)</f>
        <v>0</v>
      </c>
      <c r="K25" s="93" t="n">
        <f aca="false">IFERROR($B25/DAY(EOMONTH($A25,0)),0)</f>
        <v>0</v>
      </c>
    </row>
    <row r="26" customFormat="false" ht="18" hidden="false" customHeight="true" outlineLevel="0" collapsed="false">
      <c r="A26" s="116" t="n">
        <v>46296</v>
      </c>
      <c r="B26" s="101" t="n">
        <f aca="false">SUMIFS(JOURNAL!$H$8:$H$1007,JOURNAL!$D$8:$D$1007,"RECETTE",JOURNAL!$C$8:$C$1007,202610)</f>
        <v>0</v>
      </c>
      <c r="C26" s="100" t="n">
        <f aca="false">SUMIFS(JOURNAL!$H$8:$H$1007,JOURNAL!$E$8:$E$1007,"Boissons",JOURNAL!$C$8:$C$1007,202610)+SUMIFS(JOURNAL!$H$8:$H$1007,JOURNAL!$E$8:$E$1007,"Café &amp; Torréfaction",JOURNAL!$C$8:$C$1007,202610)+SUMIFS(JOURNAL!$H$8:$H$1007,JOURNAL!$E$8:$E$1007,"Boulangerie",JOURNAL!$C$8:$C$1007,202610)+SUMIFS(JOURNAL!$H$8:$H$1007,JOURNAL!$E$8:$E$1007,"Fruits &amp; Légumes",JOURNAL!$C$8:$C$1007,202610)+SUMIFS(JOURNAL!$H$8:$H$1007,JOURNAL!$E$8:$E$1007,"Épicerie &amp; Divers",JOURNAL!$C$8:$C$1007,202610)+SUMIFS(JOURNAL!$H$8:$H$1007,JOURNAL!$E$8:$E$1007,"Nettoyage",JOURNAL!$C$8:$C$1007,202610)</f>
        <v>0</v>
      </c>
      <c r="D26" s="117" t="n">
        <f aca="false">IFERROR($C26/$B26,0)</f>
        <v>0</v>
      </c>
      <c r="E26" s="100" t="n">
        <f aca="false">SUMIFS(JOURNAL!$H$8:$H$1007,JOURNAL!$E$8:$E$1007,"Salaires",JOURNAL!$C$8:$C$1007,202610)</f>
        <v>0</v>
      </c>
      <c r="F26" s="100" t="n">
        <f aca="false">SUMIFS(JOURNAL!$H$8:$H$1007,JOURNAL!$E$8:$E$1007,"Loyer",JOURNAL!$C$8:$C$1007,202610)+SUMIFS(JOURNAL!$H$8:$H$1007,JOURNAL!$E$8:$E$1007,"Eau &amp; Électricité",JOURNAL!$C$8:$C$1007,202610)+SUMIFS(JOURNAL!$H$8:$H$1007,JOURNAL!$E$8:$E$1007,"Internet &amp; Télécom",JOURNAL!$C$8:$C$1007,202610)+SUMIFS(JOURNAL!$H$8:$H$1007,JOURNAL!$E$8:$E$1007,"Taxes &amp; Impôts",JOURNAL!$C$8:$C$1007,202610)+SUMIFS(JOURNAL!$H$8:$H$1007,JOURNAL!$E$8:$E$1007,"Abonnements",JOURNAL!$C$8:$C$1007,202610)+SUMIFS(JOURNAL!$H$8:$H$1007,JOURNAL!$E$8:$E$1007,"Entretien &amp; Réparation",JOURNAL!$C$8:$C$1007,202610)</f>
        <v>0</v>
      </c>
      <c r="G26" s="100" t="n">
        <f aca="false">SUMIFS(JOURNAL!$H$8:$H$1007,JOURNAL!$E$8:$E$1007,"Virement Banque",JOURNAL!$C$8:$C$1007,202610)+SUMIFS(JOURNAL!$H$8:$H$1007,JOURNAL!$E$8:$E$1007,"Virement Associés",JOURNAL!$C$8:$C$1007,202610)</f>
        <v>0</v>
      </c>
      <c r="H26" s="102" t="n">
        <f aca="false">SUMIFS(JOURNAL!$H$8:$H$1007,JOURNAL!$D$8:$D$1007,"DEPENSE",JOURNAL!$C$8:$C$1007,202610)</f>
        <v>0</v>
      </c>
      <c r="I26" s="103" t="n">
        <f aca="false">$B26-$H26</f>
        <v>0</v>
      </c>
      <c r="J26" s="118" t="n">
        <f aca="false">IFERROR($I26/$B26,0)</f>
        <v>0</v>
      </c>
      <c r="K26" s="100" t="n">
        <f aca="false">IFERROR($B26/DAY(EOMONTH($A26,0)),0)</f>
        <v>0</v>
      </c>
    </row>
    <row r="27" customFormat="false" ht="18" hidden="false" customHeight="true" outlineLevel="0" collapsed="false">
      <c r="A27" s="113" t="n">
        <v>46327</v>
      </c>
      <c r="B27" s="94" t="n">
        <f aca="false">SUMIFS(JOURNAL!$H$8:$H$1007,JOURNAL!$D$8:$D$1007,"RECETTE",JOURNAL!$C$8:$C$1007,202611)</f>
        <v>0</v>
      </c>
      <c r="C27" s="93" t="n">
        <f aca="false">SUMIFS(JOURNAL!$H$8:$H$1007,JOURNAL!$E$8:$E$1007,"Boissons",JOURNAL!$C$8:$C$1007,202611)+SUMIFS(JOURNAL!$H$8:$H$1007,JOURNAL!$E$8:$E$1007,"Café &amp; Torréfaction",JOURNAL!$C$8:$C$1007,202611)+SUMIFS(JOURNAL!$H$8:$H$1007,JOURNAL!$E$8:$E$1007,"Boulangerie",JOURNAL!$C$8:$C$1007,202611)+SUMIFS(JOURNAL!$H$8:$H$1007,JOURNAL!$E$8:$E$1007,"Fruits &amp; Légumes",JOURNAL!$C$8:$C$1007,202611)+SUMIFS(JOURNAL!$H$8:$H$1007,JOURNAL!$E$8:$E$1007,"Épicerie &amp; Divers",JOURNAL!$C$8:$C$1007,202611)+SUMIFS(JOURNAL!$H$8:$H$1007,JOURNAL!$E$8:$E$1007,"Nettoyage",JOURNAL!$C$8:$C$1007,202611)</f>
        <v>0</v>
      </c>
      <c r="D27" s="114" t="n">
        <f aca="false">IFERROR($C27/$B27,0)</f>
        <v>0</v>
      </c>
      <c r="E27" s="93" t="n">
        <f aca="false">SUMIFS(JOURNAL!$H$8:$H$1007,JOURNAL!$E$8:$E$1007,"Salaires",JOURNAL!$C$8:$C$1007,202611)</f>
        <v>0</v>
      </c>
      <c r="F27" s="93" t="n">
        <f aca="false">SUMIFS(JOURNAL!$H$8:$H$1007,JOURNAL!$E$8:$E$1007,"Loyer",JOURNAL!$C$8:$C$1007,202611)+SUMIFS(JOURNAL!$H$8:$H$1007,JOURNAL!$E$8:$E$1007,"Eau &amp; Électricité",JOURNAL!$C$8:$C$1007,202611)+SUMIFS(JOURNAL!$H$8:$H$1007,JOURNAL!$E$8:$E$1007,"Internet &amp; Télécom",JOURNAL!$C$8:$C$1007,202611)+SUMIFS(JOURNAL!$H$8:$H$1007,JOURNAL!$E$8:$E$1007,"Taxes &amp; Impôts",JOURNAL!$C$8:$C$1007,202611)+SUMIFS(JOURNAL!$H$8:$H$1007,JOURNAL!$E$8:$E$1007,"Abonnements",JOURNAL!$C$8:$C$1007,202611)+SUMIFS(JOURNAL!$H$8:$H$1007,JOURNAL!$E$8:$E$1007,"Entretien &amp; Réparation",JOURNAL!$C$8:$C$1007,202611)</f>
        <v>0</v>
      </c>
      <c r="G27" s="93" t="n">
        <f aca="false">SUMIFS(JOURNAL!$H$8:$H$1007,JOURNAL!$E$8:$E$1007,"Virement Banque",JOURNAL!$C$8:$C$1007,202611)+SUMIFS(JOURNAL!$H$8:$H$1007,JOURNAL!$E$8:$E$1007,"Virement Associés",JOURNAL!$C$8:$C$1007,202611)</f>
        <v>0</v>
      </c>
      <c r="H27" s="95" t="n">
        <f aca="false">SUMIFS(JOURNAL!$H$8:$H$1007,JOURNAL!$D$8:$D$1007,"DEPENSE",JOURNAL!$C$8:$C$1007,202611)</f>
        <v>0</v>
      </c>
      <c r="I27" s="96" t="n">
        <f aca="false">$B27-$H27</f>
        <v>0</v>
      </c>
      <c r="J27" s="115" t="n">
        <f aca="false">IFERROR($I27/$B27,0)</f>
        <v>0</v>
      </c>
      <c r="K27" s="93" t="n">
        <f aca="false">IFERROR($B27/DAY(EOMONTH($A27,0)),0)</f>
        <v>0</v>
      </c>
    </row>
    <row r="28" customFormat="false" ht="18" hidden="false" customHeight="true" outlineLevel="0" collapsed="false">
      <c r="A28" s="116" t="n">
        <v>46357</v>
      </c>
      <c r="B28" s="101" t="n">
        <f aca="false">SUMIFS(JOURNAL!$H$8:$H$1007,JOURNAL!$D$8:$D$1007,"RECETTE",JOURNAL!$C$8:$C$1007,202612)</f>
        <v>0</v>
      </c>
      <c r="C28" s="100" t="n">
        <f aca="false">SUMIFS(JOURNAL!$H$8:$H$1007,JOURNAL!$E$8:$E$1007,"Boissons",JOURNAL!$C$8:$C$1007,202612)+SUMIFS(JOURNAL!$H$8:$H$1007,JOURNAL!$E$8:$E$1007,"Café &amp; Torréfaction",JOURNAL!$C$8:$C$1007,202612)+SUMIFS(JOURNAL!$H$8:$H$1007,JOURNAL!$E$8:$E$1007,"Boulangerie",JOURNAL!$C$8:$C$1007,202612)+SUMIFS(JOURNAL!$H$8:$H$1007,JOURNAL!$E$8:$E$1007,"Fruits &amp; Légumes",JOURNAL!$C$8:$C$1007,202612)+SUMIFS(JOURNAL!$H$8:$H$1007,JOURNAL!$E$8:$E$1007,"Épicerie &amp; Divers",JOURNAL!$C$8:$C$1007,202612)+SUMIFS(JOURNAL!$H$8:$H$1007,JOURNAL!$E$8:$E$1007,"Nettoyage",JOURNAL!$C$8:$C$1007,202612)</f>
        <v>0</v>
      </c>
      <c r="D28" s="117" t="n">
        <f aca="false">IFERROR($C28/$B28,0)</f>
        <v>0</v>
      </c>
      <c r="E28" s="100" t="n">
        <f aca="false">SUMIFS(JOURNAL!$H$8:$H$1007,JOURNAL!$E$8:$E$1007,"Salaires",JOURNAL!$C$8:$C$1007,202612)</f>
        <v>0</v>
      </c>
      <c r="F28" s="100" t="n">
        <f aca="false">SUMIFS(JOURNAL!$H$8:$H$1007,JOURNAL!$E$8:$E$1007,"Loyer",JOURNAL!$C$8:$C$1007,202612)+SUMIFS(JOURNAL!$H$8:$H$1007,JOURNAL!$E$8:$E$1007,"Eau &amp; Électricité",JOURNAL!$C$8:$C$1007,202612)+SUMIFS(JOURNAL!$H$8:$H$1007,JOURNAL!$E$8:$E$1007,"Internet &amp; Télécom",JOURNAL!$C$8:$C$1007,202612)+SUMIFS(JOURNAL!$H$8:$H$1007,JOURNAL!$E$8:$E$1007,"Taxes &amp; Impôts",JOURNAL!$C$8:$C$1007,202612)+SUMIFS(JOURNAL!$H$8:$H$1007,JOURNAL!$E$8:$E$1007,"Abonnements",JOURNAL!$C$8:$C$1007,202612)+SUMIFS(JOURNAL!$H$8:$H$1007,JOURNAL!$E$8:$E$1007,"Entretien &amp; Réparation",JOURNAL!$C$8:$C$1007,202612)</f>
        <v>0</v>
      </c>
      <c r="G28" s="100" t="n">
        <f aca="false">SUMIFS(JOURNAL!$H$8:$H$1007,JOURNAL!$E$8:$E$1007,"Virement Banque",JOURNAL!$C$8:$C$1007,202612)+SUMIFS(JOURNAL!$H$8:$H$1007,JOURNAL!$E$8:$E$1007,"Virement Associés",JOURNAL!$C$8:$C$1007,202612)</f>
        <v>0</v>
      </c>
      <c r="H28" s="102" t="n">
        <f aca="false">SUMIFS(JOURNAL!$H$8:$H$1007,JOURNAL!$D$8:$D$1007,"DEPENSE",JOURNAL!$C$8:$C$1007,202612)</f>
        <v>0</v>
      </c>
      <c r="I28" s="103" t="n">
        <f aca="false">$B28-$H28</f>
        <v>0</v>
      </c>
      <c r="J28" s="118" t="n">
        <f aca="false">IFERROR($I28/$B28,0)</f>
        <v>0</v>
      </c>
      <c r="K28" s="100" t="n">
        <f aca="false">IFERROR($B28/DAY(EOMONTH($A28,0)),0)</f>
        <v>0</v>
      </c>
    </row>
    <row r="29" customFormat="false" ht="24" hidden="false" customHeight="true" outlineLevel="0" collapsed="false">
      <c r="A29" s="63" t="s">
        <v>182</v>
      </c>
      <c r="B29" s="64" t="n">
        <f aca="false">SUM(B5:B16)</f>
        <v>584577</v>
      </c>
      <c r="C29" s="64" t="n">
        <f aca="false">SUM(C5:C16)</f>
        <v>234826</v>
      </c>
      <c r="D29" s="65" t="n">
        <f aca="false">IFERROR($C29/$B29,0)</f>
        <v>0.401702427567284</v>
      </c>
      <c r="E29" s="64" t="s">
        <v>181</v>
      </c>
      <c r="F29" s="64" t="s">
        <v>181</v>
      </c>
      <c r="G29" s="64" t="s">
        <v>181</v>
      </c>
      <c r="H29" s="64" t="s">
        <v>181</v>
      </c>
      <c r="I29" s="64" t="s">
        <v>181</v>
      </c>
      <c r="J29" s="65" t="s">
        <v>181</v>
      </c>
      <c r="K29" s="64" t="n">
        <f aca="false">IFERROR(AVERAGE($K5:$K16),0)</f>
        <v>1600.83676395289</v>
      </c>
    </row>
    <row r="30" customFormat="false" ht="24" hidden="false" customHeight="true" outlineLevel="0" collapsed="false">
      <c r="A30" s="63" t="s">
        <v>183</v>
      </c>
      <c r="B30" s="64" t="n">
        <f aca="false">SUM(B17:B28)</f>
        <v>54937</v>
      </c>
      <c r="C30" s="64" t="n">
        <f aca="false">SUM(C17:C28)</f>
        <v>24529</v>
      </c>
      <c r="D30" s="65" t="n">
        <f aca="false">IFERROR($C30/$B30,0)</f>
        <v>0.446493255911317</v>
      </c>
      <c r="E30" s="64" t="n">
        <f aca="false">SUM(E17:E28)</f>
        <v>12400</v>
      </c>
      <c r="F30" s="64" t="n">
        <f aca="false">SUM(F17:F28)</f>
        <v>13785</v>
      </c>
      <c r="G30" s="64" t="n">
        <f aca="false">SUM(G17:G28)</f>
        <v>0</v>
      </c>
      <c r="H30" s="64" t="n">
        <f aca="false">SUM(H17:H28)</f>
        <v>50714</v>
      </c>
      <c r="I30" s="64" t="n">
        <f aca="false">SUM(I17:I28)</f>
        <v>4223</v>
      </c>
      <c r="J30" s="65" t="n">
        <f aca="false">IFERROR($I30/$B30,0)</f>
        <v>0.0768698691228134</v>
      </c>
      <c r="K30" s="64" t="n">
        <f aca="false">IFERROR(AVERAGE($K17:$K28),0)</f>
        <v>147.680107526882</v>
      </c>
    </row>
    <row r="32" customFormat="false" ht="43.5" hidden="false" customHeight="true" outlineLevel="0" collapsed="false">
      <c r="A32" s="36" t="s">
        <v>184</v>
      </c>
      <c r="B32" s="36"/>
      <c r="C32" s="36"/>
      <c r="D32" s="36"/>
      <c r="E32" s="36"/>
      <c r="F32" s="36"/>
      <c r="G32" s="36"/>
      <c r="H32" s="36"/>
      <c r="I32" s="36"/>
      <c r="J32" s="36"/>
      <c r="K32" s="36"/>
    </row>
  </sheetData>
  <mergeCells count="3">
    <mergeCell ref="A1:K1"/>
    <mergeCell ref="A2:K2"/>
    <mergeCell ref="A32:K32"/>
  </mergeCells>
  <conditionalFormatting sqref="I17:I28">
    <cfRule type="cellIs" priority="2" operator="lessThan" aboveAverage="0" equalAverage="0" bottom="0" percent="0" rank="0" text="" dxfId="12">
      <formula>0</formula>
    </cfRule>
  </conditionalFormatting>
  <conditionalFormatting sqref="B5:B28">
    <cfRule type="dataBar" priority="3">
      <dataBar showValue="1" minLength="10" maxLength="90">
        <cfvo type="num" val="0"/>
        <cfvo type="percentile" val="100"/>
        <color rgb="FF9CCC9C"/>
      </dataBar>
      <extLst>
        <ext xmlns:x14="http://schemas.microsoft.com/office/spreadsheetml/2009/9/main" uri="{B025F937-C7B1-47D3-B67F-A62EFF666E3E}">
          <x14:id>{BDF09223-F676-401F-BE51-52603F3C6633}</x14:id>
        </ext>
      </extLst>
    </cfRule>
  </conditionalFormatting>
  <conditionalFormatting sqref="D5:D28">
    <cfRule type="colorScale" priority="4">
      <colorScale>
        <cfvo type="num" val="0.2"/>
        <cfvo type="num" val="0.4"/>
        <cfvo type="num" val="0.6"/>
        <color rgb="FFC8E6C9"/>
        <color rgb="FFFFF3C4"/>
        <color rgb="FFF5C6C0"/>
      </colorScale>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BDF09223-F676-401F-BE51-52603F3C6633}">
            <x14:dataBar minLength="10" maxLength="90" axisPosition="none" gradient="true">
              <x14:cfvo type="num">
                <xm:f>0</xm:f>
              </x14:cfvo>
              <x14:cfvo type="percentile">
                <xm:f>100</xm:f>
              </x14:cfvo>
              <x14:negativeFillColor rgb="FF9CCC9C"/>
              <x14:axisColor rgb="FF000000"/>
            </x14:dataBar>
          </x14:cfRule>
          <xm:sqref>B5:B28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26A00"/>
    <pageSetUpPr fitToPage="true"/>
  </sheetPr>
  <dimension ref="B1:I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6"/>
    <col collapsed="false" customWidth="true" hidden="false" outlineLevel="0" max="4" min="3" style="0" width="16"/>
    <col collapsed="false" customWidth="true" hidden="false" outlineLevel="0" max="5" min="5" style="0" width="14"/>
    <col collapsed="false" customWidth="true" hidden="false" outlineLevel="0" max="6" min="6" style="0" width="12"/>
    <col collapsed="false" customWidth="true" hidden="false" outlineLevel="0" max="7" min="7" style="0" width="4"/>
    <col collapsed="false" customWidth="true" hidden="false" outlineLevel="0" max="8" min="8" style="0" width="26"/>
    <col collapsed="false" customWidth="true" hidden="false" outlineLevel="0" max="9" min="9" style="0" width="14"/>
    <col collapsed="false" customWidth="true" hidden="false" outlineLevel="0" max="10" min="10" style="0" width="4"/>
  </cols>
  <sheetData>
    <row r="1" customFormat="false" ht="37.5" hidden="false" customHeight="true" outlineLevel="0" collapsed="false">
      <c r="B1" s="37" t="s">
        <v>185</v>
      </c>
      <c r="C1" s="37"/>
      <c r="D1" s="37"/>
      <c r="E1" s="37"/>
      <c r="F1" s="37"/>
    </row>
    <row r="2" customFormat="false" ht="18" hidden="false" customHeight="true" outlineLevel="0" collapsed="false">
      <c r="B2" s="38" t="s">
        <v>186</v>
      </c>
      <c r="C2" s="38"/>
      <c r="D2" s="38"/>
      <c r="E2" s="38"/>
      <c r="F2" s="38"/>
    </row>
    <row r="3" customFormat="false" ht="24" hidden="false" customHeight="true" outlineLevel="0" collapsed="false">
      <c r="H3" s="19" t="s">
        <v>187</v>
      </c>
      <c r="I3" s="19"/>
    </row>
    <row r="4" customFormat="false" ht="30" hidden="false" customHeight="true" outlineLevel="0" collapsed="false">
      <c r="B4" s="23" t="s">
        <v>188</v>
      </c>
      <c r="C4" s="23" t="s">
        <v>189</v>
      </c>
      <c r="D4" s="23" t="s">
        <v>190</v>
      </c>
      <c r="E4" s="23" t="s">
        <v>191</v>
      </c>
      <c r="F4" s="23" t="s">
        <v>192</v>
      </c>
      <c r="H4" s="23" t="s">
        <v>193</v>
      </c>
      <c r="I4" s="23" t="s">
        <v>88</v>
      </c>
    </row>
    <row r="5" customFormat="false" ht="18.75" hidden="false" customHeight="true" outlineLevel="0" collapsed="false">
      <c r="B5" s="119" t="s">
        <v>106</v>
      </c>
      <c r="C5" s="120" t="n">
        <v>17000</v>
      </c>
      <c r="D5" s="96" t="n">
        <f aca="false">SUMIFS(JOURNAL!$H$8:$H$1007,JOURNAL!$E$8:$E$1007,"Loyer",JOURNAL!$C$8:$C$1007,PARAMETRES!$C$14)</f>
        <v>5000</v>
      </c>
      <c r="E5" s="93" t="n">
        <f aca="false">$C5-$D5</f>
        <v>12000</v>
      </c>
      <c r="F5" s="121" t="str">
        <f aca="false">IF(N($C5)=0,IF(N($D5)=0,"—","HORS BUDGET"),IF($D5&lt;=$C5,"OK","DEPASSE"))</f>
        <v>OK</v>
      </c>
      <c r="H5" s="119" t="s">
        <v>194</v>
      </c>
      <c r="I5" s="78" t="n">
        <v>600</v>
      </c>
    </row>
    <row r="6" customFormat="false" ht="18.75" hidden="false" customHeight="true" outlineLevel="0" collapsed="false">
      <c r="B6" s="122" t="s">
        <v>195</v>
      </c>
      <c r="C6" s="120" t="n">
        <v>4000</v>
      </c>
      <c r="D6" s="103" t="n">
        <f aca="false">SUMIFS(JOURNAL!$H$8:$H$1007,JOURNAL!$E$8:$E$1007,"Eau &amp; Électricité",JOURNAL!$C$8:$C$1007,PARAMETRES!$C$14)</f>
        <v>3785</v>
      </c>
      <c r="E6" s="100" t="n">
        <f aca="false">$C6-$D6</f>
        <v>215</v>
      </c>
      <c r="F6" s="123" t="str">
        <f aca="false">IF(N($C6)=0,IF(N($D6)=0,"—","HORS BUDGET"),IF($D6&lt;=$C6,"OK","DEPASSE"))</f>
        <v>OK</v>
      </c>
      <c r="H6" s="122" t="s">
        <v>196</v>
      </c>
      <c r="I6" s="87" t="n">
        <v>3800</v>
      </c>
    </row>
    <row r="7" customFormat="false" ht="18.75" hidden="false" customHeight="true" outlineLevel="0" collapsed="false">
      <c r="B7" s="119" t="s">
        <v>197</v>
      </c>
      <c r="C7" s="120" t="n">
        <v>500</v>
      </c>
      <c r="D7" s="96" t="n">
        <f aca="false">SUMIFS(JOURNAL!$H$8:$H$1007,JOURNAL!$E$8:$E$1007,"Internet &amp; Télécom",JOURNAL!$C$8:$C$1007,PARAMETRES!$C$14)</f>
        <v>0</v>
      </c>
      <c r="E7" s="93" t="n">
        <f aca="false">$C7-$D7</f>
        <v>500</v>
      </c>
      <c r="F7" s="121" t="str">
        <f aca="false">IF(N($C7)=0,IF(N($D7)=0,"—","HORS BUDGET"),IF($D7&lt;=$C7,"OK","DEPASSE"))</f>
        <v>OK</v>
      </c>
      <c r="H7" s="119" t="s">
        <v>198</v>
      </c>
      <c r="I7" s="78" t="n">
        <v>700</v>
      </c>
    </row>
    <row r="8" customFormat="false" ht="18.75" hidden="false" customHeight="true" outlineLevel="0" collapsed="false">
      <c r="B8" s="122" t="s">
        <v>199</v>
      </c>
      <c r="C8" s="120" t="n">
        <v>20500</v>
      </c>
      <c r="D8" s="103" t="n">
        <f aca="false">SUMIFS(JOURNAL!$H$8:$H$1007,JOURNAL!$E$8:$E$1007,"Boissons",JOURNAL!$C$8:$C$1007,PARAMETRES!$C$14)+SUMIFS(JOURNAL!$H$8:$H$1007,JOURNAL!$E$8:$E$1007,"Café &amp; Torréfaction",JOURNAL!$C$8:$C$1007,PARAMETRES!$C$14)+SUMIFS(JOURNAL!$H$8:$H$1007,JOURNAL!$E$8:$E$1007,"Boulangerie",JOURNAL!$C$8:$C$1007,PARAMETRES!$C$14)+SUMIFS(JOURNAL!$H$8:$H$1007,JOURNAL!$E$8:$E$1007,"Fruits &amp; Légumes",JOURNAL!$C$8:$C$1007,PARAMETRES!$C$14)+SUMIFS(JOURNAL!$H$8:$H$1007,JOURNAL!$E$8:$E$1007,"Épicerie &amp; Divers",JOURNAL!$C$8:$C$1007,PARAMETRES!$C$14)</f>
        <v>20479</v>
      </c>
      <c r="E8" s="100" t="n">
        <f aca="false">$C8-$D8</f>
        <v>21</v>
      </c>
      <c r="F8" s="123" t="str">
        <f aca="false">IF(N($C8)=0,IF(N($D8)=0,"—","HORS BUDGET"),IF($D8&lt;=$C8,"OK","DEPASSE"))</f>
        <v>OK</v>
      </c>
      <c r="H8" s="122" t="s">
        <v>200</v>
      </c>
      <c r="I8" s="87" t="n">
        <v>500</v>
      </c>
    </row>
    <row r="9" customFormat="false" ht="18.75" hidden="false" customHeight="true" outlineLevel="0" collapsed="false">
      <c r="B9" s="119" t="s">
        <v>201</v>
      </c>
      <c r="C9" s="120" t="n">
        <v>4500</v>
      </c>
      <c r="D9" s="96" t="n">
        <f aca="false">SUMIFS(JOURNAL!$H$8:$H$1007,JOURNAL!$E$8:$E$1007,"Nettoyage",JOURNAL!$C$8:$C$1007,PARAMETRES!$C$14)</f>
        <v>4050</v>
      </c>
      <c r="E9" s="93" t="n">
        <f aca="false">$C9-$D9</f>
        <v>450</v>
      </c>
      <c r="F9" s="121" t="str">
        <f aca="false">IF(N($C9)=0,IF(N($D9)=0,"—","HORS BUDGET"),IF($D9&lt;=$C9,"OK","DEPASSE"))</f>
        <v>OK</v>
      </c>
      <c r="H9" s="119" t="s">
        <v>202</v>
      </c>
      <c r="I9" s="78" t="n">
        <v>135</v>
      </c>
    </row>
    <row r="10" customFormat="false" ht="24" hidden="false" customHeight="true" outlineLevel="0" collapsed="false">
      <c r="B10" s="122" t="s">
        <v>203</v>
      </c>
      <c r="C10" s="120" t="n">
        <v>17000</v>
      </c>
      <c r="D10" s="103" t="n">
        <f aca="false">SUMIFS(JOURNAL!$H$8:$H$1007,JOURNAL!$E$8:$E$1007,"Salaires",JOURNAL!$C$8:$C$1007,PARAMETRES!$C$14)</f>
        <v>12400</v>
      </c>
      <c r="E10" s="100" t="n">
        <f aca="false">$C10-$D10</f>
        <v>4600</v>
      </c>
      <c r="F10" s="123" t="str">
        <f aca="false">IF(N($C10)=0,IF(N($D10)=0,"—","HORS BUDGET"),IF($D10&lt;=$C10,"OK","DEPASSE"))</f>
        <v>OK</v>
      </c>
      <c r="H10" s="63" t="s">
        <v>204</v>
      </c>
      <c r="I10" s="64" t="n">
        <f aca="false">SUM($I$5:$I$9)</f>
        <v>5735</v>
      </c>
    </row>
    <row r="11" customFormat="false" ht="18.75" hidden="false" customHeight="true" outlineLevel="0" collapsed="false">
      <c r="B11" s="119" t="s">
        <v>205</v>
      </c>
      <c r="C11" s="120" t="n">
        <v>0</v>
      </c>
      <c r="D11" s="96" t="n">
        <f aca="false">SUMIFS(JOURNAL!$H$8:$H$1007,JOURNAL!$E$8:$E$1007,"Taxes &amp; Impôts",JOURNAL!$C$8:$C$1007,PARAMETRES!$C$14)</f>
        <v>5000</v>
      </c>
      <c r="E11" s="93" t="n">
        <f aca="false">$C11-$D11</f>
        <v>-5000</v>
      </c>
      <c r="F11" s="121" t="str">
        <f aca="false">IF(N($C11)=0,IF(N($D11)=0,"—","HORS BUDGET"),IF($D11&lt;=$C11,"OK","DEPASSE"))</f>
        <v>HORS BUDGET</v>
      </c>
    </row>
    <row r="12" customFormat="false" ht="30" hidden="false" customHeight="true" outlineLevel="0" collapsed="false">
      <c r="B12" s="122" t="s">
        <v>206</v>
      </c>
      <c r="C12" s="120" t="n">
        <v>0</v>
      </c>
      <c r="D12" s="103" t="n">
        <f aca="false">SUMIFS(JOURNAL!$H$8:$H$1007,JOURNAL!$E$8:$E$1007,"Abonnements",JOURNAL!$C$8:$C$1007,PARAMETRES!$C$14)</f>
        <v>0</v>
      </c>
      <c r="E12" s="100" t="n">
        <f aca="false">$C12-$D12</f>
        <v>0</v>
      </c>
      <c r="F12" s="123" t="str">
        <f aca="false">IF(N($C12)=0,IF(N($D12)=0,"—","HORS BUDGET"),IF($D12&lt;=$C12,"OK","DEPASSE"))</f>
        <v>—</v>
      </c>
      <c r="H12" s="36" t="s">
        <v>207</v>
      </c>
      <c r="I12" s="36"/>
    </row>
    <row r="13" customFormat="false" ht="18.75" hidden="false" customHeight="true" outlineLevel="0" collapsed="false">
      <c r="B13" s="119" t="s">
        <v>208</v>
      </c>
      <c r="C13" s="120" t="n">
        <v>0</v>
      </c>
      <c r="D13" s="96" t="n">
        <f aca="false">SUMIFS(JOURNAL!$H$8:$H$1007,JOURNAL!$E$8:$E$1007,"Entretien &amp; Réparation",JOURNAL!$C$8:$C$1007,PARAMETRES!$C$14)</f>
        <v>0</v>
      </c>
      <c r="E13" s="93" t="n">
        <f aca="false">$C13-$D13</f>
        <v>0</v>
      </c>
      <c r="F13" s="121" t="str">
        <f aca="false">IF(N($C13)=0,IF(N($D13)=0,"—","HORS BUDGET"),IF($D13&lt;=$C13,"OK","DEPASSE"))</f>
        <v>—</v>
      </c>
    </row>
    <row r="14" customFormat="false" ht="24" hidden="false" customHeight="true" outlineLevel="0" collapsed="false">
      <c r="B14" s="63" t="s">
        <v>209</v>
      </c>
      <c r="C14" s="64" t="n">
        <f aca="false">SUM(C5:C13)</f>
        <v>63500</v>
      </c>
      <c r="D14" s="64" t="n">
        <f aca="false">SUM(D5:D13)</f>
        <v>50714</v>
      </c>
      <c r="E14" s="64" t="n">
        <f aca="false">SUM(E5:E13)</f>
        <v>12786</v>
      </c>
      <c r="F14" s="124"/>
    </row>
    <row r="16" customFormat="false" ht="15" hidden="false" customHeight="false" outlineLevel="0" collapsed="false">
      <c r="B16" s="125" t="s">
        <v>210</v>
      </c>
      <c r="C16" s="126" t="n">
        <f aca="false">IFERROR($C14/30,0)</f>
        <v>2116.66666666667</v>
      </c>
    </row>
    <row r="17" customFormat="false" ht="15" hidden="false" customHeight="false" outlineLevel="0" collapsed="false">
      <c r="B17" s="125" t="s">
        <v>211</v>
      </c>
      <c r="C17" s="127" t="n">
        <f aca="false">IFERROR($D14/COUNTIF('RECAP JOUR'!$F$6:$F$36,"&gt;0"),0)</f>
        <v>1878.2962962963</v>
      </c>
    </row>
    <row r="18" customFormat="false" ht="15" hidden="false" customHeight="false" outlineLevel="0" collapsed="false">
      <c r="B18" s="125" t="s">
        <v>212</v>
      </c>
      <c r="C18" s="128" t="n">
        <f aca="false">IFERROR(SUMIFS(JOURNAL!$H$8:$H$1007,JOURNAL!$D$8:$D$1007,"RECETTE",JOURNAL!$C$8:$C$1007,PARAMETRES!$C$14)/COUNTIF('RECAP JOUR'!$F$6:$F$36,"&gt;0"),0)</f>
        <v>2034.7037037037</v>
      </c>
    </row>
    <row r="19" customFormat="false" ht="15" hidden="false" customHeight="false" outlineLevel="0" collapsed="false">
      <c r="B19" s="125" t="s">
        <v>213</v>
      </c>
      <c r="C19" s="129" t="n">
        <f aca="false">IFERROR(SUMIFS(JOURNAL!$H$8:$H$1007,JOURNAL!$D$8:$D$1007,"RECETTE",JOURNAL!$C$8:$C$1007,PARAMETRES!$C$14)/COUNTIF('RECAP JOUR'!$F$6:$F$36,"&gt;0"),0)-IFERROR($C14/30,0)</f>
        <v>-81.9629629629628</v>
      </c>
    </row>
    <row r="22" customFormat="false" ht="43.5" hidden="false" customHeight="true" outlineLevel="0" collapsed="false">
      <c r="B22" s="36" t="s">
        <v>214</v>
      </c>
      <c r="C22" s="36"/>
      <c r="D22" s="36"/>
      <c r="E22" s="36"/>
      <c r="F22" s="36"/>
    </row>
  </sheetData>
  <mergeCells count="5">
    <mergeCell ref="B1:F1"/>
    <mergeCell ref="B2:F2"/>
    <mergeCell ref="H3:I3"/>
    <mergeCell ref="H12:I12"/>
    <mergeCell ref="B22:F22"/>
  </mergeCells>
  <conditionalFormatting sqref="C19">
    <cfRule type="cellIs" priority="2" operator="lessThan" aboveAverage="0" equalAverage="0" bottom="0" percent="0" rank="0" text="" dxfId="16">
      <formula>0</formula>
    </cfRule>
  </conditionalFormatting>
  <conditionalFormatting sqref="F5:F13">
    <cfRule type="cellIs" priority="3" operator="equal" aboveAverage="0" equalAverage="0" bottom="0" percent="0" rank="0" text="" dxfId="10">
      <formula>"OK"</formula>
    </cfRule>
    <cfRule type="cellIs" priority="4" operator="equal" aboveAverage="0" equalAverage="0" bottom="0" percent="0" rank="0" text="" dxfId="11">
      <formula>"DEPASSE"</formula>
    </cfRule>
    <cfRule type="cellIs" priority="5" operator="equal" aboveAverage="0" equalAverage="0" bottom="0" percent="0" rank="0" text="" dxfId="17">
      <formula>"HORS BUDGET"</formula>
    </cfRule>
  </conditionalFormatting>
  <conditionalFormatting sqref="E5:E13">
    <cfRule type="cellIs" priority="6" operator="lessThan" aboveAverage="0" equalAverage="0" bottom="0" percent="0" rank="0" text="" dxfId="14">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4037"/>
    <pageSetUpPr fitToPage="true"/>
  </sheetPr>
  <dimension ref="B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18"/>
    <col collapsed="false" customWidth="true" hidden="false" outlineLevel="0" max="5" min="4" style="0" width="16"/>
    <col collapsed="false" customWidth="true" hidden="false" outlineLevel="0" max="6" min="6" style="0" width="14"/>
    <col collapsed="false" customWidth="true" hidden="false" outlineLevel="0" max="7" min="7" style="0" width="12"/>
    <col collapsed="false" customWidth="true" hidden="false" outlineLevel="0" max="8" min="8" style="0" width="14"/>
    <col collapsed="false" customWidth="true" hidden="false" outlineLevel="0" max="9" min="9" style="0" width="4"/>
  </cols>
  <sheetData>
    <row r="1" customFormat="false" ht="37.5" hidden="false" customHeight="true" outlineLevel="0" collapsed="false">
      <c r="B1" s="37" t="s">
        <v>215</v>
      </c>
      <c r="C1" s="37"/>
      <c r="D1" s="37"/>
      <c r="E1" s="37"/>
      <c r="F1" s="37"/>
      <c r="G1" s="37"/>
      <c r="H1" s="37"/>
    </row>
    <row r="2" customFormat="false" ht="18" hidden="false" customHeight="true" outlineLevel="0" collapsed="false">
      <c r="B2" s="38" t="s">
        <v>216</v>
      </c>
      <c r="C2" s="38"/>
      <c r="D2" s="38"/>
      <c r="E2" s="38"/>
      <c r="F2" s="38"/>
      <c r="G2" s="38"/>
      <c r="H2" s="38"/>
    </row>
    <row r="4" customFormat="false" ht="30" hidden="false" customHeight="true" outlineLevel="0" collapsed="false">
      <c r="B4" s="23" t="s">
        <v>217</v>
      </c>
      <c r="C4" s="23" t="s">
        <v>188</v>
      </c>
      <c r="D4" s="23" t="s">
        <v>218</v>
      </c>
      <c r="E4" s="23" t="s">
        <v>219</v>
      </c>
      <c r="F4" s="23" t="s">
        <v>220</v>
      </c>
      <c r="G4" s="23" t="s">
        <v>221</v>
      </c>
      <c r="H4" s="23" t="s">
        <v>89</v>
      </c>
    </row>
    <row r="5" customFormat="false" ht="18.75" hidden="false" customHeight="true" outlineLevel="0" collapsed="false">
      <c r="B5" s="130" t="s">
        <v>222</v>
      </c>
      <c r="C5" s="77" t="s">
        <v>223</v>
      </c>
      <c r="D5" s="120" t="n">
        <v>2400</v>
      </c>
      <c r="E5" s="94" t="n">
        <f aca="false">SUMIFS(JOURNAL!$H$8:$H$1007,JOURNAL!$F$8:$F$1007,$B5,JOURNAL!$E$8:$E$1007,"Salaires",JOURNAL!$C$8:$C$1007,PARAMETRES!$C$14)</f>
        <v>0</v>
      </c>
      <c r="F5" s="93" t="n">
        <f aca="false">IF($D5="","—",$D5-$E5)</f>
        <v>2400</v>
      </c>
      <c r="G5" s="131" t="n">
        <f aca="false">COUNTIFS(JOURNAL!$F$8:$F$1007,$B5,JOURNAL!$E$8:$E$1007,"Salaires",JOURNAL!$C$8:$C$1007,PARAMETRES!$C$14)</f>
        <v>0</v>
      </c>
      <c r="H5" s="55" t="n">
        <f aca="false">IF(N($D5)=0,"—",$E5/$D5)</f>
        <v>0</v>
      </c>
    </row>
    <row r="6" customFormat="false" ht="18.75" hidden="false" customHeight="true" outlineLevel="0" collapsed="false">
      <c r="B6" s="132" t="s">
        <v>224</v>
      </c>
      <c r="C6" s="86" t="s">
        <v>225</v>
      </c>
      <c r="D6" s="120" t="n">
        <v>1800</v>
      </c>
      <c r="E6" s="101" t="n">
        <f aca="false">SUMIFS(JOURNAL!$H$8:$H$1007,JOURNAL!$F$8:$F$1007,$B6,JOURNAL!$E$8:$E$1007,"Salaires",JOURNAL!$C$8:$C$1007,PARAMETRES!$C$14)</f>
        <v>0</v>
      </c>
      <c r="F6" s="100" t="n">
        <f aca="false">IF($D6="","—",$D6-$E6)</f>
        <v>1800</v>
      </c>
      <c r="G6" s="133" t="n">
        <f aca="false">COUNTIFS(JOURNAL!$F$8:$F$1007,$B6,JOURNAL!$E$8:$E$1007,"Salaires",JOURNAL!$C$8:$C$1007,PARAMETRES!$C$14)</f>
        <v>0</v>
      </c>
      <c r="H6" s="60" t="n">
        <f aca="false">IF(N($D6)=0,"—",$E6/$D6)</f>
        <v>0</v>
      </c>
    </row>
    <row r="7" customFormat="false" ht="18.75" hidden="false" customHeight="true" outlineLevel="0" collapsed="false">
      <c r="B7" s="130" t="s">
        <v>226</v>
      </c>
      <c r="C7" s="77" t="s">
        <v>225</v>
      </c>
      <c r="D7" s="120" t="n">
        <v>1800</v>
      </c>
      <c r="E7" s="94" t="n">
        <f aca="false">SUMIFS(JOURNAL!$H$8:$H$1007,JOURNAL!$F$8:$F$1007,$B7,JOURNAL!$E$8:$E$1007,"Salaires",JOURNAL!$C$8:$C$1007,PARAMETRES!$C$14)</f>
        <v>0</v>
      </c>
      <c r="F7" s="93" t="n">
        <f aca="false">IF($D7="","—",$D7-$E7)</f>
        <v>1800</v>
      </c>
      <c r="G7" s="131" t="n">
        <f aca="false">COUNTIFS(JOURNAL!$F$8:$F$1007,$B7,JOURNAL!$E$8:$E$1007,"Salaires",JOURNAL!$C$8:$C$1007,PARAMETRES!$C$14)</f>
        <v>0</v>
      </c>
      <c r="H7" s="55" t="n">
        <f aca="false">IF(N($D7)=0,"—",$E7/$D7)</f>
        <v>0</v>
      </c>
    </row>
    <row r="8" customFormat="false" ht="18.75" hidden="false" customHeight="true" outlineLevel="0" collapsed="false">
      <c r="B8" s="132" t="s">
        <v>149</v>
      </c>
      <c r="C8" s="86" t="s">
        <v>227</v>
      </c>
      <c r="D8" s="120" t="n">
        <v>2000</v>
      </c>
      <c r="E8" s="101" t="n">
        <f aca="false">SUMIFS(JOURNAL!$H$8:$H$1007,JOURNAL!$F$8:$F$1007,$B8,JOURNAL!$E$8:$E$1007,"Salaires",JOURNAL!$C$8:$C$1007,PARAMETRES!$C$14)</f>
        <v>2400</v>
      </c>
      <c r="F8" s="100" t="n">
        <f aca="false">IF($D8="","—",$D8-$E8)</f>
        <v>-400</v>
      </c>
      <c r="G8" s="133" t="n">
        <f aca="false">COUNTIFS(JOURNAL!$F$8:$F$1007,$B8,JOURNAL!$E$8:$E$1007,"Salaires",JOURNAL!$C$8:$C$1007,PARAMETRES!$C$14)</f>
        <v>4</v>
      </c>
      <c r="H8" s="60" t="n">
        <f aca="false">IF(N($D8)=0,"—",$E8/$D8)</f>
        <v>1.2</v>
      </c>
    </row>
    <row r="9" customFormat="false" ht="18.75" hidden="false" customHeight="true" outlineLevel="0" collapsed="false">
      <c r="B9" s="130" t="s">
        <v>228</v>
      </c>
      <c r="C9" s="77" t="s">
        <v>227</v>
      </c>
      <c r="D9" s="120" t="n">
        <v>2000</v>
      </c>
      <c r="E9" s="94" t="n">
        <f aca="false">SUMIFS(JOURNAL!$H$8:$H$1007,JOURNAL!$F$8:$F$1007,$B9,JOURNAL!$E$8:$E$1007,"Salaires",JOURNAL!$C$8:$C$1007,PARAMETRES!$C$14)</f>
        <v>0</v>
      </c>
      <c r="F9" s="93" t="n">
        <f aca="false">IF($D9="","—",$D9-$E9)</f>
        <v>2000</v>
      </c>
      <c r="G9" s="131" t="n">
        <f aca="false">COUNTIFS(JOURNAL!$F$8:$F$1007,$B9,JOURNAL!$E$8:$E$1007,"Salaires",JOURNAL!$C$8:$C$1007,PARAMETRES!$C$14)</f>
        <v>0</v>
      </c>
      <c r="H9" s="55" t="n">
        <f aca="false">IF(N($D9)=0,"—",$E9/$D9)</f>
        <v>0</v>
      </c>
    </row>
    <row r="10" customFormat="false" ht="18.75" hidden="false" customHeight="true" outlineLevel="0" collapsed="false">
      <c r="B10" s="132" t="s">
        <v>229</v>
      </c>
      <c r="C10" s="86" t="s">
        <v>230</v>
      </c>
      <c r="D10" s="120" t="n">
        <v>7000</v>
      </c>
      <c r="E10" s="101" t="n">
        <f aca="false">SUMIFS(JOURNAL!$H$8:$H$1007,JOURNAL!$F$8:$F$1007,$B10,JOURNAL!$E$8:$E$1007,"Salaires",JOURNAL!$C$8:$C$1007,PARAMETRES!$C$14)</f>
        <v>0</v>
      </c>
      <c r="F10" s="100" t="n">
        <f aca="false">IF($D10="","—",$D10-$E10)</f>
        <v>7000</v>
      </c>
      <c r="G10" s="133" t="n">
        <f aca="false">COUNTIFS(JOURNAL!$F$8:$F$1007,$B10,JOURNAL!$E$8:$E$1007,"Salaires",JOURNAL!$C$8:$C$1007,PARAMETRES!$C$14)</f>
        <v>0</v>
      </c>
      <c r="H10" s="60" t="n">
        <f aca="false">IF(N($D10)=0,"—",$E10/$D10)</f>
        <v>0</v>
      </c>
    </row>
    <row r="11" customFormat="false" ht="18.75" hidden="false" customHeight="true" outlineLevel="0" collapsed="false">
      <c r="B11" s="130" t="s">
        <v>144</v>
      </c>
      <c r="C11" s="77" t="s">
        <v>223</v>
      </c>
      <c r="D11" s="120"/>
      <c r="E11" s="94" t="n">
        <f aca="false">SUMIFS(JOURNAL!$H$8:$H$1007,JOURNAL!$F$8:$F$1007,$B11,JOURNAL!$E$8:$E$1007,"Salaires",JOURNAL!$C$8:$C$1007,PARAMETRES!$C$14)</f>
        <v>2400</v>
      </c>
      <c r="F11" s="93" t="str">
        <f aca="false">IF($D11="","—",$D11-$E11)</f>
        <v>—</v>
      </c>
      <c r="G11" s="131" t="n">
        <f aca="false">COUNTIFS(JOURNAL!$F$8:$F$1007,$B11,JOURNAL!$E$8:$E$1007,"Salaires",JOURNAL!$C$8:$C$1007,PARAMETRES!$C$14)</f>
        <v>4</v>
      </c>
      <c r="H11" s="55" t="str">
        <f aca="false">IF(N($D11)=0,"—",$E11/$D11)</f>
        <v>—</v>
      </c>
    </row>
    <row r="12" customFormat="false" ht="18.75" hidden="false" customHeight="true" outlineLevel="0" collapsed="false">
      <c r="B12" s="132" t="s">
        <v>146</v>
      </c>
      <c r="C12" s="86" t="s">
        <v>223</v>
      </c>
      <c r="D12" s="120"/>
      <c r="E12" s="101" t="n">
        <f aca="false">SUMIFS(JOURNAL!$H$8:$H$1007,JOURNAL!$F$8:$F$1007,$B12,JOURNAL!$E$8:$E$1007,"Salaires",JOURNAL!$C$8:$C$1007,PARAMETRES!$C$14)</f>
        <v>4000</v>
      </c>
      <c r="F12" s="100" t="str">
        <f aca="false">IF($D12="","—",$D12-$E12)</f>
        <v>—</v>
      </c>
      <c r="G12" s="133" t="n">
        <f aca="false">COUNTIFS(JOURNAL!$F$8:$F$1007,$B12,JOURNAL!$E$8:$E$1007,"Salaires",JOURNAL!$C$8:$C$1007,PARAMETRES!$C$14)</f>
        <v>5</v>
      </c>
      <c r="H12" s="60" t="str">
        <f aca="false">IF(N($D12)=0,"—",$E12/$D12)</f>
        <v>—</v>
      </c>
    </row>
    <row r="13" customFormat="false" ht="18.75" hidden="false" customHeight="true" outlineLevel="0" collapsed="false">
      <c r="B13" s="130" t="s">
        <v>147</v>
      </c>
      <c r="C13" s="77" t="s">
        <v>225</v>
      </c>
      <c r="D13" s="120"/>
      <c r="E13" s="94" t="n">
        <f aca="false">SUMIFS(JOURNAL!$H$8:$H$1007,JOURNAL!$F$8:$F$1007,$B13,JOURNAL!$E$8:$E$1007,"Salaires",JOURNAL!$C$8:$C$1007,PARAMETRES!$C$14)</f>
        <v>1600</v>
      </c>
      <c r="F13" s="93" t="str">
        <f aca="false">IF($D13="","—",$D13-$E13)</f>
        <v>—</v>
      </c>
      <c r="G13" s="131" t="n">
        <f aca="false">COUNTIFS(JOURNAL!$F$8:$F$1007,$B13,JOURNAL!$E$8:$E$1007,"Salaires",JOURNAL!$C$8:$C$1007,PARAMETRES!$C$14)</f>
        <v>4</v>
      </c>
      <c r="H13" s="55" t="str">
        <f aca="false">IF(N($D13)=0,"—",$E13/$D13)</f>
        <v>—</v>
      </c>
    </row>
    <row r="14" customFormat="false" ht="18.75" hidden="false" customHeight="true" outlineLevel="0" collapsed="false">
      <c r="B14" s="132" t="s">
        <v>148</v>
      </c>
      <c r="C14" s="86" t="s">
        <v>225</v>
      </c>
      <c r="D14" s="120"/>
      <c r="E14" s="101" t="n">
        <f aca="false">SUMIFS(JOURNAL!$H$8:$H$1007,JOURNAL!$F$8:$F$1007,$B14,JOURNAL!$E$8:$E$1007,"Salaires",JOURNAL!$C$8:$C$1007,PARAMETRES!$C$14)</f>
        <v>2000</v>
      </c>
      <c r="F14" s="100" t="str">
        <f aca="false">IF($D14="","—",$D14-$E14)</f>
        <v>—</v>
      </c>
      <c r="G14" s="133" t="n">
        <f aca="false">COUNTIFS(JOURNAL!$F$8:$F$1007,$B14,JOURNAL!$E$8:$E$1007,"Salaires",JOURNAL!$C$8:$C$1007,PARAMETRES!$C$14)</f>
        <v>4</v>
      </c>
      <c r="H14" s="60" t="str">
        <f aca="false">IF(N($D14)=0,"—",$E14/$D14)</f>
        <v>—</v>
      </c>
    </row>
    <row r="15" customFormat="false" ht="18.75" hidden="false" customHeight="true" outlineLevel="0" collapsed="false">
      <c r="B15" s="130" t="s">
        <v>231</v>
      </c>
      <c r="C15" s="77" t="s">
        <v>225</v>
      </c>
      <c r="D15" s="120"/>
      <c r="E15" s="94" t="n">
        <f aca="false">SUMIFS(JOURNAL!$H$8:$H$1007,JOURNAL!$F$8:$F$1007,$B15,JOURNAL!$E$8:$E$1007,"Salaires",JOURNAL!$C$8:$C$1007,PARAMETRES!$C$14)</f>
        <v>0</v>
      </c>
      <c r="F15" s="93" t="str">
        <f aca="false">IF($D15="","—",$D15-$E15)</f>
        <v>—</v>
      </c>
      <c r="G15" s="131" t="n">
        <f aca="false">COUNTIFS(JOURNAL!$F$8:$F$1007,$B15,JOURNAL!$E$8:$E$1007,"Salaires",JOURNAL!$C$8:$C$1007,PARAMETRES!$C$14)</f>
        <v>0</v>
      </c>
      <c r="H15" s="55" t="str">
        <f aca="false">IF(N($D15)=0,"—",$E15/$D15)</f>
        <v>—</v>
      </c>
    </row>
    <row r="16" customFormat="false" ht="24" hidden="false" customHeight="true" outlineLevel="0" collapsed="false">
      <c r="B16" s="63" t="s">
        <v>232</v>
      </c>
      <c r="C16" s="63"/>
      <c r="D16" s="64" t="n">
        <f aca="false">SUM(D5:D15)</f>
        <v>17000</v>
      </c>
      <c r="E16" s="64" t="n">
        <f aca="false">SUM(E5:E15)</f>
        <v>12400</v>
      </c>
      <c r="F16" s="64" t="n">
        <f aca="false">$D16-$E16</f>
        <v>4600</v>
      </c>
      <c r="G16" s="134" t="n">
        <f aca="false">SUM(G5:G15)</f>
        <v>21</v>
      </c>
      <c r="H16" s="65" t="n">
        <f aca="false">IFERROR($E16/$D16,0)</f>
        <v>0.729411764705882</v>
      </c>
    </row>
    <row r="18" customFormat="false" ht="15" hidden="false" customHeight="false" outlineLevel="0" collapsed="false">
      <c r="B18" s="135" t="s">
        <v>233</v>
      </c>
      <c r="C18" s="135"/>
      <c r="D18" s="135"/>
      <c r="E18" s="129" t="n">
        <f aca="false">SUMIFS(JOURNAL!$H$8:$H$1007,JOURNAL!$E$8:$E$1007,"Salaires",JOURNAL!$C$8:$C$1007,PARAMETRES!$C$14)</f>
        <v>12400</v>
      </c>
    </row>
    <row r="19" customFormat="false" ht="15" hidden="false" customHeight="false" outlineLevel="0" collapsed="false">
      <c r="B19" s="136" t="s">
        <v>234</v>
      </c>
      <c r="C19" s="136"/>
      <c r="D19" s="136"/>
      <c r="E19" s="137" t="n">
        <f aca="false">$E18-$E16</f>
        <v>0</v>
      </c>
    </row>
    <row r="21" customFormat="false" ht="55.5" hidden="false" customHeight="true" outlineLevel="0" collapsed="false">
      <c r="B21" s="36" t="s">
        <v>235</v>
      </c>
      <c r="C21" s="36"/>
      <c r="D21" s="36"/>
      <c r="E21" s="36"/>
      <c r="F21" s="36"/>
      <c r="G21" s="36"/>
      <c r="H21" s="36"/>
    </row>
  </sheetData>
  <mergeCells count="6">
    <mergeCell ref="B1:H1"/>
    <mergeCell ref="B2:H2"/>
    <mergeCell ref="B16:C16"/>
    <mergeCell ref="B18:D18"/>
    <mergeCell ref="B19:D19"/>
    <mergeCell ref="B21:H21"/>
  </mergeCells>
  <conditionalFormatting sqref="F5:F15">
    <cfRule type="cellIs" priority="2" operator="greaterThan" aboveAverage="0" equalAverage="0" bottom="0" percent="0" rank="0" text="" dxfId="12">
      <formula>0</formula>
    </cfRule>
    <cfRule type="cellIs" priority="3" operator="lessThanOrEqual" aboveAverage="0" equalAverage="0" bottom="0" percent="0" rank="0" text="" dxfId="13">
      <formula>0</formula>
    </cfRule>
  </conditionalFormatting>
  <conditionalFormatting sqref="H5:H15">
    <cfRule type="dataBar" priority="4">
      <dataBar showValue="1" minLength="10" maxLength="90">
        <cfvo type="num" val="0"/>
        <cfvo type="num" val="1"/>
        <color rgb="FF9CCC9C"/>
      </dataBar>
      <extLst>
        <ext xmlns:x14="http://schemas.microsoft.com/office/spreadsheetml/2009/9/main" uri="{B025F937-C7B1-47D3-B67F-A62EFF666E3E}">
          <x14:id>{26973BAC-7BA0-4E22-958C-8A9372B8167B}</x14:id>
        </ext>
      </extLst>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dataBar" id="{26973BAC-7BA0-4E22-958C-8A9372B8167B}">
            <x14:dataBar minLength="10" maxLength="90" axisPosition="none" gradient="true">
              <x14:cfvo type="num">
                <xm:f>0</xm:f>
              </x14:cfvo>
              <x14:cfvo type="num">
                <xm:f>1</xm:f>
              </x14:cfvo>
              <x14:negativeFillColor rgb="FF9CCC9C"/>
              <x14:axisColor rgb="FF000000"/>
            </x14:dataBar>
          </x14:cfRule>
          <xm:sqref>H5:H15</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265"/>
    <pageSetUpPr fitToPage="true"/>
  </sheetPr>
  <dimension ref="B1: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14"/>
    <col collapsed="false" customWidth="true" hidden="false" outlineLevel="0" max="5" min="4" style="0" width="15"/>
    <col collapsed="false" customWidth="true" hidden="false" outlineLevel="0" max="6" min="6" style="0" width="12"/>
    <col collapsed="false" customWidth="true" hidden="false" outlineLevel="0" max="7" min="7" style="0" width="14"/>
    <col collapsed="false" customWidth="true" hidden="false" outlineLevel="0" max="9" min="8" style="0" width="15"/>
    <col collapsed="false" customWidth="true" hidden="false" outlineLevel="0" max="10" min="10" style="0" width="4"/>
  </cols>
  <sheetData>
    <row r="1" customFormat="false" ht="37.5" hidden="false" customHeight="true" outlineLevel="0" collapsed="false">
      <c r="B1" s="37" t="s">
        <v>236</v>
      </c>
      <c r="C1" s="37"/>
      <c r="D1" s="37"/>
      <c r="E1" s="37"/>
      <c r="F1" s="37"/>
      <c r="G1" s="37"/>
      <c r="H1" s="37"/>
      <c r="I1" s="37"/>
    </row>
    <row r="2" customFormat="false" ht="18" hidden="false" customHeight="true" outlineLevel="0" collapsed="false">
      <c r="B2" s="38" t="s">
        <v>237</v>
      </c>
      <c r="C2" s="38"/>
      <c r="D2" s="38"/>
      <c r="E2" s="38"/>
      <c r="F2" s="38"/>
      <c r="G2" s="38"/>
      <c r="H2" s="38"/>
      <c r="I2" s="38"/>
    </row>
    <row r="4" customFormat="false" ht="30" hidden="false" customHeight="true" outlineLevel="0" collapsed="false">
      <c r="B4" s="23" t="s">
        <v>238</v>
      </c>
      <c r="C4" s="23" t="s">
        <v>239</v>
      </c>
      <c r="D4" s="23" t="s">
        <v>240</v>
      </c>
      <c r="E4" s="23" t="s">
        <v>241</v>
      </c>
      <c r="F4" s="23" t="s">
        <v>242</v>
      </c>
      <c r="G4" s="23" t="s">
        <v>243</v>
      </c>
      <c r="H4" s="23" t="s">
        <v>244</v>
      </c>
      <c r="I4" s="23" t="s">
        <v>245</v>
      </c>
    </row>
    <row r="5" customFormat="false" ht="19.5" hidden="false" customHeight="true" outlineLevel="0" collapsed="false">
      <c r="B5" s="130" t="s">
        <v>246</v>
      </c>
      <c r="C5" s="120" t="n">
        <v>13</v>
      </c>
      <c r="D5" s="120"/>
      <c r="E5" s="93" t="str">
        <f aca="false">IF($D5="","—",$C5-$D5)</f>
        <v>—</v>
      </c>
      <c r="F5" s="138" t="str">
        <f aca="false">IF($D5="","—",IFERROR(($C5-$D5)/$C5,0))</f>
        <v>—</v>
      </c>
      <c r="G5" s="139" t="n">
        <v>100</v>
      </c>
      <c r="H5" s="94" t="n">
        <f aca="false">$C5*$G5</f>
        <v>1300</v>
      </c>
      <c r="I5" s="93" t="str">
        <f aca="false">IF($D5="","—",($C5-$D5)*$G5)</f>
        <v>—</v>
      </c>
    </row>
    <row r="6" customFormat="false" ht="19.5" hidden="false" customHeight="true" outlineLevel="0" collapsed="false">
      <c r="B6" s="132" t="s">
        <v>247</v>
      </c>
      <c r="C6" s="120" t="n">
        <v>13</v>
      </c>
      <c r="D6" s="120"/>
      <c r="E6" s="100" t="str">
        <f aca="false">IF($D6="","—",$C6-$D6)</f>
        <v>—</v>
      </c>
      <c r="F6" s="140" t="str">
        <f aca="false">IF($D6="","—",IFERROR(($C6-$D6)/$C6,0))</f>
        <v>—</v>
      </c>
      <c r="G6" s="139" t="n">
        <v>20</v>
      </c>
      <c r="H6" s="101" t="n">
        <f aca="false">$C6*$G6</f>
        <v>260</v>
      </c>
      <c r="I6" s="100" t="str">
        <f aca="false">IF($D6="","—",($C6-$D6)*$G6)</f>
        <v>—</v>
      </c>
    </row>
    <row r="7" customFormat="false" ht="19.5" hidden="false" customHeight="true" outlineLevel="0" collapsed="false">
      <c r="B7" s="130" t="s">
        <v>248</v>
      </c>
      <c r="C7" s="120" t="n">
        <v>20</v>
      </c>
      <c r="D7" s="120"/>
      <c r="E7" s="93" t="str">
        <f aca="false">IF($D7="","—",$C7-$D7)</f>
        <v>—</v>
      </c>
      <c r="F7" s="138" t="str">
        <f aca="false">IF($D7="","—",IFERROR(($C7-$D7)/$C7,0))</f>
        <v>—</v>
      </c>
      <c r="G7" s="139" t="n">
        <v>8</v>
      </c>
      <c r="H7" s="94" t="n">
        <f aca="false">$C7*$G7</f>
        <v>160</v>
      </c>
      <c r="I7" s="93" t="str">
        <f aca="false">IF($D7="","—",($C7-$D7)*$G7)</f>
        <v>—</v>
      </c>
    </row>
    <row r="8" customFormat="false" ht="19.5" hidden="false" customHeight="true" outlineLevel="0" collapsed="false">
      <c r="B8" s="132" t="s">
        <v>249</v>
      </c>
      <c r="C8" s="120" t="n">
        <v>12</v>
      </c>
      <c r="D8" s="120"/>
      <c r="E8" s="100" t="str">
        <f aca="false">IF($D8="","—",$C8-$D8)</f>
        <v>—</v>
      </c>
      <c r="F8" s="140" t="str">
        <f aca="false">IF($D8="","—",IFERROR(($C8-$D8)/$C8,0))</f>
        <v>—</v>
      </c>
      <c r="G8" s="139" t="n">
        <v>10</v>
      </c>
      <c r="H8" s="101" t="n">
        <f aca="false">$C8*$G8</f>
        <v>120</v>
      </c>
      <c r="I8" s="100" t="str">
        <f aca="false">IF($D8="","—",($C8-$D8)*$G8)</f>
        <v>—</v>
      </c>
    </row>
    <row r="9" customFormat="false" ht="24" hidden="false" customHeight="true" outlineLevel="0" collapsed="false">
      <c r="B9" s="63" t="s">
        <v>204</v>
      </c>
      <c r="C9" s="124"/>
      <c r="D9" s="124"/>
      <c r="E9" s="124"/>
      <c r="F9" s="65" t="str">
        <f aca="false">IF(COUNT($D$5:$D$8)=0,"—",IFERROR($I9/$H9,0))</f>
        <v>—</v>
      </c>
      <c r="G9" s="134" t="n">
        <f aca="false">SUM(G5:G8)</f>
        <v>138</v>
      </c>
      <c r="H9" s="64" t="n">
        <f aca="false">SUM(H5:H8)</f>
        <v>1840</v>
      </c>
      <c r="I9" s="64" t="str">
        <f aca="false">IF(COUNT($D$5:$D$8)=0,"—",SUMIF($D$5:$D$8,"&lt;&gt;",$I$5:$I$8))</f>
        <v>—</v>
      </c>
    </row>
    <row r="11" customFormat="false" ht="15" hidden="false" customHeight="false" outlineLevel="0" collapsed="false">
      <c r="B11" s="141" t="s">
        <v>250</v>
      </c>
      <c r="C11" s="142" t="n">
        <f aca="false">$H9*30</f>
        <v>55200</v>
      </c>
    </row>
    <row r="12" customFormat="false" ht="15" hidden="false" customHeight="false" outlineLevel="0" collapsed="false">
      <c r="B12" s="141" t="s">
        <v>251</v>
      </c>
      <c r="C12" s="128" t="n">
        <f aca="false">SUMIFS(JOURNAL!$H$8:$H$1007,JOURNAL!$D$8:$D$1007,"RECETTE",JOURNAL!$C$8:$C$1007,PARAMETRES!$C$14)</f>
        <v>54937</v>
      </c>
    </row>
    <row r="13" customFormat="false" ht="15" hidden="false" customHeight="false" outlineLevel="0" collapsed="false">
      <c r="B13" s="141" t="s">
        <v>252</v>
      </c>
      <c r="C13" s="126" t="n">
        <f aca="false">$C12-$C11</f>
        <v>-263</v>
      </c>
    </row>
    <row r="15" customFormat="false" ht="49.5" hidden="false" customHeight="true" outlineLevel="0" collapsed="false">
      <c r="B15" s="36" t="s">
        <v>253</v>
      </c>
      <c r="C15" s="36"/>
      <c r="D15" s="36"/>
      <c r="E15" s="36"/>
      <c r="F15" s="36"/>
      <c r="G15" s="36"/>
      <c r="H15" s="36"/>
      <c r="I15" s="36"/>
    </row>
  </sheetData>
  <mergeCells count="3">
    <mergeCell ref="B1:I1"/>
    <mergeCell ref="B2:I2"/>
    <mergeCell ref="B15:I15"/>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D4037"/>
    <pageSetUpPr fitToPage="true"/>
  </sheetPr>
  <dimension ref="B1:F1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6"/>
    <col collapsed="false" customWidth="true" hidden="false" outlineLevel="0" max="3" min="3" style="0" width="58"/>
    <col collapsed="false" customWidth="true" hidden="false" outlineLevel="0" max="6" min="4" style="0" width="16"/>
    <col collapsed="false" customWidth="true" hidden="false" outlineLevel="0" max="7" min="7" style="0" width="4"/>
  </cols>
  <sheetData>
    <row r="1" customFormat="false" ht="37.5" hidden="false" customHeight="true" outlineLevel="0" collapsed="false">
      <c r="B1" s="37" t="s">
        <v>254</v>
      </c>
      <c r="C1" s="37"/>
      <c r="D1" s="37"/>
      <c r="E1" s="37"/>
      <c r="F1" s="37"/>
    </row>
    <row r="2" customFormat="false" ht="18" hidden="false" customHeight="true" outlineLevel="0" collapsed="false">
      <c r="B2" s="38" t="s">
        <v>255</v>
      </c>
      <c r="C2" s="38"/>
      <c r="D2" s="38"/>
      <c r="E2" s="38"/>
      <c r="F2" s="38"/>
    </row>
    <row r="4" customFormat="false" ht="24" hidden="false" customHeight="true" outlineLevel="0" collapsed="false">
      <c r="B4" s="19" t="s">
        <v>256</v>
      </c>
      <c r="C4" s="19"/>
      <c r="D4" s="19"/>
      <c r="E4" s="19"/>
      <c r="F4" s="19"/>
    </row>
    <row r="5" customFormat="false" ht="30" hidden="false" customHeight="true" outlineLevel="0" collapsed="false">
      <c r="B5" s="23"/>
      <c r="C5" s="23" t="s">
        <v>188</v>
      </c>
      <c r="D5" s="23" t="s">
        <v>257</v>
      </c>
      <c r="E5" s="23" t="s">
        <v>258</v>
      </c>
      <c r="F5" s="23" t="s">
        <v>204</v>
      </c>
    </row>
    <row r="6" customFormat="false" ht="19.5" hidden="false" customHeight="true" outlineLevel="0" collapsed="false">
      <c r="B6" s="93"/>
      <c r="C6" s="119" t="s">
        <v>259</v>
      </c>
      <c r="D6" s="93" t="n">
        <f aca="false">$D$91</f>
        <v>397738</v>
      </c>
      <c r="E6" s="93" t="n">
        <f aca="false">$E$91</f>
        <v>404700</v>
      </c>
      <c r="F6" s="93" t="n">
        <f aca="false">$D6+$E6</f>
        <v>802438</v>
      </c>
    </row>
    <row r="7" customFormat="false" ht="19.5" hidden="false" customHeight="true" outlineLevel="0" collapsed="false">
      <c r="B7" s="100"/>
      <c r="C7" s="122" t="s">
        <v>260</v>
      </c>
      <c r="D7" s="100" t="n">
        <f aca="false">$D$139</f>
        <v>148042</v>
      </c>
      <c r="E7" s="100" t="n">
        <f aca="false">$E$139</f>
        <v>298821</v>
      </c>
      <c r="F7" s="100" t="n">
        <f aca="false">$D7+$E7</f>
        <v>446863</v>
      </c>
    </row>
    <row r="8" customFormat="false" ht="19.5" hidden="false" customHeight="true" outlineLevel="0" collapsed="false">
      <c r="B8" s="143"/>
      <c r="C8" s="144" t="s">
        <v>261</v>
      </c>
      <c r="D8" s="143" t="n">
        <f aca="false">SUM($D$6:$D$7)</f>
        <v>545780</v>
      </c>
      <c r="E8" s="143" t="n">
        <f aca="false">SUM($E$6:$E$7)</f>
        <v>703521</v>
      </c>
      <c r="F8" s="143" t="n">
        <f aca="false">$D8+$E8</f>
        <v>1249301</v>
      </c>
    </row>
    <row r="9" customFormat="false" ht="19.5" hidden="false" customHeight="true" outlineLevel="0" collapsed="false">
      <c r="B9" s="100"/>
      <c r="C9" s="122" t="s">
        <v>262</v>
      </c>
      <c r="D9" s="100" t="n">
        <v>397500</v>
      </c>
      <c r="E9" s="100" t="n">
        <v>397500</v>
      </c>
      <c r="F9" s="100" t="n">
        <f aca="false">$D9+$E9</f>
        <v>795000</v>
      </c>
    </row>
    <row r="10" customFormat="false" ht="19.5" hidden="false" customHeight="true" outlineLevel="0" collapsed="false">
      <c r="B10" s="143"/>
      <c r="C10" s="144" t="s">
        <v>263</v>
      </c>
      <c r="D10" s="143" t="n">
        <f aca="false">$D9-$D6</f>
        <v>-238</v>
      </c>
      <c r="E10" s="143" t="n">
        <f aca="false">$E9-$E6</f>
        <v>-7200</v>
      </c>
      <c r="F10" s="143" t="n">
        <f aca="false">$D10+$E10</f>
        <v>-7438</v>
      </c>
    </row>
    <row r="11" customFormat="false" ht="19.5" hidden="false" customHeight="true" outlineLevel="0" collapsed="false">
      <c r="B11" s="100"/>
      <c r="C11" s="122" t="s">
        <v>264</v>
      </c>
      <c r="D11" s="100"/>
      <c r="E11" s="100"/>
      <c r="F11" s="100" t="n">
        <f aca="false">$D6-$E6</f>
        <v>-6962</v>
      </c>
    </row>
    <row r="12" customFormat="false" ht="19.5" hidden="false" customHeight="true" outlineLevel="0" collapsed="false">
      <c r="B12" s="93"/>
      <c r="C12" s="119" t="s">
        <v>265</v>
      </c>
      <c r="D12" s="93"/>
      <c r="E12" s="93"/>
      <c r="F12" s="93" t="n">
        <f aca="false">$D7-$E7</f>
        <v>-150779</v>
      </c>
    </row>
    <row r="13" customFormat="false" ht="19.5" hidden="false" customHeight="true" outlineLevel="0" collapsed="false">
      <c r="B13" s="143"/>
      <c r="C13" s="144" t="s">
        <v>266</v>
      </c>
      <c r="D13" s="143"/>
      <c r="E13" s="143"/>
      <c r="F13" s="143" t="n">
        <f aca="false">$D8-$E8</f>
        <v>-157741</v>
      </c>
    </row>
    <row r="15" customFormat="false" ht="43.5" hidden="false" customHeight="true" outlineLevel="0" collapsed="false">
      <c r="B15" s="36" t="s">
        <v>267</v>
      </c>
      <c r="C15" s="36"/>
      <c r="D15" s="36"/>
      <c r="E15" s="36"/>
      <c r="F15" s="36"/>
    </row>
    <row r="28" customFormat="false" ht="24" hidden="false" customHeight="true" outlineLevel="0" collapsed="false">
      <c r="B28" s="19" t="s">
        <v>268</v>
      </c>
      <c r="C28" s="19"/>
      <c r="D28" s="19"/>
      <c r="E28" s="19"/>
      <c r="F28" s="19"/>
    </row>
    <row r="29" customFormat="false" ht="30" hidden="false" customHeight="true" outlineLevel="0" collapsed="false">
      <c r="B29" s="23" t="s">
        <v>128</v>
      </c>
      <c r="C29" s="23" t="s">
        <v>269</v>
      </c>
      <c r="D29" s="23" t="s">
        <v>257</v>
      </c>
      <c r="E29" s="23" t="s">
        <v>258</v>
      </c>
      <c r="F29" s="23" t="s">
        <v>204</v>
      </c>
    </row>
    <row r="30" customFormat="false" ht="15.75" hidden="false" customHeight="true" outlineLevel="0" collapsed="false">
      <c r="B30" s="145" t="n">
        <v>1</v>
      </c>
      <c r="C30" s="53" t="s">
        <v>270</v>
      </c>
      <c r="D30" s="146" t="n">
        <v>10000</v>
      </c>
      <c r="E30" s="146" t="n">
        <v>90000</v>
      </c>
      <c r="F30" s="147" t="n">
        <f aca="false">N($D30)+N($E30)</f>
        <v>100000</v>
      </c>
    </row>
    <row r="31" customFormat="false" ht="15.75" hidden="false" customHeight="true" outlineLevel="0" collapsed="false">
      <c r="B31" s="148" t="n">
        <v>2</v>
      </c>
      <c r="C31" s="58" t="s">
        <v>271</v>
      </c>
      <c r="D31" s="149" t="n">
        <v>20000</v>
      </c>
      <c r="E31" s="149"/>
      <c r="F31" s="150" t="n">
        <f aca="false">N($D31)+N($E31)</f>
        <v>20000</v>
      </c>
    </row>
    <row r="32" customFormat="false" ht="15.75" hidden="false" customHeight="true" outlineLevel="0" collapsed="false">
      <c r="B32" s="145" t="n">
        <v>3</v>
      </c>
      <c r="C32" s="53" t="s">
        <v>271</v>
      </c>
      <c r="D32" s="146" t="n">
        <v>30000</v>
      </c>
      <c r="E32" s="146"/>
      <c r="F32" s="147" t="n">
        <f aca="false">N($D32)+N($E32)</f>
        <v>30000</v>
      </c>
    </row>
    <row r="33" customFormat="false" ht="15.75" hidden="false" customHeight="true" outlineLevel="0" collapsed="false">
      <c r="B33" s="148" t="n">
        <v>4</v>
      </c>
      <c r="C33" s="58" t="s">
        <v>272</v>
      </c>
      <c r="D33" s="149"/>
      <c r="E33" s="149" t="n">
        <v>20000</v>
      </c>
      <c r="F33" s="150" t="n">
        <f aca="false">N($D33)+N($E33)</f>
        <v>20000</v>
      </c>
    </row>
    <row r="34" customFormat="false" ht="15.75" hidden="false" customHeight="true" outlineLevel="0" collapsed="false">
      <c r="B34" s="145" t="n">
        <v>5</v>
      </c>
      <c r="C34" s="53" t="s">
        <v>273</v>
      </c>
      <c r="D34" s="146"/>
      <c r="E34" s="146" t="n">
        <v>20000</v>
      </c>
      <c r="F34" s="147" t="n">
        <f aca="false">N($D34)+N($E34)</f>
        <v>20000</v>
      </c>
    </row>
    <row r="35" customFormat="false" ht="15.75" hidden="false" customHeight="true" outlineLevel="0" collapsed="false">
      <c r="B35" s="148" t="n">
        <v>6</v>
      </c>
      <c r="C35" s="58" t="s">
        <v>274</v>
      </c>
      <c r="D35" s="149"/>
      <c r="E35" s="149" t="n">
        <v>20000</v>
      </c>
      <c r="F35" s="150" t="n">
        <f aca="false">N($D35)+N($E35)</f>
        <v>20000</v>
      </c>
    </row>
    <row r="36" customFormat="false" ht="15.75" hidden="false" customHeight="true" outlineLevel="0" collapsed="false">
      <c r="B36" s="145" t="n">
        <v>7</v>
      </c>
      <c r="C36" s="53" t="s">
        <v>275</v>
      </c>
      <c r="D36" s="146"/>
      <c r="E36" s="146" t="n">
        <v>15000</v>
      </c>
      <c r="F36" s="147" t="n">
        <f aca="false">N($D36)+N($E36)</f>
        <v>15000</v>
      </c>
    </row>
    <row r="37" customFormat="false" ht="15.75" hidden="false" customHeight="true" outlineLevel="0" collapsed="false">
      <c r="B37" s="148" t="n">
        <v>8</v>
      </c>
      <c r="C37" s="58" t="s">
        <v>276</v>
      </c>
      <c r="D37" s="149"/>
      <c r="E37" s="149"/>
      <c r="F37" s="150" t="n">
        <f aca="false">N($D37)+N($E37)</f>
        <v>0</v>
      </c>
    </row>
    <row r="38" customFormat="false" ht="15.75" hidden="false" customHeight="true" outlineLevel="0" collapsed="false">
      <c r="B38" s="145" t="n">
        <v>9</v>
      </c>
      <c r="C38" s="53" t="s">
        <v>277</v>
      </c>
      <c r="D38" s="146"/>
      <c r="E38" s="146" t="n">
        <v>60000</v>
      </c>
      <c r="F38" s="147" t="n">
        <f aca="false">N($D38)+N($E38)</f>
        <v>60000</v>
      </c>
    </row>
    <row r="39" customFormat="false" ht="15.75" hidden="false" customHeight="true" outlineLevel="0" collapsed="false">
      <c r="B39" s="148" t="n">
        <v>10</v>
      </c>
      <c r="C39" s="58" t="s">
        <v>274</v>
      </c>
      <c r="D39" s="149"/>
      <c r="E39" s="149" t="n">
        <v>20000</v>
      </c>
      <c r="F39" s="150" t="n">
        <f aca="false">N($D39)+N($E39)</f>
        <v>20000</v>
      </c>
    </row>
    <row r="40" customFormat="false" ht="15.75" hidden="false" customHeight="true" outlineLevel="0" collapsed="false">
      <c r="B40" s="145" t="n">
        <v>11</v>
      </c>
      <c r="C40" s="53" t="s">
        <v>278</v>
      </c>
      <c r="D40" s="146"/>
      <c r="E40" s="146"/>
      <c r="F40" s="147" t="n">
        <f aca="false">N($D40)+N($E40)</f>
        <v>0</v>
      </c>
    </row>
    <row r="41" customFormat="false" ht="15.75" hidden="false" customHeight="true" outlineLevel="0" collapsed="false">
      <c r="B41" s="148" t="n">
        <v>12</v>
      </c>
      <c r="C41" s="58" t="s">
        <v>279</v>
      </c>
      <c r="D41" s="149" t="n">
        <v>25000</v>
      </c>
      <c r="E41" s="149"/>
      <c r="F41" s="150" t="n">
        <f aca="false">N($D41)+N($E41)</f>
        <v>25000</v>
      </c>
    </row>
    <row r="42" customFormat="false" ht="15.75" hidden="false" customHeight="true" outlineLevel="0" collapsed="false">
      <c r="B42" s="145" t="n">
        <v>13</v>
      </c>
      <c r="C42" s="53" t="s">
        <v>280</v>
      </c>
      <c r="D42" s="146" t="n">
        <v>7800</v>
      </c>
      <c r="E42" s="146"/>
      <c r="F42" s="147" t="n">
        <f aca="false">N($D42)+N($E42)</f>
        <v>7800</v>
      </c>
    </row>
    <row r="43" customFormat="false" ht="15.75" hidden="false" customHeight="true" outlineLevel="0" collapsed="false">
      <c r="B43" s="148" t="n">
        <v>14</v>
      </c>
      <c r="C43" s="58" t="s">
        <v>281</v>
      </c>
      <c r="D43" s="149"/>
      <c r="E43" s="149" t="n">
        <v>60000</v>
      </c>
      <c r="F43" s="150" t="n">
        <f aca="false">N($D43)+N($E43)</f>
        <v>60000</v>
      </c>
    </row>
    <row r="44" customFormat="false" ht="15.75" hidden="false" customHeight="true" outlineLevel="0" collapsed="false">
      <c r="B44" s="145" t="n">
        <v>15</v>
      </c>
      <c r="C44" s="53" t="s">
        <v>282</v>
      </c>
      <c r="D44" s="146"/>
      <c r="E44" s="146" t="n">
        <v>20000</v>
      </c>
      <c r="F44" s="147" t="n">
        <f aca="false">N($D44)+N($E44)</f>
        <v>20000</v>
      </c>
    </row>
    <row r="45" customFormat="false" ht="15.75" hidden="false" customHeight="true" outlineLevel="0" collapsed="false">
      <c r="B45" s="148" t="n">
        <v>16</v>
      </c>
      <c r="C45" s="58" t="s">
        <v>283</v>
      </c>
      <c r="D45" s="149"/>
      <c r="E45" s="149" t="n">
        <v>3500</v>
      </c>
      <c r="F45" s="150" t="n">
        <f aca="false">N($D45)+N($E45)</f>
        <v>3500</v>
      </c>
    </row>
    <row r="46" customFormat="false" ht="15.75" hidden="false" customHeight="true" outlineLevel="0" collapsed="false">
      <c r="B46" s="145" t="n">
        <v>17</v>
      </c>
      <c r="C46" s="53" t="s">
        <v>284</v>
      </c>
      <c r="D46" s="146"/>
      <c r="E46" s="146" t="n">
        <v>11700</v>
      </c>
      <c r="F46" s="147" t="n">
        <f aca="false">N($D46)+N($E46)</f>
        <v>11700</v>
      </c>
    </row>
    <row r="47" customFormat="false" ht="15.75" hidden="false" customHeight="true" outlineLevel="0" collapsed="false">
      <c r="B47" s="148" t="n">
        <v>18</v>
      </c>
      <c r="C47" s="58" t="s">
        <v>285</v>
      </c>
      <c r="D47" s="149" t="n">
        <v>150000</v>
      </c>
      <c r="E47" s="149"/>
      <c r="F47" s="150" t="n">
        <f aca="false">N($D47)+N($E47)</f>
        <v>150000</v>
      </c>
    </row>
    <row r="48" customFormat="false" ht="15.75" hidden="false" customHeight="true" outlineLevel="0" collapsed="false">
      <c r="B48" s="145" t="n">
        <v>19</v>
      </c>
      <c r="C48" s="53" t="s">
        <v>286</v>
      </c>
      <c r="D48" s="146" t="n">
        <v>5000</v>
      </c>
      <c r="E48" s="146"/>
      <c r="F48" s="147" t="n">
        <f aca="false">N($D48)+N($E48)</f>
        <v>5000</v>
      </c>
    </row>
    <row r="49" customFormat="false" ht="15.75" hidden="false" customHeight="true" outlineLevel="0" collapsed="false">
      <c r="B49" s="148" t="n">
        <v>20</v>
      </c>
      <c r="C49" s="58" t="s">
        <v>287</v>
      </c>
      <c r="D49" s="149" t="n">
        <v>10500</v>
      </c>
      <c r="E49" s="149"/>
      <c r="F49" s="150" t="n">
        <f aca="false">N($D49)+N($E49)</f>
        <v>10500</v>
      </c>
    </row>
    <row r="50" customFormat="false" ht="15.75" hidden="false" customHeight="true" outlineLevel="0" collapsed="false">
      <c r="B50" s="145" t="n">
        <v>21</v>
      </c>
      <c r="C50" s="53" t="s">
        <v>288</v>
      </c>
      <c r="D50" s="146" t="n">
        <v>110</v>
      </c>
      <c r="E50" s="146"/>
      <c r="F50" s="147" t="n">
        <f aca="false">N($D50)+N($E50)</f>
        <v>110</v>
      </c>
    </row>
    <row r="51" customFormat="false" ht="15.75" hidden="false" customHeight="true" outlineLevel="0" collapsed="false">
      <c r="B51" s="148" t="n">
        <v>22</v>
      </c>
      <c r="C51" s="58" t="s">
        <v>289</v>
      </c>
      <c r="D51" s="149" t="n">
        <v>30000</v>
      </c>
      <c r="E51" s="149"/>
      <c r="F51" s="150" t="n">
        <f aca="false">N($D51)+N($E51)</f>
        <v>30000</v>
      </c>
    </row>
    <row r="52" customFormat="false" ht="15.75" hidden="false" customHeight="true" outlineLevel="0" collapsed="false">
      <c r="B52" s="145" t="n">
        <v>23</v>
      </c>
      <c r="C52" s="53" t="s">
        <v>290</v>
      </c>
      <c r="D52" s="146" t="n">
        <v>681</v>
      </c>
      <c r="E52" s="146"/>
      <c r="F52" s="147" t="n">
        <f aca="false">N($D52)+N($E52)</f>
        <v>681</v>
      </c>
    </row>
    <row r="53" customFormat="false" ht="15.75" hidden="false" customHeight="true" outlineLevel="0" collapsed="false">
      <c r="B53" s="148" t="n">
        <v>24</v>
      </c>
      <c r="C53" s="58" t="s">
        <v>291</v>
      </c>
      <c r="D53" s="149" t="n">
        <v>10000</v>
      </c>
      <c r="E53" s="149"/>
      <c r="F53" s="150" t="n">
        <f aca="false">N($D53)+N($E53)</f>
        <v>10000</v>
      </c>
    </row>
    <row r="54" customFormat="false" ht="15.75" hidden="false" customHeight="true" outlineLevel="0" collapsed="false">
      <c r="B54" s="145" t="n">
        <v>25</v>
      </c>
      <c r="C54" s="53" t="s">
        <v>292</v>
      </c>
      <c r="D54" s="146" t="n">
        <v>531</v>
      </c>
      <c r="E54" s="146"/>
      <c r="F54" s="147" t="n">
        <f aca="false">N($D54)+N($E54)</f>
        <v>531</v>
      </c>
    </row>
    <row r="55" customFormat="false" ht="15.75" hidden="false" customHeight="true" outlineLevel="0" collapsed="false">
      <c r="B55" s="148" t="n">
        <v>26</v>
      </c>
      <c r="C55" s="58" t="s">
        <v>293</v>
      </c>
      <c r="D55" s="149" t="n">
        <v>3400</v>
      </c>
      <c r="E55" s="149"/>
      <c r="F55" s="150" t="n">
        <f aca="false">N($D55)+N($E55)</f>
        <v>3400</v>
      </c>
    </row>
    <row r="56" customFormat="false" ht="15.75" hidden="false" customHeight="true" outlineLevel="0" collapsed="false">
      <c r="B56" s="145" t="n">
        <v>27</v>
      </c>
      <c r="C56" s="53" t="s">
        <v>294</v>
      </c>
      <c r="D56" s="146" t="n">
        <v>5926</v>
      </c>
      <c r="E56" s="146"/>
      <c r="F56" s="147" t="n">
        <f aca="false">N($D56)+N($E56)</f>
        <v>5926</v>
      </c>
    </row>
    <row r="57" customFormat="false" ht="15.75" hidden="false" customHeight="true" outlineLevel="0" collapsed="false">
      <c r="B57" s="148" t="n">
        <v>28</v>
      </c>
      <c r="C57" s="58" t="s">
        <v>295</v>
      </c>
      <c r="D57" s="149" t="n">
        <v>367</v>
      </c>
      <c r="E57" s="149"/>
      <c r="F57" s="150" t="n">
        <f aca="false">N($D57)+N($E57)</f>
        <v>367</v>
      </c>
    </row>
    <row r="58" customFormat="false" ht="15.75" hidden="false" customHeight="true" outlineLevel="0" collapsed="false">
      <c r="B58" s="145" t="n">
        <v>29</v>
      </c>
      <c r="C58" s="53" t="s">
        <v>296</v>
      </c>
      <c r="D58" s="146" t="n">
        <v>225</v>
      </c>
      <c r="E58" s="146"/>
      <c r="F58" s="147" t="n">
        <f aca="false">N($D58)+N($E58)</f>
        <v>225</v>
      </c>
    </row>
    <row r="59" customFormat="false" ht="15.75" hidden="false" customHeight="true" outlineLevel="0" collapsed="false">
      <c r="B59" s="148" t="n">
        <v>30</v>
      </c>
      <c r="C59" s="58" t="s">
        <v>297</v>
      </c>
      <c r="D59" s="149" t="n">
        <v>1140</v>
      </c>
      <c r="E59" s="149"/>
      <c r="F59" s="150" t="n">
        <f aca="false">N($D59)+N($E59)</f>
        <v>1140</v>
      </c>
    </row>
    <row r="60" customFormat="false" ht="15.75" hidden="false" customHeight="true" outlineLevel="0" collapsed="false">
      <c r="B60" s="145" t="n">
        <v>31</v>
      </c>
      <c r="C60" s="53" t="s">
        <v>298</v>
      </c>
      <c r="D60" s="146" t="n">
        <v>24120</v>
      </c>
      <c r="E60" s="146"/>
      <c r="F60" s="147" t="n">
        <f aca="false">N($D60)+N($E60)</f>
        <v>24120</v>
      </c>
    </row>
    <row r="61" customFormat="false" ht="15.75" hidden="false" customHeight="true" outlineLevel="0" collapsed="false">
      <c r="B61" s="148" t="n">
        <v>32</v>
      </c>
      <c r="C61" s="58" t="s">
        <v>299</v>
      </c>
      <c r="D61" s="149" t="n">
        <v>20000</v>
      </c>
      <c r="E61" s="149"/>
      <c r="F61" s="150" t="n">
        <f aca="false">N($D61)+N($E61)</f>
        <v>20000</v>
      </c>
    </row>
    <row r="62" customFormat="false" ht="15.75" hidden="false" customHeight="true" outlineLevel="0" collapsed="false">
      <c r="B62" s="145" t="n">
        <v>33</v>
      </c>
      <c r="C62" s="53" t="s">
        <v>300</v>
      </c>
      <c r="D62" s="146" t="n">
        <v>1040</v>
      </c>
      <c r="E62" s="146"/>
      <c r="F62" s="147" t="n">
        <f aca="false">N($D62)+N($E62)</f>
        <v>1040</v>
      </c>
    </row>
    <row r="63" customFormat="false" ht="15.75" hidden="false" customHeight="true" outlineLevel="0" collapsed="false">
      <c r="B63" s="148" t="n">
        <v>34</v>
      </c>
      <c r="C63" s="58" t="s">
        <v>301</v>
      </c>
      <c r="D63" s="149" t="n">
        <v>4781</v>
      </c>
      <c r="E63" s="149"/>
      <c r="F63" s="150" t="n">
        <f aca="false">N($D63)+N($E63)</f>
        <v>4781</v>
      </c>
    </row>
    <row r="64" customFormat="false" ht="15.75" hidden="false" customHeight="true" outlineLevel="0" collapsed="false">
      <c r="B64" s="145" t="n">
        <v>35</v>
      </c>
      <c r="C64" s="53" t="s">
        <v>302</v>
      </c>
      <c r="D64" s="146" t="n">
        <v>285</v>
      </c>
      <c r="E64" s="146"/>
      <c r="F64" s="147" t="n">
        <f aca="false">N($D64)+N($E64)</f>
        <v>285</v>
      </c>
    </row>
    <row r="65" customFormat="false" ht="15.75" hidden="false" customHeight="true" outlineLevel="0" collapsed="false">
      <c r="B65" s="148" t="n">
        <v>36</v>
      </c>
      <c r="C65" s="58" t="s">
        <v>303</v>
      </c>
      <c r="D65" s="149" t="n">
        <v>11600</v>
      </c>
      <c r="E65" s="149"/>
      <c r="F65" s="150" t="n">
        <f aca="false">N($D65)+N($E65)</f>
        <v>11600</v>
      </c>
    </row>
    <row r="66" customFormat="false" ht="15.75" hidden="false" customHeight="true" outlineLevel="0" collapsed="false">
      <c r="B66" s="145" t="n">
        <v>37</v>
      </c>
      <c r="C66" s="53" t="s">
        <v>304</v>
      </c>
      <c r="D66" s="146" t="n">
        <v>1650</v>
      </c>
      <c r="E66" s="146"/>
      <c r="F66" s="147" t="n">
        <f aca="false">N($D66)+N($E66)</f>
        <v>1650</v>
      </c>
    </row>
    <row r="67" customFormat="false" ht="15.75" hidden="false" customHeight="true" outlineLevel="0" collapsed="false">
      <c r="B67" s="148" t="n">
        <v>38</v>
      </c>
      <c r="C67" s="58" t="s">
        <v>305</v>
      </c>
      <c r="D67" s="149" t="n">
        <v>395</v>
      </c>
      <c r="E67" s="149"/>
      <c r="F67" s="150" t="n">
        <f aca="false">N($D67)+N($E67)</f>
        <v>395</v>
      </c>
    </row>
    <row r="68" customFormat="false" ht="15.75" hidden="false" customHeight="true" outlineLevel="0" collapsed="false">
      <c r="B68" s="145" t="n">
        <v>39</v>
      </c>
      <c r="C68" s="53" t="s">
        <v>306</v>
      </c>
      <c r="D68" s="146" t="n">
        <v>2453</v>
      </c>
      <c r="E68" s="146"/>
      <c r="F68" s="147" t="n">
        <f aca="false">N($D68)+N($E68)</f>
        <v>2453</v>
      </c>
    </row>
    <row r="69" customFormat="false" ht="15.75" hidden="false" customHeight="true" outlineLevel="0" collapsed="false">
      <c r="B69" s="148" t="n">
        <v>40</v>
      </c>
      <c r="C69" s="58" t="s">
        <v>307</v>
      </c>
      <c r="D69" s="149" t="n">
        <v>263</v>
      </c>
      <c r="E69" s="149"/>
      <c r="F69" s="150" t="n">
        <f aca="false">N($D69)+N($E69)</f>
        <v>263</v>
      </c>
    </row>
    <row r="70" customFormat="false" ht="15.75" hidden="false" customHeight="true" outlineLevel="0" collapsed="false">
      <c r="B70" s="145" t="n">
        <v>41</v>
      </c>
      <c r="C70" s="53" t="s">
        <v>308</v>
      </c>
      <c r="D70" s="146"/>
      <c r="E70" s="146" t="n">
        <v>10000</v>
      </c>
      <c r="F70" s="147" t="n">
        <f aca="false">N($D70)+N($E70)</f>
        <v>10000</v>
      </c>
    </row>
    <row r="71" customFormat="false" ht="15.75" hidden="false" customHeight="true" outlineLevel="0" collapsed="false">
      <c r="B71" s="148" t="n">
        <v>42</v>
      </c>
      <c r="C71" s="58" t="s">
        <v>309</v>
      </c>
      <c r="D71" s="149" t="n">
        <v>767</v>
      </c>
      <c r="E71" s="149"/>
      <c r="F71" s="150" t="n">
        <f aca="false">N($D71)+N($E71)</f>
        <v>767</v>
      </c>
    </row>
    <row r="72" customFormat="false" ht="15.75" hidden="false" customHeight="true" outlineLevel="0" collapsed="false">
      <c r="B72" s="145" t="n">
        <v>43</v>
      </c>
      <c r="C72" s="53" t="s">
        <v>310</v>
      </c>
      <c r="D72" s="146" t="n">
        <v>190</v>
      </c>
      <c r="E72" s="146"/>
      <c r="F72" s="147" t="n">
        <f aca="false">N($D72)+N($E72)</f>
        <v>190</v>
      </c>
    </row>
    <row r="73" customFormat="false" ht="15.75" hidden="false" customHeight="true" outlineLevel="0" collapsed="false">
      <c r="B73" s="148" t="n">
        <v>44</v>
      </c>
      <c r="C73" s="58" t="s">
        <v>311</v>
      </c>
      <c r="D73" s="149" t="n">
        <v>70</v>
      </c>
      <c r="E73" s="149"/>
      <c r="F73" s="150" t="n">
        <f aca="false">N($D73)+N($E73)</f>
        <v>70</v>
      </c>
    </row>
    <row r="74" customFormat="false" ht="15.75" hidden="false" customHeight="true" outlineLevel="0" collapsed="false">
      <c r="B74" s="145" t="n">
        <v>45</v>
      </c>
      <c r="C74" s="53" t="s">
        <v>312</v>
      </c>
      <c r="D74" s="146" t="n">
        <v>240</v>
      </c>
      <c r="E74" s="146"/>
      <c r="F74" s="147" t="n">
        <f aca="false">N($D74)+N($E74)</f>
        <v>240</v>
      </c>
    </row>
    <row r="75" customFormat="false" ht="15.75" hidden="false" customHeight="true" outlineLevel="0" collapsed="false">
      <c r="B75" s="148" t="n">
        <v>46</v>
      </c>
      <c r="C75" s="58" t="s">
        <v>313</v>
      </c>
      <c r="D75" s="149" t="n">
        <v>571</v>
      </c>
      <c r="E75" s="149"/>
      <c r="F75" s="150" t="n">
        <f aca="false">N($D75)+N($E75)</f>
        <v>571</v>
      </c>
    </row>
    <row r="76" customFormat="false" ht="15.75" hidden="false" customHeight="true" outlineLevel="0" collapsed="false">
      <c r="B76" s="145" t="n">
        <v>47</v>
      </c>
      <c r="C76" s="53" t="s">
        <v>314</v>
      </c>
      <c r="D76" s="146" t="n">
        <v>4820</v>
      </c>
      <c r="E76" s="146"/>
      <c r="F76" s="147" t="n">
        <f aca="false">N($D76)+N($E76)</f>
        <v>4820</v>
      </c>
    </row>
    <row r="77" customFormat="false" ht="15.75" hidden="false" customHeight="true" outlineLevel="0" collapsed="false">
      <c r="B77" s="148" t="n">
        <v>48</v>
      </c>
      <c r="C77" s="58" t="s">
        <v>315</v>
      </c>
      <c r="D77" s="149"/>
      <c r="E77" s="149" t="n">
        <v>20000</v>
      </c>
      <c r="F77" s="150" t="n">
        <f aca="false">N($D77)+N($E77)</f>
        <v>20000</v>
      </c>
    </row>
    <row r="78" customFormat="false" ht="15.75" hidden="false" customHeight="true" outlineLevel="0" collapsed="false">
      <c r="B78" s="145" t="n">
        <v>49</v>
      </c>
      <c r="C78" s="53" t="s">
        <v>316</v>
      </c>
      <c r="D78" s="146" t="n">
        <v>192</v>
      </c>
      <c r="E78" s="146"/>
      <c r="F78" s="147" t="n">
        <f aca="false">N($D78)+N($E78)</f>
        <v>192</v>
      </c>
    </row>
    <row r="79" customFormat="false" ht="15.75" hidden="false" customHeight="true" outlineLevel="0" collapsed="false">
      <c r="B79" s="148" t="n">
        <v>50</v>
      </c>
      <c r="C79" s="58" t="s">
        <v>317</v>
      </c>
      <c r="D79" s="149" t="n">
        <v>3790</v>
      </c>
      <c r="E79" s="149"/>
      <c r="F79" s="150" t="n">
        <f aca="false">N($D79)+N($E79)</f>
        <v>3790</v>
      </c>
    </row>
    <row r="80" customFormat="false" ht="15.75" hidden="false" customHeight="true" outlineLevel="0" collapsed="false">
      <c r="B80" s="145" t="n">
        <v>51</v>
      </c>
      <c r="C80" s="53" t="s">
        <v>318</v>
      </c>
      <c r="D80" s="146" t="n">
        <v>200</v>
      </c>
      <c r="E80" s="146"/>
      <c r="F80" s="147" t="n">
        <f aca="false">N($D80)+N($E80)</f>
        <v>200</v>
      </c>
    </row>
    <row r="81" customFormat="false" ht="15.75" hidden="false" customHeight="true" outlineLevel="0" collapsed="false">
      <c r="B81" s="148" t="n">
        <v>52</v>
      </c>
      <c r="C81" s="58"/>
      <c r="D81" s="149" t="n">
        <v>673</v>
      </c>
      <c r="E81" s="149"/>
      <c r="F81" s="150" t="n">
        <f aca="false">N($D81)+N($E81)</f>
        <v>673</v>
      </c>
    </row>
    <row r="82" customFormat="false" ht="15.75" hidden="false" customHeight="true" outlineLevel="0" collapsed="false">
      <c r="B82" s="145" t="n">
        <v>53</v>
      </c>
      <c r="C82" s="53" t="s">
        <v>319</v>
      </c>
      <c r="D82" s="146" t="n">
        <v>1020</v>
      </c>
      <c r="E82" s="146"/>
      <c r="F82" s="147" t="n">
        <f aca="false">N($D82)+N($E82)</f>
        <v>1020</v>
      </c>
    </row>
    <row r="83" customFormat="false" ht="15.75" hidden="false" customHeight="true" outlineLevel="0" collapsed="false">
      <c r="B83" s="148" t="n">
        <v>54</v>
      </c>
      <c r="C83" s="58" t="s">
        <v>320</v>
      </c>
      <c r="D83" s="149" t="n">
        <v>500</v>
      </c>
      <c r="E83" s="149"/>
      <c r="F83" s="150" t="n">
        <f aca="false">N($D83)+N($E83)</f>
        <v>500</v>
      </c>
    </row>
    <row r="84" customFormat="false" ht="15.75" hidden="false" customHeight="true" outlineLevel="0" collapsed="false">
      <c r="B84" s="145" t="n">
        <v>55</v>
      </c>
      <c r="C84" s="53" t="s">
        <v>321</v>
      </c>
      <c r="D84" s="146" t="n">
        <v>5000</v>
      </c>
      <c r="E84" s="146"/>
      <c r="F84" s="147" t="n">
        <f aca="false">N($D84)+N($E84)</f>
        <v>5000</v>
      </c>
    </row>
    <row r="85" customFormat="false" ht="15.75" hidden="false" customHeight="true" outlineLevel="0" collapsed="false">
      <c r="B85" s="148" t="n">
        <v>56</v>
      </c>
      <c r="C85" s="58" t="s">
        <v>322</v>
      </c>
      <c r="D85" s="149" t="n">
        <v>490</v>
      </c>
      <c r="E85" s="149"/>
      <c r="F85" s="150" t="n">
        <f aca="false">N($D85)+N($E85)</f>
        <v>490</v>
      </c>
    </row>
    <row r="86" customFormat="false" ht="15.75" hidden="false" customHeight="true" outlineLevel="0" collapsed="false">
      <c r="B86" s="145" t="n">
        <v>57</v>
      </c>
      <c r="C86" s="53" t="s">
        <v>323</v>
      </c>
      <c r="D86" s="146" t="n">
        <v>1848</v>
      </c>
      <c r="E86" s="146"/>
      <c r="F86" s="147" t="n">
        <f aca="false">N($D86)+N($E86)</f>
        <v>1848</v>
      </c>
    </row>
    <row r="87" customFormat="false" ht="15.75" hidden="false" customHeight="true" outlineLevel="0" collapsed="false">
      <c r="B87" s="148" t="n">
        <v>58</v>
      </c>
      <c r="C87" s="58" t="s">
        <v>324</v>
      </c>
      <c r="D87" s="149" t="n">
        <v>100</v>
      </c>
      <c r="E87" s="149"/>
      <c r="F87" s="150" t="n">
        <f aca="false">N($D87)+N($E87)</f>
        <v>100</v>
      </c>
    </row>
    <row r="88" customFormat="false" ht="15.75" hidden="false" customHeight="true" outlineLevel="0" collapsed="false">
      <c r="B88" s="145" t="n">
        <v>59</v>
      </c>
      <c r="C88" s="53" t="s">
        <v>325</v>
      </c>
      <c r="D88" s="146"/>
      <c r="E88" s="146" t="n">
        <v>14500</v>
      </c>
      <c r="F88" s="147" t="n">
        <f aca="false">N($D88)+N($E88)</f>
        <v>14500</v>
      </c>
    </row>
    <row r="89" customFormat="false" ht="15.75" hidden="false" customHeight="true" outlineLevel="0" collapsed="false">
      <c r="B89" s="148" t="n">
        <v>60</v>
      </c>
      <c r="C89" s="58" t="s">
        <v>326</v>
      </c>
      <c r="D89" s="149"/>
      <c r="E89" s="149"/>
      <c r="F89" s="150" t="n">
        <f aca="false">N($D89)+N($E89)</f>
        <v>0</v>
      </c>
    </row>
    <row r="90" customFormat="false" ht="15.75" hidden="false" customHeight="true" outlineLevel="0" collapsed="false">
      <c r="B90" s="145" t="n">
        <v>61</v>
      </c>
      <c r="C90" s="53" t="s">
        <v>327</v>
      </c>
      <c r="D90" s="146"/>
      <c r="E90" s="146" t="n">
        <v>20000</v>
      </c>
      <c r="F90" s="147" t="n">
        <f aca="false">N($D90)+N($E90)</f>
        <v>20000</v>
      </c>
    </row>
    <row r="91" customFormat="false" ht="24" hidden="false" customHeight="true" outlineLevel="0" collapsed="false">
      <c r="B91" s="124"/>
      <c r="C91" s="63" t="s">
        <v>204</v>
      </c>
      <c r="D91" s="64" t="n">
        <f aca="false">SUM(D30:D90)</f>
        <v>397738</v>
      </c>
      <c r="E91" s="64" t="n">
        <f aca="false">SUM(E30:E90)</f>
        <v>404700</v>
      </c>
      <c r="F91" s="64" t="n">
        <f aca="false">SUM(F30:F90)</f>
        <v>802438</v>
      </c>
    </row>
    <row r="93" customFormat="false" ht="24" hidden="false" customHeight="true" outlineLevel="0" collapsed="false">
      <c r="B93" s="19" t="s">
        <v>328</v>
      </c>
      <c r="C93" s="19"/>
      <c r="D93" s="19"/>
      <c r="E93" s="19"/>
      <c r="F93" s="19"/>
    </row>
    <row r="94" customFormat="false" ht="30" hidden="false" customHeight="true" outlineLevel="0" collapsed="false">
      <c r="B94" s="23" t="s">
        <v>128</v>
      </c>
      <c r="C94" s="23" t="s">
        <v>269</v>
      </c>
      <c r="D94" s="23" t="s">
        <v>257</v>
      </c>
      <c r="E94" s="23" t="s">
        <v>258</v>
      </c>
      <c r="F94" s="23" t="s">
        <v>204</v>
      </c>
    </row>
    <row r="95" customFormat="false" ht="15.75" hidden="false" customHeight="true" outlineLevel="0" collapsed="false">
      <c r="B95" s="145" t="n">
        <v>1</v>
      </c>
      <c r="C95" s="53" t="s">
        <v>329</v>
      </c>
      <c r="D95" s="146" t="n">
        <v>7000</v>
      </c>
      <c r="E95" s="146"/>
      <c r="F95" s="147" t="n">
        <f aca="false">N($D95)+N($E95)</f>
        <v>7000</v>
      </c>
    </row>
    <row r="96" customFormat="false" ht="15.75" hidden="false" customHeight="true" outlineLevel="0" collapsed="false">
      <c r="B96" s="148" t="n">
        <v>2</v>
      </c>
      <c r="C96" s="58" t="s">
        <v>330</v>
      </c>
      <c r="D96" s="149" t="n">
        <v>2000</v>
      </c>
      <c r="E96" s="149"/>
      <c r="F96" s="150" t="n">
        <f aca="false">N($D96)+N($E96)</f>
        <v>2000</v>
      </c>
    </row>
    <row r="97" customFormat="false" ht="15.75" hidden="false" customHeight="true" outlineLevel="0" collapsed="false">
      <c r="B97" s="145" t="n">
        <v>3</v>
      </c>
      <c r="C97" s="53" t="s">
        <v>331</v>
      </c>
      <c r="D97" s="146" t="n">
        <v>9000</v>
      </c>
      <c r="E97" s="146"/>
      <c r="F97" s="147" t="n">
        <f aca="false">N($D97)+N($E97)</f>
        <v>9000</v>
      </c>
    </row>
    <row r="98" customFormat="false" ht="15.75" hidden="false" customHeight="true" outlineLevel="0" collapsed="false">
      <c r="B98" s="148" t="n">
        <v>4</v>
      </c>
      <c r="C98" s="58" t="s">
        <v>332</v>
      </c>
      <c r="D98" s="149" t="n">
        <v>31000</v>
      </c>
      <c r="E98" s="149" t="n">
        <v>20000</v>
      </c>
      <c r="F98" s="150" t="n">
        <f aca="false">N($D98)+N($E98)</f>
        <v>51000</v>
      </c>
    </row>
    <row r="99" customFormat="false" ht="15.75" hidden="false" customHeight="true" outlineLevel="0" collapsed="false">
      <c r="B99" s="145" t="n">
        <v>5</v>
      </c>
      <c r="C99" s="53" t="s">
        <v>333</v>
      </c>
      <c r="D99" s="146" t="n">
        <v>2500</v>
      </c>
      <c r="E99" s="146"/>
      <c r="F99" s="147" t="n">
        <f aca="false">N($D99)+N($E99)</f>
        <v>2500</v>
      </c>
    </row>
    <row r="100" customFormat="false" ht="15.75" hidden="false" customHeight="true" outlineLevel="0" collapsed="false">
      <c r="B100" s="148" t="n">
        <v>6</v>
      </c>
      <c r="C100" s="58" t="s">
        <v>194</v>
      </c>
      <c r="D100" s="149"/>
      <c r="E100" s="149" t="n">
        <v>3200</v>
      </c>
      <c r="F100" s="150" t="n">
        <f aca="false">N($D100)+N($E100)</f>
        <v>3200</v>
      </c>
    </row>
    <row r="101" customFormat="false" ht="15.75" hidden="false" customHeight="true" outlineLevel="0" collapsed="false">
      <c r="B101" s="145" t="n">
        <v>7</v>
      </c>
      <c r="C101" s="53" t="s">
        <v>334</v>
      </c>
      <c r="D101" s="146"/>
      <c r="E101" s="146" t="n">
        <v>3000</v>
      </c>
      <c r="F101" s="147" t="n">
        <f aca="false">N($D101)+N($E101)</f>
        <v>3000</v>
      </c>
    </row>
    <row r="102" customFormat="false" ht="15.75" hidden="false" customHeight="true" outlineLevel="0" collapsed="false">
      <c r="B102" s="148" t="n">
        <v>8</v>
      </c>
      <c r="C102" s="58" t="s">
        <v>335</v>
      </c>
      <c r="D102" s="149"/>
      <c r="E102" s="149" t="n">
        <v>30500</v>
      </c>
      <c r="F102" s="150" t="n">
        <f aca="false">N($D102)+N($E102)</f>
        <v>30500</v>
      </c>
    </row>
    <row r="103" customFormat="false" ht="15.75" hidden="false" customHeight="true" outlineLevel="0" collapsed="false">
      <c r="B103" s="145" t="n">
        <v>9</v>
      </c>
      <c r="C103" s="53" t="s">
        <v>336</v>
      </c>
      <c r="D103" s="146" t="n">
        <v>12000</v>
      </c>
      <c r="E103" s="146"/>
      <c r="F103" s="147" t="n">
        <f aca="false">N($D103)+N($E103)</f>
        <v>12000</v>
      </c>
    </row>
    <row r="104" customFormat="false" ht="15.75" hidden="false" customHeight="true" outlineLevel="0" collapsed="false">
      <c r="B104" s="148" t="n">
        <v>10</v>
      </c>
      <c r="C104" s="58" t="s">
        <v>337</v>
      </c>
      <c r="D104" s="149" t="n">
        <v>2300</v>
      </c>
      <c r="E104" s="149"/>
      <c r="F104" s="150" t="n">
        <f aca="false">N($D104)+N($E104)</f>
        <v>2300</v>
      </c>
    </row>
    <row r="105" customFormat="false" ht="15.75" hidden="false" customHeight="true" outlineLevel="0" collapsed="false">
      <c r="B105" s="145" t="n">
        <v>11</v>
      </c>
      <c r="C105" s="53" t="s">
        <v>338</v>
      </c>
      <c r="D105" s="146" t="n">
        <v>1400</v>
      </c>
      <c r="E105" s="146"/>
      <c r="F105" s="147" t="n">
        <f aca="false">N($D105)+N($E105)</f>
        <v>1400</v>
      </c>
    </row>
    <row r="106" customFormat="false" ht="15.75" hidden="false" customHeight="true" outlineLevel="0" collapsed="false">
      <c r="B106" s="148" t="n">
        <v>12</v>
      </c>
      <c r="C106" s="58" t="s">
        <v>339</v>
      </c>
      <c r="D106" s="149" t="n">
        <v>850</v>
      </c>
      <c r="E106" s="149"/>
      <c r="F106" s="150" t="n">
        <f aca="false">N($D106)+N($E106)</f>
        <v>850</v>
      </c>
    </row>
    <row r="107" customFormat="false" ht="15.75" hidden="false" customHeight="true" outlineLevel="0" collapsed="false">
      <c r="B107" s="145" t="n">
        <v>13</v>
      </c>
      <c r="C107" s="53" t="s">
        <v>340</v>
      </c>
      <c r="D107" s="146"/>
      <c r="E107" s="146" t="n">
        <v>12750</v>
      </c>
      <c r="F107" s="147" t="n">
        <f aca="false">N($D107)+N($E107)</f>
        <v>12750</v>
      </c>
    </row>
    <row r="108" customFormat="false" ht="15.75" hidden="false" customHeight="true" outlineLevel="0" collapsed="false">
      <c r="B108" s="148" t="n">
        <v>14</v>
      </c>
      <c r="C108" s="58" t="s">
        <v>341</v>
      </c>
      <c r="D108" s="149" t="n">
        <v>5000</v>
      </c>
      <c r="E108" s="149" t="n">
        <v>34800</v>
      </c>
      <c r="F108" s="150" t="n">
        <f aca="false">N($D108)+N($E108)</f>
        <v>39800</v>
      </c>
    </row>
    <row r="109" customFormat="false" ht="15.75" hidden="false" customHeight="true" outlineLevel="0" collapsed="false">
      <c r="B109" s="145" t="n">
        <v>15</v>
      </c>
      <c r="C109" s="53" t="s">
        <v>342</v>
      </c>
      <c r="D109" s="146" t="n">
        <v>2100</v>
      </c>
      <c r="E109" s="146"/>
      <c r="F109" s="147" t="n">
        <f aca="false">N($D109)+N($E109)</f>
        <v>2100</v>
      </c>
    </row>
    <row r="110" customFormat="false" ht="15.75" hidden="false" customHeight="true" outlineLevel="0" collapsed="false">
      <c r="B110" s="148" t="n">
        <v>16</v>
      </c>
      <c r="C110" s="58" t="s">
        <v>276</v>
      </c>
      <c r="D110" s="149" t="n">
        <v>1000</v>
      </c>
      <c r="E110" s="149" t="n">
        <v>2000</v>
      </c>
      <c r="F110" s="150" t="n">
        <f aca="false">N($D110)+N($E110)</f>
        <v>3000</v>
      </c>
    </row>
    <row r="111" customFormat="false" ht="15.75" hidden="false" customHeight="true" outlineLevel="0" collapsed="false">
      <c r="B111" s="145" t="n">
        <v>17</v>
      </c>
      <c r="C111" s="53" t="s">
        <v>343</v>
      </c>
      <c r="D111" s="146"/>
      <c r="E111" s="146" t="n">
        <v>5300</v>
      </c>
      <c r="F111" s="147" t="n">
        <f aca="false">N($D111)+N($E111)</f>
        <v>5300</v>
      </c>
    </row>
    <row r="112" customFormat="false" ht="15.75" hidden="false" customHeight="true" outlineLevel="0" collapsed="false">
      <c r="B112" s="148" t="n">
        <v>18</v>
      </c>
      <c r="C112" s="58" t="s">
        <v>344</v>
      </c>
      <c r="D112" s="149" t="n">
        <v>13300</v>
      </c>
      <c r="E112" s="149"/>
      <c r="F112" s="150" t="n">
        <f aca="false">N($D112)+N($E112)</f>
        <v>13300</v>
      </c>
    </row>
    <row r="113" customFormat="false" ht="15.75" hidden="false" customHeight="true" outlineLevel="0" collapsed="false">
      <c r="B113" s="145" t="n">
        <v>19</v>
      </c>
      <c r="C113" s="53" t="s">
        <v>345</v>
      </c>
      <c r="D113" s="146" t="n">
        <v>142</v>
      </c>
      <c r="E113" s="146" t="n">
        <v>1000</v>
      </c>
      <c r="F113" s="147" t="n">
        <f aca="false">N($D113)+N($E113)</f>
        <v>1142</v>
      </c>
    </row>
    <row r="114" customFormat="false" ht="15.75" hidden="false" customHeight="true" outlineLevel="0" collapsed="false">
      <c r="B114" s="148" t="n">
        <v>20</v>
      </c>
      <c r="C114" s="58" t="s">
        <v>346</v>
      </c>
      <c r="D114" s="149"/>
      <c r="E114" s="149" t="n">
        <v>6000</v>
      </c>
      <c r="F114" s="150" t="n">
        <f aca="false">N($D114)+N($E114)</f>
        <v>6000</v>
      </c>
    </row>
    <row r="115" customFormat="false" ht="15.75" hidden="false" customHeight="true" outlineLevel="0" collapsed="false">
      <c r="B115" s="145" t="n">
        <v>21</v>
      </c>
      <c r="C115" s="53" t="s">
        <v>347</v>
      </c>
      <c r="D115" s="146"/>
      <c r="E115" s="146" t="n">
        <v>32000</v>
      </c>
      <c r="F115" s="147" t="n">
        <f aca="false">N($D115)+N($E115)</f>
        <v>32000</v>
      </c>
    </row>
    <row r="116" customFormat="false" ht="15.75" hidden="false" customHeight="true" outlineLevel="0" collapsed="false">
      <c r="B116" s="148" t="n">
        <v>22</v>
      </c>
      <c r="C116" s="58" t="s">
        <v>348</v>
      </c>
      <c r="D116" s="149" t="n">
        <v>450</v>
      </c>
      <c r="E116" s="149"/>
      <c r="F116" s="150" t="n">
        <f aca="false">N($D116)+N($E116)</f>
        <v>450</v>
      </c>
    </row>
    <row r="117" customFormat="false" ht="15.75" hidden="false" customHeight="true" outlineLevel="0" collapsed="false">
      <c r="B117" s="145" t="n">
        <v>23</v>
      </c>
      <c r="C117" s="53" t="s">
        <v>349</v>
      </c>
      <c r="D117" s="146"/>
      <c r="E117" s="146" t="n">
        <v>2500</v>
      </c>
      <c r="F117" s="147" t="n">
        <f aca="false">N($D117)+N($E117)</f>
        <v>2500</v>
      </c>
    </row>
    <row r="118" customFormat="false" ht="15.75" hidden="false" customHeight="true" outlineLevel="0" collapsed="false">
      <c r="B118" s="148" t="n">
        <v>24</v>
      </c>
      <c r="C118" s="58" t="s">
        <v>350</v>
      </c>
      <c r="D118" s="149" t="n">
        <v>20000</v>
      </c>
      <c r="E118" s="149"/>
      <c r="F118" s="150" t="n">
        <f aca="false">N($D118)+N($E118)</f>
        <v>20000</v>
      </c>
    </row>
    <row r="119" customFormat="false" ht="15.75" hidden="false" customHeight="true" outlineLevel="0" collapsed="false">
      <c r="B119" s="145" t="n">
        <v>25</v>
      </c>
      <c r="C119" s="53" t="s">
        <v>351</v>
      </c>
      <c r="D119" s="146"/>
      <c r="E119" s="146" t="n">
        <v>1000</v>
      </c>
      <c r="F119" s="147" t="n">
        <f aca="false">N($D119)+N($E119)</f>
        <v>1000</v>
      </c>
    </row>
    <row r="120" customFormat="false" ht="15.75" hidden="false" customHeight="true" outlineLevel="0" collapsed="false">
      <c r="B120" s="148" t="n">
        <v>26</v>
      </c>
      <c r="C120" s="58" t="s">
        <v>352</v>
      </c>
      <c r="D120" s="149"/>
      <c r="E120" s="149" t="n">
        <v>5000</v>
      </c>
      <c r="F120" s="150" t="n">
        <f aca="false">N($D120)+N($E120)</f>
        <v>5000</v>
      </c>
    </row>
    <row r="121" customFormat="false" ht="15.75" hidden="false" customHeight="true" outlineLevel="0" collapsed="false">
      <c r="B121" s="145" t="n">
        <v>27</v>
      </c>
      <c r="C121" s="53" t="s">
        <v>353</v>
      </c>
      <c r="D121" s="146"/>
      <c r="E121" s="146" t="n">
        <v>10000</v>
      </c>
      <c r="F121" s="147" t="n">
        <f aca="false">N($D121)+N($E121)</f>
        <v>10000</v>
      </c>
    </row>
    <row r="122" customFormat="false" ht="15.75" hidden="false" customHeight="true" outlineLevel="0" collapsed="false">
      <c r="B122" s="148" t="n">
        <v>28</v>
      </c>
      <c r="C122" s="58" t="s">
        <v>354</v>
      </c>
      <c r="D122" s="149" t="n">
        <v>11000</v>
      </c>
      <c r="E122" s="149"/>
      <c r="F122" s="150" t="n">
        <f aca="false">N($D122)+N($E122)</f>
        <v>11000</v>
      </c>
    </row>
    <row r="123" customFormat="false" ht="15.75" hidden="false" customHeight="true" outlineLevel="0" collapsed="false">
      <c r="B123" s="145" t="n">
        <v>29</v>
      </c>
      <c r="C123" s="53" t="s">
        <v>355</v>
      </c>
      <c r="D123" s="146"/>
      <c r="E123" s="146" t="n">
        <v>1571</v>
      </c>
      <c r="F123" s="147" t="n">
        <f aca="false">N($D123)+N($E123)</f>
        <v>1571</v>
      </c>
    </row>
    <row r="124" customFormat="false" ht="15.75" hidden="false" customHeight="true" outlineLevel="0" collapsed="false">
      <c r="B124" s="148" t="n">
        <v>30</v>
      </c>
      <c r="C124" s="58" t="s">
        <v>356</v>
      </c>
      <c r="D124" s="149"/>
      <c r="E124" s="149" t="n">
        <v>1200</v>
      </c>
      <c r="F124" s="150" t="n">
        <f aca="false">N($D124)+N($E124)</f>
        <v>1200</v>
      </c>
    </row>
    <row r="125" customFormat="false" ht="15.75" hidden="false" customHeight="true" outlineLevel="0" collapsed="false">
      <c r="B125" s="145" t="n">
        <v>31</v>
      </c>
      <c r="C125" s="53" t="s">
        <v>357</v>
      </c>
      <c r="D125" s="146"/>
      <c r="E125" s="146" t="n">
        <v>3300</v>
      </c>
      <c r="F125" s="147" t="n">
        <f aca="false">N($D125)+N($E125)</f>
        <v>3300</v>
      </c>
    </row>
    <row r="126" customFormat="false" ht="15.75" hidden="false" customHeight="true" outlineLevel="0" collapsed="false">
      <c r="B126" s="148" t="n">
        <v>32</v>
      </c>
      <c r="C126" s="58" t="s">
        <v>343</v>
      </c>
      <c r="D126" s="149"/>
      <c r="E126" s="149" t="n">
        <v>840</v>
      </c>
      <c r="F126" s="150" t="n">
        <f aca="false">N($D126)+N($E126)</f>
        <v>840</v>
      </c>
    </row>
    <row r="127" customFormat="false" ht="15.75" hidden="false" customHeight="true" outlineLevel="0" collapsed="false">
      <c r="B127" s="145" t="n">
        <v>33</v>
      </c>
      <c r="C127" s="53" t="s">
        <v>358</v>
      </c>
      <c r="D127" s="146" t="n">
        <v>3000</v>
      </c>
      <c r="E127" s="146"/>
      <c r="F127" s="147" t="n">
        <f aca="false">N($D127)+N($E127)</f>
        <v>3000</v>
      </c>
    </row>
    <row r="128" customFormat="false" ht="15.75" hidden="false" customHeight="true" outlineLevel="0" collapsed="false">
      <c r="B128" s="148" t="n">
        <v>34</v>
      </c>
      <c r="C128" s="58" t="s">
        <v>359</v>
      </c>
      <c r="D128" s="149"/>
      <c r="E128" s="149" t="n">
        <v>30000</v>
      </c>
      <c r="F128" s="150" t="n">
        <f aca="false">N($D128)+N($E128)</f>
        <v>30000</v>
      </c>
    </row>
    <row r="129" customFormat="false" ht="15.75" hidden="false" customHeight="true" outlineLevel="0" collapsed="false">
      <c r="B129" s="145" t="n">
        <v>35</v>
      </c>
      <c r="C129" s="53" t="s">
        <v>360</v>
      </c>
      <c r="D129" s="146" t="n">
        <v>18000</v>
      </c>
      <c r="E129" s="146"/>
      <c r="F129" s="147" t="n">
        <f aca="false">N($D129)+N($E129)</f>
        <v>18000</v>
      </c>
    </row>
    <row r="130" customFormat="false" ht="15.75" hidden="false" customHeight="true" outlineLevel="0" collapsed="false">
      <c r="B130" s="148" t="n">
        <v>36</v>
      </c>
      <c r="C130" s="58" t="s">
        <v>361</v>
      </c>
      <c r="D130" s="149"/>
      <c r="E130" s="149" t="n">
        <v>4960</v>
      </c>
      <c r="F130" s="150" t="n">
        <f aca="false">N($D130)+N($E130)</f>
        <v>4960</v>
      </c>
    </row>
    <row r="131" customFormat="false" ht="15.75" hidden="false" customHeight="true" outlineLevel="0" collapsed="false">
      <c r="B131" s="145" t="n">
        <v>37</v>
      </c>
      <c r="C131" s="53" t="s">
        <v>362</v>
      </c>
      <c r="D131" s="146"/>
      <c r="E131" s="146" t="n">
        <v>3900</v>
      </c>
      <c r="F131" s="147" t="n">
        <f aca="false">N($D131)+N($E131)</f>
        <v>3900</v>
      </c>
    </row>
    <row r="132" customFormat="false" ht="15.75" hidden="false" customHeight="true" outlineLevel="0" collapsed="false">
      <c r="B132" s="148" t="n">
        <v>38</v>
      </c>
      <c r="C132" s="58" t="s">
        <v>363</v>
      </c>
      <c r="D132" s="149"/>
      <c r="E132" s="149" t="n">
        <v>3200</v>
      </c>
      <c r="F132" s="150" t="n">
        <f aca="false">N($D132)+N($E132)</f>
        <v>3200</v>
      </c>
    </row>
    <row r="133" customFormat="false" ht="15.75" hidden="false" customHeight="true" outlineLevel="0" collapsed="false">
      <c r="B133" s="145" t="n">
        <v>39</v>
      </c>
      <c r="C133" s="53" t="s">
        <v>363</v>
      </c>
      <c r="D133" s="146"/>
      <c r="E133" s="146"/>
      <c r="F133" s="147" t="n">
        <f aca="false">N($D133)+N($E133)</f>
        <v>0</v>
      </c>
    </row>
    <row r="134" customFormat="false" ht="15.75" hidden="false" customHeight="true" outlineLevel="0" collapsed="false">
      <c r="B134" s="148" t="n">
        <v>40</v>
      </c>
      <c r="C134" s="58" t="s">
        <v>364</v>
      </c>
      <c r="D134" s="149"/>
      <c r="E134" s="149" t="n">
        <v>29700</v>
      </c>
      <c r="F134" s="150" t="n">
        <f aca="false">N($D134)+N($E134)</f>
        <v>29700</v>
      </c>
    </row>
    <row r="135" customFormat="false" ht="15.75" hidden="false" customHeight="true" outlineLevel="0" collapsed="false">
      <c r="B135" s="145" t="n">
        <v>41</v>
      </c>
      <c r="C135" s="53" t="s">
        <v>365</v>
      </c>
      <c r="D135" s="146"/>
      <c r="E135" s="146" t="n">
        <v>31100</v>
      </c>
      <c r="F135" s="147" t="n">
        <f aca="false">N($D135)+N($E135)</f>
        <v>31100</v>
      </c>
    </row>
    <row r="136" customFormat="false" ht="15.75" hidden="false" customHeight="true" outlineLevel="0" collapsed="false">
      <c r="B136" s="148" t="n">
        <v>42</v>
      </c>
      <c r="C136" s="58" t="s">
        <v>366</v>
      </c>
      <c r="D136" s="149"/>
      <c r="E136" s="149" t="n">
        <v>10000</v>
      </c>
      <c r="F136" s="150" t="n">
        <f aca="false">N($D136)+N($E136)</f>
        <v>10000</v>
      </c>
    </row>
    <row r="137" customFormat="false" ht="15.75" hidden="false" customHeight="true" outlineLevel="0" collapsed="false">
      <c r="B137" s="145" t="n">
        <v>43</v>
      </c>
      <c r="C137" s="53" t="s">
        <v>367</v>
      </c>
      <c r="D137" s="146"/>
      <c r="E137" s="146" t="n">
        <v>10000</v>
      </c>
      <c r="F137" s="147" t="n">
        <f aca="false">N($D137)+N($E137)</f>
        <v>10000</v>
      </c>
    </row>
    <row r="138" customFormat="false" ht="15.75" hidden="false" customHeight="true" outlineLevel="0" collapsed="false">
      <c r="B138" s="148" t="n">
        <v>44</v>
      </c>
      <c r="C138" s="58" t="s">
        <v>368</v>
      </c>
      <c r="D138" s="149" t="n">
        <v>6000</v>
      </c>
      <c r="E138" s="149"/>
      <c r="F138" s="150" t="n">
        <f aca="false">N($D138)+N($E138)</f>
        <v>6000</v>
      </c>
    </row>
    <row r="139" customFormat="false" ht="24" hidden="false" customHeight="true" outlineLevel="0" collapsed="false">
      <c r="B139" s="124"/>
      <c r="C139" s="63" t="s">
        <v>204</v>
      </c>
      <c r="D139" s="64" t="n">
        <f aca="false">SUM(D95:D138)</f>
        <v>148042</v>
      </c>
      <c r="E139" s="64" t="n">
        <f aca="false">SUM(E95:E138)</f>
        <v>298821</v>
      </c>
      <c r="F139" s="64" t="n">
        <f aca="false">SUM(F95:F138)</f>
        <v>446863</v>
      </c>
    </row>
    <row r="141" customFormat="false" ht="39.75" hidden="false" customHeight="true" outlineLevel="0" collapsed="false">
      <c r="B141" s="36" t="s">
        <v>369</v>
      </c>
      <c r="C141" s="36"/>
      <c r="D141" s="36"/>
      <c r="E141" s="36"/>
      <c r="F141" s="36"/>
    </row>
  </sheetData>
  <mergeCells count="7">
    <mergeCell ref="B1:F1"/>
    <mergeCell ref="B2:F2"/>
    <mergeCell ref="B4:F4"/>
    <mergeCell ref="B15:F15"/>
    <mergeCell ref="B28:F28"/>
    <mergeCell ref="B93:F93"/>
    <mergeCell ref="B141:F141"/>
  </mergeCells>
  <conditionalFormatting sqref="D10:F13">
    <cfRule type="cellIs" priority="2" operator="lessThan" aboveAverage="0" equalAverage="0" bottom="0" percent="0" rank="0" text="" dxfId="13">
      <formula>0</formula>
    </cfRule>
    <cfRule type="cellIs" priority="3" operator="greaterThan" aboveAverage="0" equalAverage="0" bottom="0" percent="0" rank="0" text="" dxfId="14">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6E66"/>
    <pageSetUpPr fitToPage="true"/>
  </sheetPr>
  <dimension ref="B1:N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22"/>
    <col collapsed="false" customWidth="true" hidden="false" outlineLevel="0" max="4" min="4" style="0" width="3"/>
    <col collapsed="false" customWidth="true" hidden="false" outlineLevel="0" max="5" min="5" style="0" width="26"/>
    <col collapsed="false" customWidth="true" hidden="false" outlineLevel="0" max="6" min="6" style="0" width="3"/>
    <col collapsed="false" customWidth="true" hidden="false" outlineLevel="0" max="7" min="7" style="0" width="26"/>
    <col collapsed="false" customWidth="true" hidden="false" outlineLevel="0" max="8" min="8" style="0" width="3"/>
    <col collapsed="false" customWidth="true" hidden="false" outlineLevel="0" max="9" min="9" style="0" width="24"/>
    <col collapsed="false" customWidth="true" hidden="false" outlineLevel="0" max="10" min="10" style="0" width="14"/>
    <col collapsed="false" customWidth="true" hidden="false" outlineLevel="0" max="11" min="11" style="0" width="3"/>
    <col collapsed="false" customWidth="true" hidden="false" outlineLevel="0" max="12" min="12" style="0" width="22"/>
    <col collapsed="false" customWidth="true" hidden="false" outlineLevel="0" max="14" min="14" style="0" width="26"/>
  </cols>
  <sheetData>
    <row r="1" customFormat="false" ht="37.5" hidden="false" customHeight="true" outlineLevel="0" collapsed="false">
      <c r="B1" s="37" t="s">
        <v>370</v>
      </c>
      <c r="C1" s="37"/>
      <c r="D1" s="37"/>
      <c r="E1" s="37"/>
      <c r="F1" s="37"/>
      <c r="G1" s="37"/>
      <c r="H1" s="37"/>
      <c r="I1" s="37"/>
      <c r="J1" s="37"/>
      <c r="K1" s="37"/>
      <c r="L1" s="37"/>
    </row>
    <row r="2" customFormat="false" ht="18" hidden="false" customHeight="true" outlineLevel="0" collapsed="false">
      <c r="B2" s="38" t="s">
        <v>371</v>
      </c>
      <c r="C2" s="38"/>
      <c r="D2" s="38"/>
      <c r="E2" s="38"/>
      <c r="F2" s="38"/>
      <c r="G2" s="38"/>
      <c r="H2" s="38"/>
      <c r="I2" s="38"/>
      <c r="J2" s="38"/>
      <c r="K2" s="38"/>
      <c r="L2" s="38"/>
    </row>
    <row r="4" customFormat="false" ht="24" hidden="false" customHeight="true" outlineLevel="0" collapsed="false">
      <c r="B4" s="19" t="s">
        <v>372</v>
      </c>
      <c r="C4" s="19"/>
      <c r="E4" s="151" t="s">
        <v>373</v>
      </c>
      <c r="G4" s="151" t="s">
        <v>374</v>
      </c>
      <c r="I4" s="19" t="s">
        <v>375</v>
      </c>
      <c r="J4" s="19"/>
      <c r="L4" s="151" t="s">
        <v>376</v>
      </c>
      <c r="N4" s="151" t="s">
        <v>377</v>
      </c>
    </row>
    <row r="5" customFormat="false" ht="15" hidden="false" customHeight="false" outlineLevel="0" collapsed="false">
      <c r="B5" s="141" t="s">
        <v>378</v>
      </c>
      <c r="C5" s="152" t="s">
        <v>379</v>
      </c>
      <c r="E5" s="153" t="s">
        <v>138</v>
      </c>
      <c r="G5" s="122" t="s">
        <v>93</v>
      </c>
      <c r="I5" s="122" t="s">
        <v>149</v>
      </c>
      <c r="J5" s="154" t="s">
        <v>41</v>
      </c>
      <c r="L5" s="122" t="s">
        <v>141</v>
      </c>
      <c r="N5" s="155" t="s">
        <v>138</v>
      </c>
    </row>
    <row r="6" customFormat="false" ht="15" hidden="false" customHeight="false" outlineLevel="0" collapsed="false">
      <c r="B6" s="141" t="s">
        <v>380</v>
      </c>
      <c r="C6" s="152" t="s">
        <v>381</v>
      </c>
      <c r="E6" s="119" t="s">
        <v>382</v>
      </c>
      <c r="G6" s="119" t="s">
        <v>95</v>
      </c>
      <c r="I6" s="119" t="s">
        <v>229</v>
      </c>
      <c r="J6" s="154" t="s">
        <v>41</v>
      </c>
      <c r="L6" s="119" t="s">
        <v>383</v>
      </c>
      <c r="N6" s="155" t="s">
        <v>382</v>
      </c>
    </row>
    <row r="7" customFormat="false" ht="15" hidden="false" customHeight="false" outlineLevel="0" collapsed="false">
      <c r="B7" s="141" t="s">
        <v>384</v>
      </c>
      <c r="C7" s="152" t="s">
        <v>385</v>
      </c>
      <c r="E7" s="153" t="s">
        <v>386</v>
      </c>
      <c r="G7" s="122" t="s">
        <v>97</v>
      </c>
      <c r="I7" s="122" t="s">
        <v>98</v>
      </c>
      <c r="J7" s="154" t="s">
        <v>93</v>
      </c>
      <c r="L7" s="122" t="s">
        <v>154</v>
      </c>
      <c r="N7" s="155" t="s">
        <v>386</v>
      </c>
    </row>
    <row r="8" customFormat="false" ht="15" hidden="false" customHeight="false" outlineLevel="0" collapsed="false">
      <c r="B8" s="141" t="s">
        <v>230</v>
      </c>
      <c r="C8" s="152" t="s">
        <v>229</v>
      </c>
      <c r="E8" s="119" t="s">
        <v>387</v>
      </c>
      <c r="G8" s="119" t="s">
        <v>99</v>
      </c>
      <c r="I8" s="119" t="s">
        <v>153</v>
      </c>
      <c r="J8" s="154" t="s">
        <v>106</v>
      </c>
      <c r="L8" s="119" t="s">
        <v>388</v>
      </c>
      <c r="N8" s="155" t="s">
        <v>387</v>
      </c>
    </row>
    <row r="9" customFormat="false" ht="15" hidden="false" customHeight="false" outlineLevel="0" collapsed="false">
      <c r="B9" s="141" t="s">
        <v>389</v>
      </c>
      <c r="C9" s="152" t="s">
        <v>390</v>
      </c>
      <c r="E9" s="153" t="s">
        <v>391</v>
      </c>
      <c r="G9" s="122" t="s">
        <v>101</v>
      </c>
      <c r="I9" s="122" t="s">
        <v>392</v>
      </c>
      <c r="J9" s="154" t="s">
        <v>117</v>
      </c>
      <c r="N9" s="155" t="s">
        <v>391</v>
      </c>
    </row>
    <row r="10" customFormat="false" ht="15" hidden="false" customHeight="false" outlineLevel="0" collapsed="false">
      <c r="G10" s="119" t="s">
        <v>103</v>
      </c>
      <c r="I10" s="119" t="s">
        <v>144</v>
      </c>
      <c r="J10" s="154" t="s">
        <v>41</v>
      </c>
      <c r="N10" s="58" t="s">
        <v>93</v>
      </c>
    </row>
    <row r="11" customFormat="false" ht="24" hidden="false" customHeight="true" outlineLevel="0" collapsed="false">
      <c r="B11" s="19" t="s">
        <v>393</v>
      </c>
      <c r="C11" s="19"/>
      <c r="G11" s="122" t="s">
        <v>41</v>
      </c>
      <c r="I11" s="122" t="s">
        <v>146</v>
      </c>
      <c r="J11" s="154" t="s">
        <v>41</v>
      </c>
      <c r="N11" s="58" t="s">
        <v>95</v>
      </c>
    </row>
    <row r="12" customFormat="false" ht="15" hidden="false" customHeight="false" outlineLevel="0" collapsed="false">
      <c r="B12" s="141" t="s">
        <v>394</v>
      </c>
      <c r="C12" s="156" t="n">
        <v>2026</v>
      </c>
      <c r="G12" s="119" t="s">
        <v>106</v>
      </c>
      <c r="I12" s="119" t="s">
        <v>94</v>
      </c>
      <c r="J12" s="154" t="s">
        <v>101</v>
      </c>
      <c r="N12" s="58" t="s">
        <v>97</v>
      </c>
    </row>
    <row r="13" customFormat="false" ht="15" hidden="false" customHeight="false" outlineLevel="0" collapsed="false">
      <c r="B13" s="141" t="s">
        <v>395</v>
      </c>
      <c r="C13" s="156" t="n">
        <v>8</v>
      </c>
      <c r="G13" s="122" t="s">
        <v>108</v>
      </c>
      <c r="I13" s="122" t="s">
        <v>107</v>
      </c>
      <c r="J13" s="154" t="s">
        <v>97</v>
      </c>
      <c r="N13" s="58" t="s">
        <v>99</v>
      </c>
    </row>
    <row r="14" customFormat="false" ht="15" hidden="false" customHeight="false" outlineLevel="0" collapsed="false">
      <c r="B14" s="141" t="s">
        <v>396</v>
      </c>
      <c r="C14" s="157" t="n">
        <f aca="false">$C$12*100+$C$13</f>
        <v>202608</v>
      </c>
      <c r="G14" s="119" t="s">
        <v>110</v>
      </c>
      <c r="I14" s="119" t="s">
        <v>102</v>
      </c>
      <c r="J14" s="154" t="s">
        <v>95</v>
      </c>
      <c r="N14" s="58" t="s">
        <v>101</v>
      </c>
    </row>
    <row r="15" customFormat="false" ht="15" hidden="false" customHeight="false" outlineLevel="0" collapsed="false">
      <c r="B15" s="141" t="s">
        <v>397</v>
      </c>
      <c r="C15" s="158" t="n">
        <f aca="false">DATE($C$12,$C$13,1)</f>
        <v>46235</v>
      </c>
      <c r="G15" s="122" t="s">
        <v>112</v>
      </c>
      <c r="I15" s="122" t="s">
        <v>150</v>
      </c>
      <c r="J15" s="154" t="s">
        <v>93</v>
      </c>
      <c r="N15" s="58" t="s">
        <v>103</v>
      </c>
    </row>
    <row r="16" customFormat="false" ht="15" hidden="false" customHeight="false" outlineLevel="0" collapsed="false">
      <c r="B16" s="141" t="s">
        <v>398</v>
      </c>
      <c r="C16" s="157" t="n">
        <f aca="false">DAY(EOMONTH($C$15,0))</f>
        <v>31</v>
      </c>
      <c r="G16" s="119" t="s">
        <v>114</v>
      </c>
      <c r="I16" s="119" t="s">
        <v>139</v>
      </c>
      <c r="J16" s="154" t="s">
        <v>119</v>
      </c>
      <c r="N16" s="58" t="s">
        <v>41</v>
      </c>
    </row>
    <row r="17" customFormat="false" ht="15" hidden="false" customHeight="false" outlineLevel="0" collapsed="false">
      <c r="G17" s="122" t="s">
        <v>116</v>
      </c>
      <c r="I17" s="122" t="s">
        <v>109</v>
      </c>
      <c r="J17" s="154" t="s">
        <v>93</v>
      </c>
      <c r="N17" s="58" t="s">
        <v>106</v>
      </c>
    </row>
    <row r="18" customFormat="false" ht="24" hidden="false" customHeight="true" outlineLevel="0" collapsed="false">
      <c r="B18" s="19" t="s">
        <v>399</v>
      </c>
      <c r="C18" s="19"/>
      <c r="G18" s="119" t="s">
        <v>117</v>
      </c>
      <c r="I18" s="119" t="s">
        <v>104</v>
      </c>
      <c r="J18" s="154" t="s">
        <v>108</v>
      </c>
      <c r="N18" s="58" t="s">
        <v>108</v>
      </c>
    </row>
    <row r="19" customFormat="false" ht="15" hidden="false" customHeight="false" outlineLevel="0" collapsed="false">
      <c r="B19" s="141" t="s">
        <v>400</v>
      </c>
      <c r="C19" s="120" t="n">
        <v>0</v>
      </c>
      <c r="G19" s="122" t="s">
        <v>118</v>
      </c>
      <c r="I19" s="122" t="s">
        <v>147</v>
      </c>
      <c r="J19" s="154" t="s">
        <v>41</v>
      </c>
      <c r="N19" s="58" t="s">
        <v>110</v>
      </c>
    </row>
    <row r="20" customFormat="false" ht="15" hidden="false" customHeight="false" outlineLevel="0" collapsed="false">
      <c r="B20" s="141" t="s">
        <v>401</v>
      </c>
      <c r="C20" s="120" t="n">
        <v>2200</v>
      </c>
      <c r="G20" s="119" t="s">
        <v>119</v>
      </c>
      <c r="I20" s="119" t="s">
        <v>115</v>
      </c>
      <c r="J20" s="154" t="s">
        <v>99</v>
      </c>
      <c r="N20" s="58" t="s">
        <v>112</v>
      </c>
    </row>
    <row r="21" customFormat="false" ht="15" hidden="false" customHeight="false" outlineLevel="0" collapsed="false">
      <c r="B21" s="141" t="s">
        <v>402</v>
      </c>
      <c r="C21" s="120" t="n">
        <v>500</v>
      </c>
      <c r="I21" s="122" t="s">
        <v>257</v>
      </c>
      <c r="J21" s="154" t="s">
        <v>118</v>
      </c>
      <c r="N21" s="58" t="s">
        <v>114</v>
      </c>
    </row>
    <row r="22" customFormat="false" ht="15" hidden="false" customHeight="false" outlineLevel="0" collapsed="false">
      <c r="I22" s="119" t="s">
        <v>228</v>
      </c>
      <c r="J22" s="154" t="s">
        <v>119</v>
      </c>
      <c r="N22" s="58" t="s">
        <v>116</v>
      </c>
    </row>
    <row r="23" customFormat="false" ht="15" hidden="false" customHeight="false" outlineLevel="0" collapsed="false">
      <c r="I23" s="122" t="s">
        <v>403</v>
      </c>
      <c r="J23" s="154" t="s">
        <v>110</v>
      </c>
      <c r="N23" s="58" t="s">
        <v>117</v>
      </c>
    </row>
    <row r="24" customFormat="false" ht="24" hidden="false" customHeight="true" outlineLevel="0" collapsed="false">
      <c r="B24" s="19" t="s">
        <v>404</v>
      </c>
      <c r="C24" s="19"/>
      <c r="I24" s="119" t="s">
        <v>152</v>
      </c>
      <c r="J24" s="154" t="s">
        <v>101</v>
      </c>
      <c r="N24" s="58" t="s">
        <v>118</v>
      </c>
    </row>
    <row r="25" customFormat="false" ht="15" hidden="false" customHeight="false" outlineLevel="0" collapsed="false">
      <c r="B25" s="159" t="s">
        <v>405</v>
      </c>
      <c r="C25" s="160" t="s">
        <v>406</v>
      </c>
      <c r="I25" s="122" t="s">
        <v>148</v>
      </c>
      <c r="J25" s="154" t="s">
        <v>41</v>
      </c>
      <c r="N25" s="58" t="s">
        <v>119</v>
      </c>
    </row>
    <row r="26" customFormat="false" ht="15" hidden="false" customHeight="false" outlineLevel="0" collapsed="false">
      <c r="B26" s="161" t="s">
        <v>405</v>
      </c>
      <c r="C26" s="162" t="s">
        <v>407</v>
      </c>
      <c r="I26" s="119" t="s">
        <v>224</v>
      </c>
      <c r="J26" s="154" t="s">
        <v>119</v>
      </c>
    </row>
    <row r="27" customFormat="false" ht="15" hidden="false" customHeight="false" outlineLevel="0" collapsed="false">
      <c r="B27" s="163" t="s">
        <v>405</v>
      </c>
      <c r="C27" s="164" t="s">
        <v>408</v>
      </c>
      <c r="I27" s="122" t="s">
        <v>226</v>
      </c>
      <c r="J27" s="154" t="s">
        <v>119</v>
      </c>
    </row>
    <row r="28" customFormat="false" ht="15" hidden="false" customHeight="false" outlineLevel="0" collapsed="false">
      <c r="B28" s="165" t="s">
        <v>405</v>
      </c>
      <c r="C28" s="166" t="s">
        <v>409</v>
      </c>
      <c r="I28" s="119" t="s">
        <v>410</v>
      </c>
      <c r="J28" s="154" t="s">
        <v>106</v>
      </c>
    </row>
    <row r="29" customFormat="false" ht="15" hidden="false" customHeight="false" outlineLevel="0" collapsed="false">
      <c r="I29" s="122" t="s">
        <v>231</v>
      </c>
      <c r="J29" s="154" t="s">
        <v>41</v>
      </c>
    </row>
    <row r="30" customFormat="false" ht="15" hidden="false" customHeight="false" outlineLevel="0" collapsed="false">
      <c r="I30" s="119" t="s">
        <v>111</v>
      </c>
      <c r="J30" s="154" t="s">
        <v>95</v>
      </c>
    </row>
    <row r="31" customFormat="false" ht="15" hidden="false" customHeight="false" outlineLevel="0" collapsed="false">
      <c r="I31" s="122" t="s">
        <v>258</v>
      </c>
      <c r="J31" s="154" t="s">
        <v>118</v>
      </c>
    </row>
    <row r="32" customFormat="false" ht="15" hidden="false" customHeight="false" outlineLevel="0" collapsed="false">
      <c r="I32" s="119" t="s">
        <v>100</v>
      </c>
      <c r="J32" s="154" t="s">
        <v>103</v>
      </c>
    </row>
    <row r="33" customFormat="false" ht="15" hidden="false" customHeight="false" outlineLevel="0" collapsed="false">
      <c r="I33" s="122" t="s">
        <v>105</v>
      </c>
      <c r="J33" s="154" t="s">
        <v>99</v>
      </c>
    </row>
    <row r="34" customFormat="false" ht="15" hidden="false" customHeight="false" outlineLevel="0" collapsed="false">
      <c r="I34" s="119" t="s">
        <v>113</v>
      </c>
      <c r="J34" s="154" t="s">
        <v>93</v>
      </c>
    </row>
    <row r="35" customFormat="false" ht="15" hidden="false" customHeight="false" outlineLevel="0" collapsed="false">
      <c r="I35" s="122" t="s">
        <v>96</v>
      </c>
      <c r="J35" s="154" t="s">
        <v>112</v>
      </c>
    </row>
  </sheetData>
  <mergeCells count="7">
    <mergeCell ref="B1:L1"/>
    <mergeCell ref="B2:L2"/>
    <mergeCell ref="B4:C4"/>
    <mergeCell ref="I4:J4"/>
    <mergeCell ref="B11:C11"/>
    <mergeCell ref="B18:C18"/>
    <mergeCell ref="B24:C24"/>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6E66"/>
    <pageSetUpPr fitToPage="true"/>
  </sheetPr>
  <dimension ref="B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6"/>
    <col collapsed="false" customWidth="true" hidden="false" outlineLevel="0" max="4" min="4" style="0" width="4"/>
    <col collapsed="false" customWidth="true" hidden="false" outlineLevel="0" max="5" min="5" style="0" width="40"/>
    <col collapsed="false" customWidth="true" hidden="false" outlineLevel="0" max="6" min="6" style="0" width="16"/>
    <col collapsed="false" customWidth="true" hidden="false" outlineLevel="0" max="7" min="7" style="0" width="4"/>
  </cols>
  <sheetData>
    <row r="1" customFormat="false" ht="37.5" hidden="false" customHeight="true" outlineLevel="0" collapsed="false">
      <c r="B1" s="37" t="s">
        <v>47</v>
      </c>
      <c r="C1" s="37"/>
      <c r="D1" s="37"/>
      <c r="E1" s="37"/>
      <c r="F1" s="37"/>
    </row>
    <row r="2" customFormat="false" ht="18" hidden="false" customHeight="true" outlineLevel="0" collapsed="false">
      <c r="B2" s="38" t="s">
        <v>411</v>
      </c>
      <c r="C2" s="38"/>
      <c r="D2" s="38"/>
      <c r="E2" s="38"/>
      <c r="F2" s="38"/>
    </row>
    <row r="4" customFormat="false" ht="24" hidden="false" customHeight="true" outlineLevel="0" collapsed="false">
      <c r="B4" s="19" t="s">
        <v>412</v>
      </c>
      <c r="C4" s="19"/>
      <c r="E4" s="19" t="s">
        <v>413</v>
      </c>
      <c r="F4" s="19"/>
    </row>
    <row r="5" customFormat="false" ht="30" hidden="false" customHeight="true" outlineLevel="0" collapsed="false">
      <c r="B5" s="23" t="s">
        <v>414</v>
      </c>
      <c r="C5" s="23" t="s">
        <v>415</v>
      </c>
      <c r="E5" s="23" t="s">
        <v>414</v>
      </c>
      <c r="F5" s="23" t="s">
        <v>415</v>
      </c>
    </row>
    <row r="6" customFormat="false" ht="15" hidden="false" customHeight="false" outlineLevel="0" collapsed="false">
      <c r="B6" s="53" t="s">
        <v>416</v>
      </c>
      <c r="C6" s="167" t="n">
        <v>10000</v>
      </c>
      <c r="E6" s="53" t="s">
        <v>417</v>
      </c>
      <c r="F6" s="167" t="n">
        <v>100</v>
      </c>
    </row>
    <row r="7" customFormat="false" ht="15" hidden="false" customHeight="false" outlineLevel="0" collapsed="false">
      <c r="B7" s="58" t="s">
        <v>418</v>
      </c>
      <c r="C7" s="168" t="n">
        <v>5000</v>
      </c>
      <c r="E7" s="58" t="s">
        <v>419</v>
      </c>
      <c r="F7" s="168" t="n">
        <v>100</v>
      </c>
    </row>
    <row r="8" customFormat="false" ht="15" hidden="false" customHeight="false" outlineLevel="0" collapsed="false">
      <c r="B8" s="53" t="s">
        <v>420</v>
      </c>
      <c r="C8" s="167" t="n">
        <v>5000</v>
      </c>
      <c r="E8" s="53" t="s">
        <v>421</v>
      </c>
      <c r="F8" s="167" t="n">
        <v>200</v>
      </c>
    </row>
    <row r="9" customFormat="false" ht="15" hidden="false" customHeight="false" outlineLevel="0" collapsed="false">
      <c r="B9" s="58" t="s">
        <v>422</v>
      </c>
      <c r="C9" s="168" t="n">
        <v>5000</v>
      </c>
      <c r="E9" s="58" t="s">
        <v>423</v>
      </c>
      <c r="F9" s="168" t="n">
        <v>200</v>
      </c>
    </row>
    <row r="10" customFormat="false" ht="15" hidden="false" customHeight="false" outlineLevel="0" collapsed="false">
      <c r="B10" s="53" t="s">
        <v>424</v>
      </c>
      <c r="C10" s="167" t="n">
        <v>2000</v>
      </c>
      <c r="E10" s="53" t="s">
        <v>425</v>
      </c>
      <c r="F10" s="167" t="n">
        <v>200</v>
      </c>
    </row>
    <row r="11" customFormat="false" ht="15" hidden="false" customHeight="false" outlineLevel="0" collapsed="false">
      <c r="B11" s="58" t="s">
        <v>426</v>
      </c>
      <c r="C11" s="168" t="n">
        <v>2000</v>
      </c>
      <c r="E11" s="58" t="s">
        <v>427</v>
      </c>
      <c r="F11" s="168" t="n">
        <v>500</v>
      </c>
    </row>
    <row r="14" customFormat="false" ht="33.75" hidden="false" customHeight="true" outlineLevel="0" collapsed="false">
      <c r="B14" s="36" t="s">
        <v>428</v>
      </c>
      <c r="C14" s="36"/>
      <c r="D14" s="36"/>
      <c r="E14" s="36"/>
      <c r="F14" s="36"/>
    </row>
  </sheetData>
  <mergeCells count="5">
    <mergeCell ref="B1:F1"/>
    <mergeCell ref="B2:F2"/>
    <mergeCell ref="B4:C4"/>
    <mergeCell ref="E4:F4"/>
    <mergeCell ref="B14:F14"/>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2026-08-28T17:55:56Z</dcterms:created>
  <dc:creator>openpyxl</dc:creator>
  <dc:description/>
  <dc:language>en-US</dc:language>
  <cp:lastModifiedBy/>
  <dcterms:modified xsi:type="dcterms:W3CDTF">2026-08-28T17:56:00Z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