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RÉCAP DU JOURNAL" sheetId="2" state="visible" r:id="rId2"/>
    <sheet name="01" sheetId="3" state="visible" r:id="rId3"/>
    <sheet name="02" sheetId="4" state="visible" r:id="rId4"/>
    <sheet name="03" sheetId="5" state="visible" r:id="rId5"/>
    <sheet name="04" sheetId="6" state="visible" r:id="rId6"/>
    <sheet name="05" sheetId="7" state="visible" r:id="rId7"/>
    <sheet name="06" sheetId="8" state="visible" r:id="rId8"/>
    <sheet name="07" sheetId="9" state="visible" r:id="rId9"/>
    <sheet name="08" sheetId="10" state="visible" r:id="rId10"/>
    <sheet name="0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FOURNISSEURS" sheetId="34" state="visible" r:id="rId34"/>
    <sheet name="ÉCHÉANCIER" sheetId="35" state="visible" r:id="rId35"/>
    <sheet name="CHARGES FIXES" sheetId="36" state="visible" r:id="rId36"/>
    <sheet name="SUIVI MENSUEL" sheetId="37" state="visible" r:id="rId37"/>
    <sheet name="LISTES" sheetId="38" state="hidden" r:id="rId38"/>
  </sheets>
  <definedNames>
    <definedName name="_xlnm.Print_Area" localSheetId="0">'TABLEAU DE BORD'!$A$1:$N$54</definedName>
    <definedName name="_xlnm.Print_Area" localSheetId="1">'RÉCAP DU JOURNAL'!$A$1:$R$44</definedName>
    <definedName name="_xlnm.Print_Area" localSheetId="2">'01'!$A$1:$N$60</definedName>
    <definedName name="_xlnm.Print_Area" localSheetId="3">'02'!$A$1:$N$60</definedName>
    <definedName name="_xlnm.Print_Area" localSheetId="4">'03'!$A$1:$N$60</definedName>
    <definedName name="_xlnm.Print_Area" localSheetId="5">'04'!$A$1:$N$60</definedName>
    <definedName name="_xlnm.Print_Area" localSheetId="6">'05'!$A$1:$N$60</definedName>
    <definedName name="_xlnm.Print_Area" localSheetId="7">'06'!$A$1:$N$60</definedName>
    <definedName name="_xlnm.Print_Area" localSheetId="8">'07'!$A$1:$N$60</definedName>
    <definedName name="_xlnm.Print_Area" localSheetId="9">'08'!$A$1:$N$60</definedName>
    <definedName name="_xlnm.Print_Area" localSheetId="10">'09'!$A$1:$N$60</definedName>
    <definedName name="_xlnm.Print_Area" localSheetId="11">'10'!$A$1:$N$60</definedName>
    <definedName name="_xlnm.Print_Area" localSheetId="12">'11'!$A$1:$N$60</definedName>
    <definedName name="_xlnm.Print_Area" localSheetId="13">'12'!$A$1:$N$60</definedName>
    <definedName name="_xlnm.Print_Area" localSheetId="14">'13'!$A$1:$N$60</definedName>
    <definedName name="_xlnm.Print_Area" localSheetId="15">'14'!$A$1:$N$60</definedName>
    <definedName name="_xlnm.Print_Area" localSheetId="16">'15'!$A$1:$N$60</definedName>
    <definedName name="_xlnm.Print_Area" localSheetId="17">'16'!$A$1:$N$60</definedName>
    <definedName name="_xlnm.Print_Area" localSheetId="18">'17'!$A$1:$N$60</definedName>
    <definedName name="_xlnm.Print_Area" localSheetId="19">'18'!$A$1:$N$60</definedName>
    <definedName name="_xlnm.Print_Area" localSheetId="20">'19'!$A$1:$N$60</definedName>
    <definedName name="_xlnm.Print_Area" localSheetId="21">'20'!$A$1:$N$60</definedName>
    <definedName name="_xlnm.Print_Area" localSheetId="22">'21'!$A$1:$N$60</definedName>
    <definedName name="_xlnm.Print_Area" localSheetId="23">'22'!$A$1:$N$60</definedName>
    <definedName name="_xlnm.Print_Area" localSheetId="24">'23'!$A$1:$N$60</definedName>
    <definedName name="_xlnm.Print_Area" localSheetId="25">'24'!$A$1:$N$60</definedName>
    <definedName name="_xlnm.Print_Area" localSheetId="26">'25'!$A$1:$N$60</definedName>
    <definedName name="_xlnm.Print_Area" localSheetId="27">'26'!$A$1:$N$60</definedName>
    <definedName name="_xlnm.Print_Area" localSheetId="28">'27'!$A$1:$N$60</definedName>
    <definedName name="_xlnm.Print_Area" localSheetId="29">'28'!$A$1:$N$60</definedName>
    <definedName name="_xlnm.Print_Area" localSheetId="30">'29'!$A$1:$N$60</definedName>
    <definedName name="_xlnm.Print_Area" localSheetId="31">'30'!$A$1:$N$60</definedName>
    <definedName name="_xlnm.Print_Area" localSheetId="32">'31'!$A$1:$N$60</definedName>
    <definedName name="_xlnm.Print_Area" localSheetId="33">'FOURNISSEURS'!$A$1:$J$32</definedName>
    <definedName name="_xlnm._FilterDatabase" localSheetId="34" hidden="1">'ÉCHÉANCIER'!$B$8:$I$148</definedName>
    <definedName name="_xlnm.Print_Area" localSheetId="34">'ÉCHÉANCIER'!$A$1:$J$150</definedName>
    <definedName name="_xlnm.Print_Area" localSheetId="35">'CHARGES FIXES'!$A$1:$H$40</definedName>
    <definedName name="_xlnm.Print_Area" localSheetId="36">'SUIVI MENSUEL'!$A$1:$K$28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[$-40C]dddd D MMMM YYYY"/>
    <numFmt numFmtId="165" formatCode="#,##0 &quot;DH&quot;;[Red]-#,##0 &quot;DH&quot;;&quot;–&quot;"/>
    <numFmt numFmtId="166" formatCode="#,##0 &quot;DH&quot;;-#,##0 &quot;DH&quot;;&quot;–&quot;"/>
    <numFmt numFmtId="167" formatCode="DD/MM/YYYY"/>
    <numFmt numFmtId="168" formatCode="[$-40C]MMMM YYYY"/>
    <numFmt numFmtId="169" formatCode="[$-40C]ddd DD/MM"/>
    <numFmt numFmtId="170" formatCode="0.0%;[Red]-0.0%;&quot;–&quot;"/>
  </numFmts>
  <fonts count="4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1B2430"/>
      <sz val="10"/>
    </font>
    <font>
      <name val="Arial"/>
      <i val="1"/>
      <color rgb="FF5B6675"/>
      <sz val="9"/>
    </font>
    <font>
      <name val="Arial"/>
      <b val="1"/>
      <color rgb="FFFFFFFF"/>
      <sz val="15"/>
    </font>
    <font>
      <name val="Arial"/>
      <b val="1"/>
      <color rgb="FFC8A24B"/>
      <sz val="11"/>
    </font>
    <font>
      <name val="Arial"/>
      <b val="1"/>
      <color rgb="FFFFFFFF"/>
      <sz val="12"/>
    </font>
    <font>
      <name val="Arial"/>
      <color rgb="FFFFFFFF"/>
      <sz val="9.5"/>
    </font>
    <font>
      <name val="Arial"/>
      <b val="1"/>
      <color rgb="FF021F47"/>
      <sz val="9"/>
    </font>
    <font>
      <name val="Arial"/>
      <b val="1"/>
      <color rgb="FFFFFFFF"/>
      <sz val="10.5"/>
    </font>
    <font>
      <name val="Arial"/>
      <b val="1"/>
      <color rgb="FF021F47"/>
      <sz val="8.5"/>
    </font>
    <font>
      <name val="Arial"/>
      <color rgb="FF1A56A0"/>
      <sz val="10"/>
    </font>
    <font>
      <name val="Arial"/>
      <color rgb="FF1B2430"/>
      <sz val="9.5"/>
    </font>
    <font>
      <name val="Arial"/>
      <b val="1"/>
      <color rgb="FF1B2430"/>
      <sz val="9.5"/>
    </font>
    <font>
      <name val="Arial"/>
      <b val="1"/>
      <color rgb="FF1B2430"/>
      <sz val="10"/>
    </font>
    <font>
      <name val="Arial"/>
      <b val="1"/>
      <color rgb="FFA8231C"/>
      <sz val="9.5"/>
    </font>
    <font>
      <name val="Arial"/>
      <b val="1"/>
      <color rgb="FFA8231C"/>
      <sz val="10"/>
    </font>
    <font>
      <name val="Arial"/>
      <color rgb="FF1A56A0"/>
      <sz val="9.5"/>
    </font>
    <font>
      <name val="Arial"/>
      <b val="1"/>
      <color rgb="FFFFFFFF"/>
      <sz val="9.5"/>
    </font>
    <font>
      <name val="Arial"/>
      <color rgb="FF1B2430"/>
      <sz val="9"/>
    </font>
    <font>
      <name val="Arial"/>
      <b val="1"/>
      <color rgb="FFFFFFFF"/>
      <sz val="9"/>
    </font>
    <font>
      <name val="Arial"/>
      <b val="1"/>
      <color rgb="FFA8231C"/>
      <sz val="9"/>
    </font>
    <font>
      <name val="Arial"/>
      <b val="1"/>
      <color rgb="FF1E6B3A"/>
      <sz val="10"/>
    </font>
    <font>
      <name val="Arial"/>
      <b val="1"/>
      <color rgb="FFFFFFFF"/>
      <sz val="16"/>
    </font>
    <font>
      <name val="Arial"/>
      <color rgb="FFFFFFFF"/>
      <sz val="9"/>
    </font>
    <font>
      <name val="Arial"/>
      <b val="1"/>
      <color rgb="FF021F47"/>
      <sz val="10"/>
    </font>
    <font>
      <name val="Arial"/>
      <i val="1"/>
      <color rgb="FF5B6675"/>
      <sz val="8.5"/>
    </font>
    <font>
      <name val="Arial"/>
      <b val="1"/>
      <color rgb="FFC8A24B"/>
      <sz val="10"/>
    </font>
    <font>
      <name val="Arial"/>
      <b val="1"/>
      <color rgb="FFFFFFFF"/>
      <sz val="8.5"/>
    </font>
    <font>
      <name val="Arial"/>
      <b val="1"/>
      <color rgb="FF021F47"/>
      <sz val="14"/>
    </font>
    <font>
      <name val="Arial"/>
      <b val="1"/>
      <color rgb="FFA8231C"/>
      <sz val="14"/>
    </font>
    <font>
      <name val="Arial"/>
      <b val="1"/>
      <color rgb="FF8A5A00"/>
      <sz val="14"/>
    </font>
    <font>
      <name val="Arial"/>
      <b val="1"/>
      <color rgb="FF1E6B3A"/>
      <sz val="14"/>
    </font>
    <font>
      <name val="Arial"/>
      <b val="1"/>
      <color rgb="FF021F47"/>
      <sz val="9.5"/>
    </font>
    <font>
      <name val="Arial"/>
      <color rgb="FF1E6B3A"/>
      <sz val="10"/>
    </font>
    <font>
      <name val="Arial"/>
      <color rgb="FF021F47"/>
      <sz val="10"/>
    </font>
    <font>
      <name val="Arial"/>
      <b val="1"/>
      <color rgb="FFFFFFFF"/>
      <sz val="19"/>
    </font>
    <font>
      <name val="Arial"/>
      <b val="1"/>
      <color rgb="FF021F47"/>
      <sz val="17"/>
    </font>
    <font>
      <name val="Arial"/>
      <i val="1"/>
      <color rgb="FF5B6675"/>
      <sz val="8"/>
    </font>
    <font>
      <name val="Arial"/>
      <b val="1"/>
      <color rgb="FF1E6B3A"/>
      <sz val="17"/>
    </font>
    <font>
      <name val="Arial"/>
      <b val="1"/>
      <color rgb="FF3B5C8F"/>
      <sz val="17"/>
    </font>
    <font>
      <name val="Arial"/>
      <b val="1"/>
      <color rgb="FFA8231C"/>
      <sz val="17"/>
    </font>
    <font>
      <name val="Arial"/>
      <b val="1"/>
      <color rgb="FF8A5A00"/>
      <sz val="17"/>
    </font>
  </fonts>
  <fills count="14">
    <fill>
      <patternFill/>
    </fill>
    <fill>
      <patternFill patternType="gray125"/>
    </fill>
    <fill>
      <patternFill patternType="solid">
        <fgColor rgb="FF3B5C8F"/>
      </patternFill>
    </fill>
    <fill>
      <patternFill patternType="solid">
        <fgColor rgb="FF021F47"/>
      </patternFill>
    </fill>
    <fill>
      <patternFill patternType="solid">
        <fgColor rgb="FFFFF3D6"/>
      </patternFill>
    </fill>
    <fill>
      <patternFill patternType="solid">
        <fgColor rgb="FFE8EDF5"/>
      </patternFill>
    </fill>
    <fill>
      <patternFill patternType="solid">
        <fgColor rgb="FFFFF7D6"/>
      </patternFill>
    </fill>
    <fill>
      <patternFill patternType="solid">
        <fgColor rgb="FFFFFFFF"/>
      </patternFill>
    </fill>
    <fill>
      <patternFill patternType="solid">
        <fgColor rgb="FF0B2E5E"/>
      </patternFill>
    </fill>
    <fill>
      <patternFill patternType="solid">
        <fgColor rgb="FFF3F5F9"/>
      </patternFill>
    </fill>
    <fill>
      <patternFill patternType="solid">
        <fgColor rgb="FF5B6675"/>
      </patternFill>
    </fill>
    <fill>
      <patternFill patternType="solid">
        <fgColor rgb="FF1E6B3A"/>
      </patternFill>
    </fill>
    <fill>
      <patternFill patternType="solid">
        <fgColor rgb="FFA8231C"/>
      </patternFill>
    </fill>
    <fill>
      <patternFill patternType="solid">
        <fgColor rgb="FF8A5A00"/>
      </patternFill>
    </fill>
  </fills>
  <borders count="9">
    <border>
      <left/>
      <right/>
      <top/>
      <bottom/>
      <diagonal/>
    </border>
    <border>
      <left style="thin">
        <color rgb="FF3B5C8F"/>
      </left>
      <right style="thin">
        <color rgb="FF3B5C8F"/>
      </right>
      <top style="thin">
        <color rgb="FF3B5C8F"/>
      </top>
      <bottom style="thin">
        <color rgb="FF3B5C8F"/>
      </bottom>
    </border>
    <border>
      <left style="thin">
        <color rgb="FFFFFFFF"/>
      </left>
      <right style="thin">
        <color rgb="FFFFFFFF"/>
      </right>
      <top style="thin">
        <color rgb="FFE8EDF5"/>
      </top>
      <bottom style="medium">
        <color rgb="FFC8A24B"/>
      </bottom>
    </border>
    <border>
      <left style="thin">
        <color rgb="FFDDE2EA"/>
      </left>
      <right style="thin">
        <color rgb="FFDDE2EA"/>
      </right>
      <top style="thin">
        <color rgb="FFDDE2EA"/>
      </top>
      <bottom style="thin">
        <color rgb="FFDDE2EA"/>
      </bottom>
    </border>
    <border>
      <top style="medium">
        <color rgb="FFC8A24B"/>
      </top>
    </border>
    <border>
      <left/>
      <right/>
      <top style="medium">
        <color rgb="FFC8A24B"/>
      </top>
      <bottom/>
      <diagonal/>
    </border>
    <border>
      <left/>
      <right/>
      <top style="thin">
        <color rgb="FFE8EDF5"/>
      </top>
      <bottom/>
      <diagonal/>
    </border>
    <border>
      <left/>
      <right style="thin">
        <color rgb="FFFFFFFF"/>
      </right>
      <top style="thin">
        <color rgb="FFE8EDF5"/>
      </top>
      <bottom/>
      <diagonal/>
    </border>
    <border>
      <left/>
      <right style="thin">
        <color rgb="FFFFFFFF"/>
      </right>
      <top style="thin">
        <color rgb="FFE8EDF5"/>
      </top>
      <bottom style="medium">
        <color rgb="FFC8A24B"/>
      </bottom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0" fillId="3" borderId="0" pivotButton="0" quotePrefix="0" xfId="0"/>
    <xf numFmtId="0" fontId="36" fillId="3" borderId="0" applyAlignment="1" pivotButton="0" quotePrefix="0" xfId="0">
      <alignment horizontal="right" vertical="center" indent="1"/>
    </xf>
    <xf numFmtId="0" fontId="25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28" fillId="3" borderId="0" applyAlignment="1" pivotButton="0" quotePrefix="0" xfId="0">
      <alignment horizontal="center" vertical="center" wrapText="1"/>
    </xf>
    <xf numFmtId="0" fontId="28" fillId="11" borderId="0" applyAlignment="1" pivotButton="0" quotePrefix="0" xfId="0">
      <alignment horizontal="center" vertical="center" wrapText="1"/>
    </xf>
    <xf numFmtId="0" fontId="0" fillId="11" borderId="0" pivotButton="0" quotePrefix="0" xfId="0"/>
    <xf numFmtId="0" fontId="28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166" fontId="37" fillId="7" borderId="3" applyAlignment="1" pivotButton="0" quotePrefix="0" xfId="0">
      <alignment horizontal="center" vertical="center" wrapText="1"/>
    </xf>
    <xf numFmtId="0" fontId="0" fillId="7" borderId="3" pivotButton="0" quotePrefix="0" xfId="0"/>
    <xf numFmtId="166" fontId="39" fillId="7" borderId="3" applyAlignment="1" pivotButton="0" quotePrefix="0" xfId="0">
      <alignment horizontal="center" vertical="center" wrapText="1"/>
    </xf>
    <xf numFmtId="166" fontId="40" fillId="7" borderId="3" applyAlignment="1" pivotButton="0" quotePrefix="0" xfId="0">
      <alignment horizontal="center" vertical="center" wrapText="1"/>
    </xf>
    <xf numFmtId="0" fontId="38" fillId="7" borderId="3" applyAlignment="1" pivotButton="0" quotePrefix="0" xfId="0">
      <alignment horizontal="center" vertical="center" wrapText="1"/>
    </xf>
    <xf numFmtId="0" fontId="28" fillId="12" borderId="0" applyAlignment="1" pivotButton="0" quotePrefix="0" xfId="0">
      <alignment horizontal="center" vertical="center" wrapText="1"/>
    </xf>
    <xf numFmtId="0" fontId="0" fillId="12" borderId="0" pivotButton="0" quotePrefix="0" xfId="0"/>
    <xf numFmtId="0" fontId="28" fillId="13" borderId="0" applyAlignment="1" pivotButton="0" quotePrefix="0" xfId="0">
      <alignment horizontal="center" vertical="center" wrapText="1"/>
    </xf>
    <xf numFmtId="0" fontId="0" fillId="13" borderId="0" pivotButton="0" quotePrefix="0" xfId="0"/>
    <xf numFmtId="166" fontId="41" fillId="7" borderId="3" applyAlignment="1" pivotButton="0" quotePrefix="0" xfId="0">
      <alignment horizontal="center" vertical="center" wrapText="1"/>
    </xf>
    <xf numFmtId="166" fontId="42" fillId="7" borderId="3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left" vertical="top" wrapText="1"/>
    </xf>
    <xf numFmtId="0" fontId="23" fillId="3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left" vertical="center" indent="1"/>
    </xf>
    <xf numFmtId="0" fontId="13" fillId="9" borderId="3" applyAlignment="1" pivotButton="0" quotePrefix="0" xfId="0">
      <alignment horizontal="left" vertical="center" indent="1"/>
    </xf>
    <xf numFmtId="0" fontId="0" fillId="9" borderId="3" pivotButton="0" quotePrefix="0" xfId="0"/>
    <xf numFmtId="1" fontId="11" fillId="6" borderId="3" applyAlignment="1" pivotButton="0" quotePrefix="0" xfId="0">
      <alignment horizontal="right" vertical="center"/>
    </xf>
    <xf numFmtId="167" fontId="25" fillId="7" borderId="3" applyAlignment="1" pivotButton="0" quotePrefix="0" xfId="0">
      <alignment horizontal="center" vertical="center" wrapText="1"/>
    </xf>
    <xf numFmtId="1" fontId="25" fillId="7" borderId="3" applyAlignment="1" pivotButton="0" quotePrefix="0" xfId="0">
      <alignment horizontal="right" vertical="center"/>
    </xf>
    <xf numFmtId="165" fontId="11" fillId="6" borderId="3" applyAlignment="1" pivotButton="0" quotePrefix="0" xfId="0">
      <alignment horizontal="right" vertical="center"/>
    </xf>
    <xf numFmtId="168" fontId="25" fillId="7" borderId="3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167" fontId="2" fillId="7" borderId="3" applyAlignment="1" pivotButton="0" quotePrefix="0" xfId="0">
      <alignment horizontal="center" vertical="center" wrapText="1"/>
    </xf>
    <xf numFmtId="169" fontId="2" fillId="7" borderId="3" applyAlignment="1" pivotButton="0" quotePrefix="0" xfId="0">
      <alignment horizontal="center" vertical="center" wrapText="1"/>
    </xf>
    <xf numFmtId="165" fontId="2" fillId="7" borderId="3" applyAlignment="1" pivotButton="0" quotePrefix="0" xfId="0">
      <alignment horizontal="right" vertical="center"/>
    </xf>
    <xf numFmtId="165" fontId="25" fillId="7" borderId="3" applyAlignment="1" pivotButton="0" quotePrefix="0" xfId="0">
      <alignment horizontal="right" vertical="center"/>
    </xf>
    <xf numFmtId="167" fontId="2" fillId="9" borderId="3" applyAlignment="1" pivotButton="0" quotePrefix="0" xfId="0">
      <alignment horizontal="center" vertical="center" wrapText="1"/>
    </xf>
    <xf numFmtId="169" fontId="2" fillId="9" borderId="3" applyAlignment="1" pivotButton="0" quotePrefix="0" xfId="0">
      <alignment horizontal="center" vertical="center" wrapText="1"/>
    </xf>
    <xf numFmtId="165" fontId="2" fillId="9" borderId="3" applyAlignment="1" pivotButton="0" quotePrefix="0" xfId="0">
      <alignment horizontal="right" vertical="center"/>
    </xf>
    <xf numFmtId="165" fontId="25" fillId="9" borderId="3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 indent="1"/>
    </xf>
    <xf numFmtId="0" fontId="0" fillId="0" borderId="5" pivotButton="0" quotePrefix="0" xfId="0"/>
    <xf numFmtId="166" fontId="1" fillId="3" borderId="4" applyAlignment="1" pivotButton="0" quotePrefix="0" xfId="0">
      <alignment horizontal="right" vertical="center"/>
    </xf>
    <xf numFmtId="166" fontId="27" fillId="3" borderId="4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right" vertical="center" indent="1"/>
    </xf>
    <xf numFmtId="164" fontId="6" fillId="2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right" vertical="center" indent="1"/>
    </xf>
    <xf numFmtId="0" fontId="8" fillId="4" borderId="1" applyAlignment="1" pivotButton="0" quotePrefix="0" xfId="0">
      <alignment horizontal="left" vertical="center" indent="1"/>
    </xf>
    <xf numFmtId="0" fontId="0" fillId="4" borderId="0" pivotButton="0" quotePrefix="0" xfId="0"/>
    <xf numFmtId="49" fontId="11" fillId="6" borderId="3" applyAlignment="1" pivotButton="0" quotePrefix="0" xfId="0">
      <alignment horizontal="left" vertical="center" indent="1"/>
    </xf>
    <xf numFmtId="0" fontId="12" fillId="9" borderId="3" applyAlignment="1" pivotButton="0" quotePrefix="0" xfId="0">
      <alignment horizontal="left" vertical="center" indent="1"/>
    </xf>
    <xf numFmtId="0" fontId="12" fillId="7" borderId="3" applyAlignment="1" pivotButton="0" quotePrefix="0" xfId="0">
      <alignment horizontal="left" vertical="center" indent="1"/>
    </xf>
    <xf numFmtId="0" fontId="18" fillId="3" borderId="4" applyAlignment="1" pivotButton="0" quotePrefix="0" xfId="0">
      <alignment horizontal="left" vertical="center" indent="1"/>
    </xf>
    <xf numFmtId="0" fontId="1" fillId="3" borderId="4" pivotButton="0" quotePrefix="0" xfId="0"/>
    <xf numFmtId="0" fontId="9" fillId="8" borderId="0" applyAlignment="1" pivotButton="0" quotePrefix="0" xfId="0">
      <alignment horizontal="left" vertical="center" indent="1"/>
    </xf>
    <xf numFmtId="0" fontId="9" fillId="11" borderId="0" applyAlignment="1" pivotButton="0" quotePrefix="0" xfId="0">
      <alignment horizontal="left" vertical="center" indent="1"/>
    </xf>
    <xf numFmtId="0" fontId="0" fillId="0" borderId="8" pivotButton="0" quotePrefix="0" xfId="0"/>
    <xf numFmtId="0" fontId="0" fillId="6" borderId="3" pivotButton="0" quotePrefix="0" xfId="0"/>
    <xf numFmtId="165" fontId="14" fillId="7" borderId="3" applyAlignment="1" pivotButton="0" quotePrefix="0" xfId="0">
      <alignment horizontal="right" vertical="center"/>
    </xf>
    <xf numFmtId="0" fontId="15" fillId="9" borderId="3" applyAlignment="1" pivotButton="0" quotePrefix="0" xfId="0">
      <alignment horizontal="left" vertical="center" indent="1"/>
    </xf>
    <xf numFmtId="165" fontId="16" fillId="7" borderId="3" applyAlignment="1" pivotButton="0" quotePrefix="0" xfId="0">
      <alignment horizontal="right" vertical="center"/>
    </xf>
    <xf numFmtId="0" fontId="9" fillId="10" borderId="0" applyAlignment="1" pivotButton="0" quotePrefix="0" xfId="0">
      <alignment horizontal="left" vertical="center" indent="1"/>
    </xf>
    <xf numFmtId="0" fontId="17" fillId="6" borderId="3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left" vertical="center" indent="1"/>
    </xf>
    <xf numFmtId="0" fontId="1" fillId="8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9" fillId="9" borderId="3" applyAlignment="1" pivotButton="0" quotePrefix="0" xfId="0">
      <alignment horizontal="left" vertical="center" indent="1"/>
    </xf>
    <xf numFmtId="0" fontId="20" fillId="8" borderId="3" applyAlignment="1" pivotButton="0" quotePrefix="0" xfId="0">
      <alignment horizontal="left" vertical="center" indent="1"/>
    </xf>
    <xf numFmtId="0" fontId="0" fillId="8" borderId="3" pivotButton="0" quotePrefix="0" xfId="0"/>
    <xf numFmtId="166" fontId="1" fillId="8" borderId="3" applyAlignment="1" pivotButton="0" quotePrefix="0" xfId="0">
      <alignment horizontal="right" vertical="center"/>
    </xf>
    <xf numFmtId="0" fontId="0" fillId="7" borderId="0" pivotButton="0" quotePrefix="0" xfId="0"/>
    <xf numFmtId="0" fontId="21" fillId="9" borderId="3" applyAlignment="1" pivotButton="0" quotePrefix="0" xfId="0">
      <alignment horizontal="left" vertical="center" indent="1"/>
    </xf>
    <xf numFmtId="165" fontId="16" fillId="9" borderId="3" applyAlignment="1" pivotButton="0" quotePrefix="0" xfId="0">
      <alignment horizontal="right" vertical="center"/>
    </xf>
    <xf numFmtId="165" fontId="22" fillId="9" borderId="3" applyAlignment="1" pivotButton="0" quotePrefix="0" xfId="0">
      <alignment horizontal="right" vertical="center"/>
    </xf>
    <xf numFmtId="165" fontId="14" fillId="9" borderId="3" applyAlignment="1" pivotButton="0" quotePrefix="0" xfId="0">
      <alignment horizontal="right" vertical="center"/>
    </xf>
    <xf numFmtId="170" fontId="2" fillId="9" borderId="3" applyAlignment="1" pivotButton="0" quotePrefix="0" xfId="0">
      <alignment horizontal="right" vertical="center"/>
    </xf>
    <xf numFmtId="0" fontId="13" fillId="7" borderId="3" applyAlignment="1" pivotButton="0" quotePrefix="0" xfId="0">
      <alignment horizontal="left" vertical="center" indent="1"/>
    </xf>
    <xf numFmtId="170" fontId="2" fillId="7" borderId="3" applyAlignment="1" pivotButton="0" quotePrefix="0" xfId="0">
      <alignment horizontal="right" vertical="center"/>
    </xf>
    <xf numFmtId="170" fontId="1" fillId="3" borderId="4" applyAlignment="1" pivotButton="0" quotePrefix="0" xfId="0">
      <alignment horizontal="right" vertical="center"/>
    </xf>
    <xf numFmtId="166" fontId="29" fillId="9" borderId="3" applyAlignment="1" pivotButton="0" quotePrefix="0" xfId="0">
      <alignment horizontal="center" vertical="center" wrapText="1"/>
    </xf>
    <xf numFmtId="166" fontId="30" fillId="9" borderId="3" applyAlignment="1" pivotButton="0" quotePrefix="0" xfId="0">
      <alignment horizontal="center" vertical="center" wrapText="1"/>
    </xf>
    <xf numFmtId="166" fontId="31" fillId="9" borderId="3" applyAlignment="1" pivotButton="0" quotePrefix="0" xfId="0">
      <alignment horizontal="center" vertical="center" wrapText="1"/>
    </xf>
    <xf numFmtId="166" fontId="32" fillId="9" borderId="3" applyAlignment="1" pivotButton="0" quotePrefix="0" xfId="0">
      <alignment horizontal="center" vertical="center" wrapText="1"/>
    </xf>
    <xf numFmtId="167" fontId="11" fillId="6" borderId="3" applyAlignment="1" pivotButton="0" quotePrefix="0" xfId="0">
      <alignment horizontal="center" vertical="center" wrapText="1"/>
    </xf>
    <xf numFmtId="49" fontId="11" fillId="6" borderId="3" applyAlignment="1" pivotButton="0" quotePrefix="0" xfId="0">
      <alignment horizontal="center" vertical="center" wrapText="1"/>
    </xf>
    <xf numFmtId="49" fontId="14" fillId="7" borderId="3" applyAlignment="1" pivotButton="0" quotePrefix="0" xfId="0">
      <alignment horizontal="center" vertical="center" wrapText="1"/>
    </xf>
    <xf numFmtId="0" fontId="33" fillId="5" borderId="3" applyAlignment="1" pivotButton="0" quotePrefix="0" xfId="0">
      <alignment horizontal="left" vertical="center" indent="1"/>
    </xf>
    <xf numFmtId="0" fontId="0" fillId="5" borderId="3" pivotButton="0" quotePrefix="0" xfId="0"/>
    <xf numFmtId="165" fontId="25" fillId="5" borderId="3" applyAlignment="1" pivotButton="0" quotePrefix="0" xfId="0">
      <alignment horizontal="right" vertical="center"/>
    </xf>
    <xf numFmtId="165" fontId="34" fillId="7" borderId="3" applyAlignment="1" pivotButton="0" quotePrefix="0" xfId="0">
      <alignment horizontal="right" vertical="center"/>
    </xf>
    <xf numFmtId="165" fontId="35" fillId="7" borderId="3" applyAlignment="1" pivotButton="0" quotePrefix="0" xfId="0">
      <alignment horizontal="right" vertical="center"/>
    </xf>
    <xf numFmtId="49" fontId="25" fillId="7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1">
    <dxf>
      <font>
        <name val="Arial"/>
        <b val="1"/>
        <color rgb="FFA8231C"/>
        <sz val="17"/>
      </font>
    </dxf>
    <dxf>
      <font>
        <name val="Arial"/>
        <b val="1"/>
        <color rgb="FFA8231C"/>
        <sz val="10"/>
      </font>
      <fill>
        <patternFill>
          <bgColor rgb="FFFBE7E5"/>
        </patternFill>
      </fill>
    </dxf>
    <dxf>
      <font>
        <name val="Arial"/>
        <b val="1"/>
        <color rgb="FF1E6B3A"/>
        <sz val="10"/>
      </font>
    </dxf>
    <dxf>
      <font>
        <name val="Arial"/>
        <b val="1"/>
        <color rgb="FFFFFFFF"/>
        <sz val="10"/>
      </font>
      <fill>
        <patternFill>
          <bgColor rgb="FFA8231C"/>
        </patternFill>
      </fill>
    </dxf>
    <dxf>
      <fill>
        <patternFill>
          <bgColor rgb="FFFBE7E5"/>
        </patternFill>
      </fill>
    </dxf>
    <dxf>
      <fill>
        <patternFill>
          <bgColor rgb="FFA8231C"/>
        </patternFill>
      </fill>
    </dxf>
    <dxf>
      <font>
        <name val="Arial"/>
        <b val="1"/>
        <color rgb="FF021F47"/>
        <sz val="10"/>
      </font>
    </dxf>
    <dxf>
      <font>
        <name val="Arial"/>
        <b val="1"/>
        <color rgb="FFA8231C"/>
        <sz val="9.5"/>
      </font>
      <fill>
        <patternFill>
          <bgColor rgb="FFFBE7E5"/>
        </patternFill>
      </fill>
    </dxf>
    <dxf>
      <font>
        <name val="Arial"/>
        <b val="1"/>
        <color rgb="FF8A5A00"/>
        <sz val="9.5"/>
      </font>
      <fill>
        <patternFill>
          <bgColor rgb="FFFFF3D6"/>
        </patternFill>
      </fill>
    </dxf>
    <dxf>
      <font>
        <name val="Arial"/>
        <b val="1"/>
        <color rgb="FF1E6B3A"/>
        <sz val="9.5"/>
      </font>
      <fill>
        <patternFill>
          <bgColor rgb="FFE4F1E8"/>
        </patternFill>
      </fill>
    </dxf>
    <dxf>
      <font>
        <name val="Arial"/>
        <b val="1"/>
        <color rgb="FF5B6675"/>
        <sz val="9.5"/>
      </font>
      <fill>
        <patternFill>
          <bgColor rgb="FFE8ED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Achats fournisseurs, jour par jour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'RÉCAP DU JOURNAL'!S11</f>
            </strRef>
          </tx>
          <spPr>
            <a:solidFill>
              <a:srgbClr val="3B5C8F"/>
            </a:solidFill>
            <a:ln>
              <a:prstDash val="solid"/>
            </a:ln>
          </spPr>
          <cat>
            <numRef>
              <f>'RÉCAP DU JOURNAL'!$C$12:$C$42</f>
            </numRef>
          </cat>
          <val>
            <numRef>
              <f>'RÉCAP DU JOURNAL'!$S$12:$S$42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9AA3AE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000">
              <a:solidFill>
                <a:srgbClr val="DDE2EA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crossAx val="10"/>
      </valAx>
    </plotArea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Caisse totale (PARADISE + ZENATA), soir après soir</a:t>
            </a:r>
          </a:p>
        </rich>
      </tx>
    </title>
    <plotArea>
      <lineChart>
        <grouping val="standard"/>
        <ser>
          <idx val="0"/>
          <order val="0"/>
          <tx>
            <strRef>
              <f>'RÉCAP DU JOURNAL'!T11</f>
            </strRef>
          </tx>
          <spPr>
            <a:ln w="22000">
              <a:solidFill>
                <a:srgbClr val="021F47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'RÉCAP DU JOURNAL'!$C$12:$C$42</f>
            </numRef>
          </cat>
          <val>
            <numRef>
              <f>'RÉCAP DU JOURNAL'!$T$12:$T$42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9AA3AE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000">
              <a:solidFill>
                <a:srgbClr val="DDE2EA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crossAx val="10"/>
      </valAx>
    </plotArea>
    <plotVisOnly val="0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Encaissements et sorties, jour par jour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'RÉCAP DU JOURNAL'!U11</f>
            </strRef>
          </tx>
          <spPr>
            <a:solidFill>
              <a:srgbClr val="1E6B3A"/>
            </a:solidFill>
            <a:ln>
              <a:prstDash val="solid"/>
            </a:ln>
          </spPr>
          <cat>
            <numRef>
              <f>'RÉCAP DU JOURNAL'!$C$12:$C$42</f>
            </numRef>
          </cat>
          <val>
            <numRef>
              <f>'RÉCAP DU JOURNAL'!$U$12:$U$42</f>
            </numRef>
          </val>
        </ser>
        <ser>
          <idx val="1"/>
          <order val="1"/>
          <tx>
            <strRef>
              <f>'RÉCAP DU JOURNAL'!V11</f>
            </strRef>
          </tx>
          <spPr>
            <a:solidFill>
              <a:srgbClr val="A8231C"/>
            </a:solidFill>
            <a:ln>
              <a:prstDash val="solid"/>
            </a:ln>
          </spPr>
          <cat>
            <numRef>
              <f>'RÉCAP DU JOURNAL'!$C$12:$C$42</f>
            </numRef>
          </cat>
          <val>
            <numRef>
              <f>'RÉCAP DU JOURNAL'!$V$12:$V$42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9AA3AE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000">
              <a:solidFill>
                <a:srgbClr val="DDE2EA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crossAx val="10"/>
      </valAx>
    </plotArea>
    <legend>
      <legendPos val="b"/>
      <overlay val="0"/>
    </legend>
    <plotVisOnly val="0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Les dix premiers fournisseurs du mois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'FOURNISSEURS'!M5</f>
            </strRef>
          </tx>
          <spPr>
            <a:solidFill>
              <a:srgbClr val="021F47"/>
            </a:solidFill>
            <a:ln>
              <a:prstDash val="solid"/>
            </a:ln>
          </spPr>
          <cat>
            <numRef>
              <f>'FOURNISSEURS'!$L$6:$L$15</f>
            </numRef>
          </cat>
          <val>
            <numRef>
              <f>'FOURNISSEURS'!$M$6:$M$15</f>
            </numRef>
          </val>
        </ser>
        <gapWidth val="3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9AA3AE"/>
            </a:solidFill>
            <a:prstDash val="solid"/>
          </a:ln>
        </sp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>
          <spPr>
            <a:ln w="6000">
              <a:solidFill>
                <a:srgbClr val="DDE2EA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image" Target="/xl/media/image1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5903999" cy="302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15</row>
      <rowOff>0</rowOff>
    </from>
    <ext cx="5903999" cy="302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33</row>
      <rowOff>0</rowOff>
    </from>
    <ext cx="5903999" cy="302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33</row>
      <rowOff>0</rowOff>
    </from>
    <ext cx="5903999" cy="3024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1</row>
      <rowOff>0</rowOff>
    </from>
    <ext cx="1447800" cy="7905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21F47"/>
    <outlinePr summaryBelow="1" summaryRight="1"/>
    <pageSetUpPr fitToPage="1"/>
  </sheetPr>
  <dimension ref="A1:N54"/>
  <sheetViews>
    <sheetView showGridLines="0" zoomScale="90" workbookViewId="0">
      <selection activeCell="A1" sqref="A1"/>
    </sheetView>
  </sheetViews>
  <sheetFormatPr baseColWidth="8" defaultRowHeight="15"/>
  <cols>
    <col width="2.6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2.6" customWidth="1" min="14" max="14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56" customHeight="1">
      <c r="A2" s="1" t="n"/>
      <c r="B2" s="1" t="n"/>
      <c r="C2" s="1" t="n"/>
      <c r="D2" s="1" t="n"/>
      <c r="E2" s="1" t="n"/>
      <c r="F2" s="2" t="inlineStr">
        <is>
          <t>TABLEAU DE BORD DU MOIS</t>
        </is>
      </c>
      <c r="N2" s="1" t="n"/>
    </row>
    <row r="3" ht="1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24" customHeight="1">
      <c r="B4" s="3">
        <f>UPPER(TEXT('RÉCAP DU JOURNAL'!$J$4,"[$-40C]MMMM YYYY"))&amp;"     ·     PARADISE ALUMINIUM SARL     ·     Négoce et transformation d'aluminium     ·     Casablanca"</f>
        <v/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6" ht="17" customHeight="1">
      <c r="B6" s="5" t="inlineStr">
        <is>
          <t>ACHATS FOURNISSEURS</t>
        </is>
      </c>
      <c r="C6" s="1" t="n"/>
      <c r="D6" s="1" t="n"/>
      <c r="E6" s="6" t="inlineStr">
        <is>
          <t>ENCAISSEMENTS</t>
        </is>
      </c>
      <c r="F6" s="7" t="n"/>
      <c r="G6" s="7" t="n"/>
      <c r="H6" s="8" t="inlineStr">
        <is>
          <t>TOTAL DES SORTIES</t>
        </is>
      </c>
      <c r="I6" s="9" t="n"/>
      <c r="J6" s="9" t="n"/>
      <c r="K6" s="5" t="inlineStr">
        <is>
          <t>RÉSULTAT DE TRÉSORERIE</t>
        </is>
      </c>
      <c r="L6" s="1" t="n"/>
      <c r="M6" s="1" t="n"/>
    </row>
    <row r="7" ht="30" customHeight="1">
      <c r="B7" s="10">
        <f>'RÉCAP DU JOURNAL'!$D$43</f>
        <v/>
      </c>
      <c r="C7" s="11" t="n"/>
      <c r="D7" s="11" t="n"/>
      <c r="E7" s="12">
        <f>'RÉCAP DU JOURNAL'!$M$43</f>
        <v/>
      </c>
      <c r="F7" s="11" t="n"/>
      <c r="G7" s="11" t="n"/>
      <c r="H7" s="13">
        <f>'RÉCAP DU JOURNAL'!$L$43</f>
        <v/>
      </c>
      <c r="I7" s="11" t="n"/>
      <c r="J7" s="11" t="n"/>
      <c r="K7" s="10">
        <f>'RÉCAP DU JOURNAL'!$M$43-'RÉCAP DU JOURNAL'!$L$43</f>
        <v/>
      </c>
      <c r="L7" s="11" t="n"/>
      <c r="M7" s="11" t="n"/>
    </row>
    <row r="8" ht="15" customHeight="1">
      <c r="B8" s="14" t="inlineStr">
        <is>
          <t>net à payer, cumul du mois</t>
        </is>
      </c>
      <c r="C8" s="11" t="n"/>
      <c r="D8" s="11" t="n"/>
      <c r="E8" s="14" t="inlineStr">
        <is>
          <t>clients et apports</t>
        </is>
      </c>
      <c r="F8" s="11" t="n"/>
      <c r="G8" s="11" t="n"/>
      <c r="H8" s="14" t="inlineStr">
        <is>
          <t>achats réglés + charges</t>
        </is>
      </c>
      <c r="I8" s="11" t="n"/>
      <c r="J8" s="11" t="n"/>
      <c r="K8" s="14" t="inlineStr">
        <is>
          <t>encaissements – sorties</t>
        </is>
      </c>
      <c r="L8" s="11" t="n"/>
      <c r="M8" s="11" t="n"/>
    </row>
    <row r="9" ht="6" customHeight="1"/>
    <row r="10" ht="17" customHeight="1">
      <c r="B10" s="15" t="inlineStr">
        <is>
          <t>RESTE DÛ AUX FOURNISSEURS</t>
        </is>
      </c>
      <c r="C10" s="16" t="n"/>
      <c r="D10" s="16" t="n"/>
      <c r="E10" s="17" t="inlineStr">
        <is>
          <t>CHARGES FIXES ET SALAIRES</t>
        </is>
      </c>
      <c r="F10" s="18" t="n"/>
      <c r="G10" s="18" t="n"/>
      <c r="H10" s="5" t="inlineStr">
        <is>
          <t>CAISSE TOTALE EN FIN DE MOIS</t>
        </is>
      </c>
      <c r="I10" s="1" t="n"/>
      <c r="J10" s="1" t="n"/>
      <c r="K10" s="15" t="inlineStr">
        <is>
          <t>ÉCART DE CAISSE CUMULÉ</t>
        </is>
      </c>
      <c r="L10" s="16" t="n"/>
      <c r="M10" s="16" t="n"/>
    </row>
    <row r="11" ht="30" customHeight="1">
      <c r="B11" s="19">
        <f>'RÉCAP DU JOURNAL'!$H$43</f>
        <v/>
      </c>
      <c r="C11" s="11" t="n"/>
      <c r="D11" s="11" t="n"/>
      <c r="E11" s="20">
        <f>'RÉCAP DU JOURNAL'!$I$43+'RÉCAP DU JOURNAL'!$J$43</f>
        <v/>
      </c>
      <c r="F11" s="11" t="n"/>
      <c r="G11" s="11" t="n"/>
      <c r="H11" s="10">
        <f>'RÉCAP DU JOURNAL'!$P$43</f>
        <v/>
      </c>
      <c r="I11" s="11" t="n"/>
      <c r="J11" s="11" t="n"/>
      <c r="K11" s="19">
        <f>'RÉCAP DU JOURNAL'!$Q$43</f>
        <v/>
      </c>
      <c r="L11" s="11" t="n"/>
      <c r="M11" s="11" t="n"/>
    </row>
    <row r="12" ht="15" customHeight="1">
      <c r="B12" s="14" t="inlineStr">
        <is>
          <t>crédit fournisseur du mois</t>
        </is>
      </c>
      <c r="C12" s="11" t="n"/>
      <c r="D12" s="11" t="n"/>
      <c r="E12" s="14" t="inlineStr">
        <is>
          <t>le coût de la structure</t>
        </is>
      </c>
      <c r="F12" s="11" t="n"/>
      <c r="G12" s="11" t="n"/>
      <c r="H12" s="14" t="inlineStr">
        <is>
          <t>PARADISE + ZENATA</t>
        </is>
      </c>
      <c r="I12" s="11" t="n"/>
      <c r="J12" s="11" t="n"/>
      <c r="K12" s="14" t="inlineStr">
        <is>
          <t>compté – théorique</t>
        </is>
      </c>
      <c r="L12" s="11" t="n"/>
      <c r="M12" s="11" t="n"/>
    </row>
    <row r="13" ht="6" customHeight="1"/>
    <row r="14" ht="23" customHeight="1">
      <c r="B14" s="21" t="inlineStr">
        <is>
          <t>LE MOIS EN QUATRE GRAPHIQUES</t>
        </is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30" customHeight="1">
      <c r="B54" s="22" t="inlineStr">
        <is>
          <t>Tout se calcule à partir des feuilles 01 à 31 : il n'y a rien à saisir sur cette page. Les réglages du mois (année, mois, soldes d'ouverture) sont en haut de RÉCAP DU JOURNAL.</t>
        </is>
      </c>
    </row>
  </sheetData>
  <mergeCells count="28">
    <mergeCell ref="B11:D11"/>
    <mergeCell ref="E10:G10"/>
    <mergeCell ref="B8:D8"/>
    <mergeCell ref="B14:M14"/>
    <mergeCell ref="K12:M12"/>
    <mergeCell ref="H11:J11"/>
    <mergeCell ref="H7:J7"/>
    <mergeCell ref="E6:G6"/>
    <mergeCell ref="B10:D10"/>
    <mergeCell ref="K8:M8"/>
    <mergeCell ref="E11:G11"/>
    <mergeCell ref="H12:J12"/>
    <mergeCell ref="E7:G7"/>
    <mergeCell ref="B6:D6"/>
    <mergeCell ref="K7:M7"/>
    <mergeCell ref="F2:M2"/>
    <mergeCell ref="K10:M10"/>
    <mergeCell ref="K6:M6"/>
    <mergeCell ref="H8:J8"/>
    <mergeCell ref="E12:G12"/>
    <mergeCell ref="B7:D7"/>
    <mergeCell ref="B4:M4"/>
    <mergeCell ref="B54:M54"/>
    <mergeCell ref="H10:J10"/>
    <mergeCell ref="E8:G8"/>
    <mergeCell ref="B12:D12"/>
    <mergeCell ref="K11:M11"/>
    <mergeCell ref="H6:J6"/>
  </mergeCells>
  <conditionalFormatting sqref="B7:M11">
    <cfRule type="cellIs" priority="1" operator="lessThan" dxfId="0">
      <formula>0</formula>
    </cfRule>
  </conditionalFormatting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21F47"/>
    <outlinePr summaryBelow="1" summaryRight="1"/>
    <pageSetUpPr fitToPage="1"/>
  </sheetPr>
  <dimension ref="A1:V44"/>
  <sheetViews>
    <sheetView showGridLines="0" zoomScale="9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6" customWidth="1" min="1" max="1"/>
    <col width="13" customWidth="1" min="2" max="2"/>
    <col width="11" customWidth="1" min="3" max="3"/>
    <col width="15" customWidth="1" min="4" max="4"/>
    <col width="11" customWidth="1" min="5" max="5"/>
    <col width="11" customWidth="1" min="6" max="6"/>
    <col width="11" customWidth="1" min="7" max="7"/>
    <col width="13" customWidth="1" min="8" max="8"/>
    <col width="13" customWidth="1" min="9" max="9"/>
    <col width="11" customWidth="1" min="10" max="10"/>
    <col width="13" customWidth="1" min="11" max="11"/>
    <col width="13" customWidth="1" min="12" max="12"/>
    <col width="14" customWidth="1" min="13" max="13"/>
    <col width="14" customWidth="1" min="14" max="14"/>
    <col width="13" customWidth="1" min="15" max="15"/>
    <col width="14" customWidth="1" min="16" max="16"/>
    <col width="11" customWidth="1" min="17" max="17"/>
    <col width="2.6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1" ht="38" customHeight="1">
      <c r="A1" s="23" t="inlineStr">
        <is>
          <t>RÉCAP DU JOURNAL</t>
        </is>
      </c>
    </row>
    <row r="2" ht="18" customHeight="1">
      <c r="A2" s="24" t="inlineStr">
        <is>
          <t>PARADISE ALUMINIUM SARL  ·  Casablanca  ·  le mois entier, jour par jour — tout vient des feuilles 01 à 31</t>
        </is>
      </c>
    </row>
    <row r="3" ht="23" customHeight="1">
      <c r="B3" s="21" t="inlineStr">
        <is>
          <t>RÉGLAGES DU MOIS  —  les seules cases à remplir sur cette feuille</t>
        </is>
      </c>
    </row>
    <row r="4" ht="30" customHeight="1">
      <c r="B4" s="25" t="inlineStr">
        <is>
          <t>Année</t>
        </is>
      </c>
      <c r="C4" s="26" t="n"/>
      <c r="D4" s="26" t="n"/>
      <c r="E4" s="27" t="n">
        <v>2026</v>
      </c>
      <c r="G4" s="25" t="inlineStr">
        <is>
          <t>Premier jour du mois</t>
        </is>
      </c>
      <c r="H4" s="26" t="n"/>
      <c r="I4" s="26" t="n"/>
      <c r="J4" s="28">
        <f>DATE($E$4,$E$5,1)</f>
        <v/>
      </c>
      <c r="L4" s="22" t="inlineStr">
        <is>
          <t>Changez l'année, le mois et les trois soldes d'ouverture : tout le classeur suit — dates, jours de la semaine, feuilles neutralisées pour un mois de moins de 31 jours.</t>
        </is>
      </c>
    </row>
    <row r="5" ht="19" customHeight="1">
      <c r="B5" s="25" t="inlineStr">
        <is>
          <t>Mois  (1 à 12)</t>
        </is>
      </c>
      <c r="C5" s="26" t="n"/>
      <c r="D5" s="26" t="n"/>
      <c r="E5" s="27" t="n">
        <v>10</v>
      </c>
      <c r="G5" s="25" t="inlineStr">
        <is>
          <t>Nombre de jours du mois</t>
        </is>
      </c>
      <c r="H5" s="26" t="n"/>
      <c r="I5" s="26" t="n"/>
      <c r="J5" s="29">
        <f>DAY(EOMONTH($J$4,0))</f>
        <v/>
      </c>
    </row>
    <row r="6" ht="30" customHeight="1">
      <c r="B6" s="25" t="inlineStr">
        <is>
          <t>Caisse PARADISE au 1er du mois</t>
        </is>
      </c>
      <c r="C6" s="26" t="n"/>
      <c r="D6" s="26" t="n"/>
      <c r="E6" s="30" t="n">
        <v>3000</v>
      </c>
      <c r="G6" s="25" t="inlineStr">
        <is>
          <t>Objectif d'achats du mois</t>
        </is>
      </c>
      <c r="H6" s="26" t="n"/>
      <c r="I6" s="26" t="n"/>
      <c r="J6" s="30" t="n">
        <v>0</v>
      </c>
      <c r="L6" s="22" t="inlineStr">
        <is>
          <t>Le report de caisse est le seul lien entre deux mois : le solde du soir du dernier jour devient le solde d'ouverture du mois suivant.</t>
        </is>
      </c>
    </row>
    <row r="7" ht="19" customHeight="1">
      <c r="B7" s="25" t="inlineStr">
        <is>
          <t>Caisse ZENATA au 1er du mois</t>
        </is>
      </c>
      <c r="C7" s="26" t="n"/>
      <c r="D7" s="26" t="n"/>
      <c r="E7" s="30" t="n">
        <v>18188</v>
      </c>
      <c r="G7" s="25" t="inlineStr">
        <is>
          <t>Objectif d'encaissements du mois</t>
        </is>
      </c>
      <c r="H7" s="26" t="n"/>
      <c r="I7" s="26" t="n"/>
      <c r="J7" s="30" t="n">
        <v>0</v>
      </c>
    </row>
    <row r="8" ht="19" customHeight="1">
      <c r="B8" s="25" t="inlineStr">
        <is>
          <t>Autre caisse au 1er du mois</t>
        </is>
      </c>
      <c r="C8" s="26" t="n"/>
      <c r="D8" s="26" t="n"/>
      <c r="E8" s="30" t="n">
        <v>-58814.02</v>
      </c>
      <c r="G8" s="25" t="inlineStr">
        <is>
          <t>Le mois, en clair</t>
        </is>
      </c>
      <c r="H8" s="26" t="n"/>
      <c r="I8" s="26" t="n"/>
      <c r="J8" s="31">
        <f>$J$4</f>
        <v/>
      </c>
      <c r="K8" s="26" t="n"/>
    </row>
    <row r="10" ht="23" customHeight="1">
      <c r="B10" s="21" t="inlineStr">
        <is>
          <t>LE MOIS JOUR PAR JOUR</t>
        </is>
      </c>
    </row>
    <row r="11" ht="36" customHeight="1">
      <c r="B11" s="32" t="inlineStr">
        <is>
          <t>DATE</t>
        </is>
      </c>
      <c r="C11" s="32" t="inlineStr">
        <is>
          <t>JOUR</t>
        </is>
      </c>
      <c r="D11" s="32" t="inlineStr">
        <is>
          <t>ACHATS FOURNIS-
SEURS</t>
        </is>
      </c>
      <c r="E11" s="32" t="inlineStr">
        <is>
          <t>DONT
ESPÈCE</t>
        </is>
      </c>
      <c r="F11" s="32" t="inlineStr">
        <is>
          <t>DONT
CHÈQUE</t>
        </is>
      </c>
      <c r="G11" s="32" t="inlineStr">
        <is>
          <t>DONT
EFFET</t>
        </is>
      </c>
      <c r="H11" s="32" t="inlineStr">
        <is>
          <t>RESTE DÛ
FOURNISSEURS</t>
        </is>
      </c>
      <c r="I11" s="32" t="inlineStr">
        <is>
          <t>CHARGES
FIXES</t>
        </is>
      </c>
      <c r="J11" s="32" t="inlineStr">
        <is>
          <t>SALAIRES</t>
        </is>
      </c>
      <c r="K11" s="32" t="inlineStr">
        <is>
          <t>DÉPENSES
&amp; TRAVAUX</t>
        </is>
      </c>
      <c r="L11" s="32" t="inlineStr">
        <is>
          <t>TOTAL DES
SORTIES</t>
        </is>
      </c>
      <c r="M11" s="32" t="inlineStr">
        <is>
          <t>ENCAISSE-
MENTS</t>
        </is>
      </c>
      <c r="N11" s="32" t="inlineStr">
        <is>
          <t>CAISSE
PARADISE</t>
        </is>
      </c>
      <c r="O11" s="32" t="inlineStr">
        <is>
          <t>CAISSE
ZENATA</t>
        </is>
      </c>
      <c r="P11" s="32" t="inlineStr">
        <is>
          <t>CAISSE
TOTALE</t>
        </is>
      </c>
      <c r="Q11" s="32" t="inlineStr">
        <is>
          <t>ÉCART</t>
        </is>
      </c>
      <c r="S11" t="inlineStr">
        <is>
          <t>Achats fournisseurs</t>
        </is>
      </c>
      <c r="T11" t="inlineStr">
        <is>
          <t>Caisse totale</t>
        </is>
      </c>
      <c r="U11" t="inlineStr">
        <is>
          <t>Encaissements</t>
        </is>
      </c>
      <c r="V11" t="inlineStr">
        <is>
          <t>Sorties</t>
        </is>
      </c>
    </row>
    <row r="12" ht="16" customHeight="1">
      <c r="B12" s="33">
        <f>IF(1&gt;$J$5,"",DATE($E$4,$E$5,1))</f>
        <v/>
      </c>
      <c r="C12" s="34">
        <f>IF($B12="","",$B12)</f>
        <v/>
      </c>
      <c r="D12" s="35">
        <f>IF($B12="","",'01'!D28)</f>
        <v/>
      </c>
      <c r="E12" s="35">
        <f>IF($B12="","",'01'!E28)</f>
        <v/>
      </c>
      <c r="F12" s="35">
        <f>IF($B12="","",'01'!F28)</f>
        <v/>
      </c>
      <c r="G12" s="35">
        <f>IF($B12="","",'01'!H28)</f>
        <v/>
      </c>
      <c r="H12" s="35">
        <f>IF($B12="","",'01'!J28)</f>
        <v/>
      </c>
      <c r="I12" s="35">
        <f>IF($B12="","",'01'!M20)</f>
        <v/>
      </c>
      <c r="J12" s="35">
        <f>IF($B12="","",'01'!M30)</f>
        <v/>
      </c>
      <c r="K12" s="35">
        <f>IF($B12="","",'01'!M44)</f>
        <v/>
      </c>
      <c r="L12" s="35">
        <f>IF($B12="","",'01'!M56)</f>
        <v/>
      </c>
      <c r="M12" s="35">
        <f>IF($B12="","",'01'!J42)</f>
        <v/>
      </c>
      <c r="N12" s="35">
        <f>IF($B12="","",'01'!D56)</f>
        <v/>
      </c>
      <c r="O12" s="35">
        <f>IF($B12="","",'01'!G56)</f>
        <v/>
      </c>
      <c r="P12" s="36">
        <f>IF($B12="","",'01'!J50)</f>
        <v/>
      </c>
      <c r="Q12" s="35">
        <f>IF($B12="","",'01'!J51)</f>
        <v/>
      </c>
      <c r="S12">
        <f>IF($B12="",NA(),$D12)</f>
        <v/>
      </c>
      <c r="T12">
        <f>IF($B12="",NA(),$P12)</f>
        <v/>
      </c>
      <c r="U12">
        <f>IF($B12="",NA(),$M12)</f>
        <v/>
      </c>
      <c r="V12">
        <f>IF($B12="",NA(),$L12)</f>
        <v/>
      </c>
    </row>
    <row r="13" ht="16" customHeight="1">
      <c r="B13" s="37">
        <f>IF(2&gt;$J$5,"",DATE($E$4,$E$5,2))</f>
        <v/>
      </c>
      <c r="C13" s="38">
        <f>IF($B13="","",$B13)</f>
        <v/>
      </c>
      <c r="D13" s="39">
        <f>IF($B13="","",'02'!D28)</f>
        <v/>
      </c>
      <c r="E13" s="39">
        <f>IF($B13="","",'02'!E28)</f>
        <v/>
      </c>
      <c r="F13" s="39">
        <f>IF($B13="","",'02'!F28)</f>
        <v/>
      </c>
      <c r="G13" s="39">
        <f>IF($B13="","",'02'!H28)</f>
        <v/>
      </c>
      <c r="H13" s="39">
        <f>IF($B13="","",'02'!J28)</f>
        <v/>
      </c>
      <c r="I13" s="39">
        <f>IF($B13="","",'02'!M20)</f>
        <v/>
      </c>
      <c r="J13" s="39">
        <f>IF($B13="","",'02'!M30)</f>
        <v/>
      </c>
      <c r="K13" s="39">
        <f>IF($B13="","",'02'!M44)</f>
        <v/>
      </c>
      <c r="L13" s="39">
        <f>IF($B13="","",'02'!M56)</f>
        <v/>
      </c>
      <c r="M13" s="39">
        <f>IF($B13="","",'02'!J42)</f>
        <v/>
      </c>
      <c r="N13" s="39">
        <f>IF($B13="","",'02'!D56)</f>
        <v/>
      </c>
      <c r="O13" s="39">
        <f>IF($B13="","",'02'!G56)</f>
        <v/>
      </c>
      <c r="P13" s="40">
        <f>IF($B13="","",'02'!J50)</f>
        <v/>
      </c>
      <c r="Q13" s="39">
        <f>IF($B13="","",'02'!J51)</f>
        <v/>
      </c>
      <c r="S13">
        <f>IF($B13="",NA(),$D13)</f>
        <v/>
      </c>
      <c r="T13">
        <f>IF($B13="",T12,$P13)</f>
        <v/>
      </c>
      <c r="U13">
        <f>IF($B13="",NA(),$M13)</f>
        <v/>
      </c>
      <c r="V13">
        <f>IF($B13="",NA(),$L13)</f>
        <v/>
      </c>
    </row>
    <row r="14" ht="16" customHeight="1">
      <c r="B14" s="33">
        <f>IF(3&gt;$J$5,"",DATE($E$4,$E$5,3))</f>
        <v/>
      </c>
      <c r="C14" s="34">
        <f>IF($B14="","",$B14)</f>
        <v/>
      </c>
      <c r="D14" s="35">
        <f>IF($B14="","",'03'!D28)</f>
        <v/>
      </c>
      <c r="E14" s="35">
        <f>IF($B14="","",'03'!E28)</f>
        <v/>
      </c>
      <c r="F14" s="35">
        <f>IF($B14="","",'03'!F28)</f>
        <v/>
      </c>
      <c r="G14" s="35">
        <f>IF($B14="","",'03'!H28)</f>
        <v/>
      </c>
      <c r="H14" s="35">
        <f>IF($B14="","",'03'!J28)</f>
        <v/>
      </c>
      <c r="I14" s="35">
        <f>IF($B14="","",'03'!M20)</f>
        <v/>
      </c>
      <c r="J14" s="35">
        <f>IF($B14="","",'03'!M30)</f>
        <v/>
      </c>
      <c r="K14" s="35">
        <f>IF($B14="","",'03'!M44)</f>
        <v/>
      </c>
      <c r="L14" s="35">
        <f>IF($B14="","",'03'!M56)</f>
        <v/>
      </c>
      <c r="M14" s="35">
        <f>IF($B14="","",'03'!J42)</f>
        <v/>
      </c>
      <c r="N14" s="35">
        <f>IF($B14="","",'03'!D56)</f>
        <v/>
      </c>
      <c r="O14" s="35">
        <f>IF($B14="","",'03'!G56)</f>
        <v/>
      </c>
      <c r="P14" s="36">
        <f>IF($B14="","",'03'!J50)</f>
        <v/>
      </c>
      <c r="Q14" s="35">
        <f>IF($B14="","",'03'!J51)</f>
        <v/>
      </c>
      <c r="S14">
        <f>IF($B14="",NA(),$D14)</f>
        <v/>
      </c>
      <c r="T14">
        <f>IF($B14="",T13,$P14)</f>
        <v/>
      </c>
      <c r="U14">
        <f>IF($B14="",NA(),$M14)</f>
        <v/>
      </c>
      <c r="V14">
        <f>IF($B14="",NA(),$L14)</f>
        <v/>
      </c>
    </row>
    <row r="15" ht="16" customHeight="1">
      <c r="B15" s="37">
        <f>IF(4&gt;$J$5,"",DATE($E$4,$E$5,4))</f>
        <v/>
      </c>
      <c r="C15" s="38">
        <f>IF($B15="","",$B15)</f>
        <v/>
      </c>
      <c r="D15" s="39">
        <f>IF($B15="","",'04'!D28)</f>
        <v/>
      </c>
      <c r="E15" s="39">
        <f>IF($B15="","",'04'!E28)</f>
        <v/>
      </c>
      <c r="F15" s="39">
        <f>IF($B15="","",'04'!F28)</f>
        <v/>
      </c>
      <c r="G15" s="39">
        <f>IF($B15="","",'04'!H28)</f>
        <v/>
      </c>
      <c r="H15" s="39">
        <f>IF($B15="","",'04'!J28)</f>
        <v/>
      </c>
      <c r="I15" s="39">
        <f>IF($B15="","",'04'!M20)</f>
        <v/>
      </c>
      <c r="J15" s="39">
        <f>IF($B15="","",'04'!M30)</f>
        <v/>
      </c>
      <c r="K15" s="39">
        <f>IF($B15="","",'04'!M44)</f>
        <v/>
      </c>
      <c r="L15" s="39">
        <f>IF($B15="","",'04'!M56)</f>
        <v/>
      </c>
      <c r="M15" s="39">
        <f>IF($B15="","",'04'!J42)</f>
        <v/>
      </c>
      <c r="N15" s="39">
        <f>IF($B15="","",'04'!D56)</f>
        <v/>
      </c>
      <c r="O15" s="39">
        <f>IF($B15="","",'04'!G56)</f>
        <v/>
      </c>
      <c r="P15" s="40">
        <f>IF($B15="","",'04'!J50)</f>
        <v/>
      </c>
      <c r="Q15" s="39">
        <f>IF($B15="","",'04'!J51)</f>
        <v/>
      </c>
      <c r="S15">
        <f>IF($B15="",NA(),$D15)</f>
        <v/>
      </c>
      <c r="T15">
        <f>IF($B15="",T14,$P15)</f>
        <v/>
      </c>
      <c r="U15">
        <f>IF($B15="",NA(),$M15)</f>
        <v/>
      </c>
      <c r="V15">
        <f>IF($B15="",NA(),$L15)</f>
        <v/>
      </c>
    </row>
    <row r="16" ht="16" customHeight="1">
      <c r="B16" s="33">
        <f>IF(5&gt;$J$5,"",DATE($E$4,$E$5,5))</f>
        <v/>
      </c>
      <c r="C16" s="34">
        <f>IF($B16="","",$B16)</f>
        <v/>
      </c>
      <c r="D16" s="35">
        <f>IF($B16="","",'05'!D28)</f>
        <v/>
      </c>
      <c r="E16" s="35">
        <f>IF($B16="","",'05'!E28)</f>
        <v/>
      </c>
      <c r="F16" s="35">
        <f>IF($B16="","",'05'!F28)</f>
        <v/>
      </c>
      <c r="G16" s="35">
        <f>IF($B16="","",'05'!H28)</f>
        <v/>
      </c>
      <c r="H16" s="35">
        <f>IF($B16="","",'05'!J28)</f>
        <v/>
      </c>
      <c r="I16" s="35">
        <f>IF($B16="","",'05'!M20)</f>
        <v/>
      </c>
      <c r="J16" s="35">
        <f>IF($B16="","",'05'!M30)</f>
        <v/>
      </c>
      <c r="K16" s="35">
        <f>IF($B16="","",'05'!M44)</f>
        <v/>
      </c>
      <c r="L16" s="35">
        <f>IF($B16="","",'05'!M56)</f>
        <v/>
      </c>
      <c r="M16" s="35">
        <f>IF($B16="","",'05'!J42)</f>
        <v/>
      </c>
      <c r="N16" s="35">
        <f>IF($B16="","",'05'!D56)</f>
        <v/>
      </c>
      <c r="O16" s="35">
        <f>IF($B16="","",'05'!G56)</f>
        <v/>
      </c>
      <c r="P16" s="36">
        <f>IF($B16="","",'05'!J50)</f>
        <v/>
      </c>
      <c r="Q16" s="35">
        <f>IF($B16="","",'05'!J51)</f>
        <v/>
      </c>
      <c r="S16">
        <f>IF($B16="",NA(),$D16)</f>
        <v/>
      </c>
      <c r="T16">
        <f>IF($B16="",T15,$P16)</f>
        <v/>
      </c>
      <c r="U16">
        <f>IF($B16="",NA(),$M16)</f>
        <v/>
      </c>
      <c r="V16">
        <f>IF($B16="",NA(),$L16)</f>
        <v/>
      </c>
    </row>
    <row r="17" ht="16" customHeight="1">
      <c r="B17" s="37">
        <f>IF(6&gt;$J$5,"",DATE($E$4,$E$5,6))</f>
        <v/>
      </c>
      <c r="C17" s="38">
        <f>IF($B17="","",$B17)</f>
        <v/>
      </c>
      <c r="D17" s="39">
        <f>IF($B17="","",'06'!D28)</f>
        <v/>
      </c>
      <c r="E17" s="39">
        <f>IF($B17="","",'06'!E28)</f>
        <v/>
      </c>
      <c r="F17" s="39">
        <f>IF($B17="","",'06'!F28)</f>
        <v/>
      </c>
      <c r="G17" s="39">
        <f>IF($B17="","",'06'!H28)</f>
        <v/>
      </c>
      <c r="H17" s="39">
        <f>IF($B17="","",'06'!J28)</f>
        <v/>
      </c>
      <c r="I17" s="39">
        <f>IF($B17="","",'06'!M20)</f>
        <v/>
      </c>
      <c r="J17" s="39">
        <f>IF($B17="","",'06'!M30)</f>
        <v/>
      </c>
      <c r="K17" s="39">
        <f>IF($B17="","",'06'!M44)</f>
        <v/>
      </c>
      <c r="L17" s="39">
        <f>IF($B17="","",'06'!M56)</f>
        <v/>
      </c>
      <c r="M17" s="39">
        <f>IF($B17="","",'06'!J42)</f>
        <v/>
      </c>
      <c r="N17" s="39">
        <f>IF($B17="","",'06'!D56)</f>
        <v/>
      </c>
      <c r="O17" s="39">
        <f>IF($B17="","",'06'!G56)</f>
        <v/>
      </c>
      <c r="P17" s="40">
        <f>IF($B17="","",'06'!J50)</f>
        <v/>
      </c>
      <c r="Q17" s="39">
        <f>IF($B17="","",'06'!J51)</f>
        <v/>
      </c>
      <c r="S17">
        <f>IF($B17="",NA(),$D17)</f>
        <v/>
      </c>
      <c r="T17">
        <f>IF($B17="",T16,$P17)</f>
        <v/>
      </c>
      <c r="U17">
        <f>IF($B17="",NA(),$M17)</f>
        <v/>
      </c>
      <c r="V17">
        <f>IF($B17="",NA(),$L17)</f>
        <v/>
      </c>
    </row>
    <row r="18" ht="16" customHeight="1">
      <c r="B18" s="33">
        <f>IF(7&gt;$J$5,"",DATE($E$4,$E$5,7))</f>
        <v/>
      </c>
      <c r="C18" s="34">
        <f>IF($B18="","",$B18)</f>
        <v/>
      </c>
      <c r="D18" s="35">
        <f>IF($B18="","",'07'!D28)</f>
        <v/>
      </c>
      <c r="E18" s="35">
        <f>IF($B18="","",'07'!E28)</f>
        <v/>
      </c>
      <c r="F18" s="35">
        <f>IF($B18="","",'07'!F28)</f>
        <v/>
      </c>
      <c r="G18" s="35">
        <f>IF($B18="","",'07'!H28)</f>
        <v/>
      </c>
      <c r="H18" s="35">
        <f>IF($B18="","",'07'!J28)</f>
        <v/>
      </c>
      <c r="I18" s="35">
        <f>IF($B18="","",'07'!M20)</f>
        <v/>
      </c>
      <c r="J18" s="35">
        <f>IF($B18="","",'07'!M30)</f>
        <v/>
      </c>
      <c r="K18" s="35">
        <f>IF($B18="","",'07'!M44)</f>
        <v/>
      </c>
      <c r="L18" s="35">
        <f>IF($B18="","",'07'!M56)</f>
        <v/>
      </c>
      <c r="M18" s="35">
        <f>IF($B18="","",'07'!J42)</f>
        <v/>
      </c>
      <c r="N18" s="35">
        <f>IF($B18="","",'07'!D56)</f>
        <v/>
      </c>
      <c r="O18" s="35">
        <f>IF($B18="","",'07'!G56)</f>
        <v/>
      </c>
      <c r="P18" s="36">
        <f>IF($B18="","",'07'!J50)</f>
        <v/>
      </c>
      <c r="Q18" s="35">
        <f>IF($B18="","",'07'!J51)</f>
        <v/>
      </c>
      <c r="S18">
        <f>IF($B18="",NA(),$D18)</f>
        <v/>
      </c>
      <c r="T18">
        <f>IF($B18="",T17,$P18)</f>
        <v/>
      </c>
      <c r="U18">
        <f>IF($B18="",NA(),$M18)</f>
        <v/>
      </c>
      <c r="V18">
        <f>IF($B18="",NA(),$L18)</f>
        <v/>
      </c>
    </row>
    <row r="19" ht="16" customHeight="1">
      <c r="B19" s="37">
        <f>IF(8&gt;$J$5,"",DATE($E$4,$E$5,8))</f>
        <v/>
      </c>
      <c r="C19" s="38">
        <f>IF($B19="","",$B19)</f>
        <v/>
      </c>
      <c r="D19" s="39">
        <f>IF($B19="","",'08'!D28)</f>
        <v/>
      </c>
      <c r="E19" s="39">
        <f>IF($B19="","",'08'!E28)</f>
        <v/>
      </c>
      <c r="F19" s="39">
        <f>IF($B19="","",'08'!F28)</f>
        <v/>
      </c>
      <c r="G19" s="39">
        <f>IF($B19="","",'08'!H28)</f>
        <v/>
      </c>
      <c r="H19" s="39">
        <f>IF($B19="","",'08'!J28)</f>
        <v/>
      </c>
      <c r="I19" s="39">
        <f>IF($B19="","",'08'!M20)</f>
        <v/>
      </c>
      <c r="J19" s="39">
        <f>IF($B19="","",'08'!M30)</f>
        <v/>
      </c>
      <c r="K19" s="39">
        <f>IF($B19="","",'08'!M44)</f>
        <v/>
      </c>
      <c r="L19" s="39">
        <f>IF($B19="","",'08'!M56)</f>
        <v/>
      </c>
      <c r="M19" s="39">
        <f>IF($B19="","",'08'!J42)</f>
        <v/>
      </c>
      <c r="N19" s="39">
        <f>IF($B19="","",'08'!D56)</f>
        <v/>
      </c>
      <c r="O19" s="39">
        <f>IF($B19="","",'08'!G56)</f>
        <v/>
      </c>
      <c r="P19" s="40">
        <f>IF($B19="","",'08'!J50)</f>
        <v/>
      </c>
      <c r="Q19" s="39">
        <f>IF($B19="","",'08'!J51)</f>
        <v/>
      </c>
      <c r="S19">
        <f>IF($B19="",NA(),$D19)</f>
        <v/>
      </c>
      <c r="T19">
        <f>IF($B19="",T18,$P19)</f>
        <v/>
      </c>
      <c r="U19">
        <f>IF($B19="",NA(),$M19)</f>
        <v/>
      </c>
      <c r="V19">
        <f>IF($B19="",NA(),$L19)</f>
        <v/>
      </c>
    </row>
    <row r="20" ht="16" customHeight="1">
      <c r="B20" s="33">
        <f>IF(9&gt;$J$5,"",DATE($E$4,$E$5,9))</f>
        <v/>
      </c>
      <c r="C20" s="34">
        <f>IF($B20="","",$B20)</f>
        <v/>
      </c>
      <c r="D20" s="35">
        <f>IF($B20="","",'09'!D28)</f>
        <v/>
      </c>
      <c r="E20" s="35">
        <f>IF($B20="","",'09'!E28)</f>
        <v/>
      </c>
      <c r="F20" s="35">
        <f>IF($B20="","",'09'!F28)</f>
        <v/>
      </c>
      <c r="G20" s="35">
        <f>IF($B20="","",'09'!H28)</f>
        <v/>
      </c>
      <c r="H20" s="35">
        <f>IF($B20="","",'09'!J28)</f>
        <v/>
      </c>
      <c r="I20" s="35">
        <f>IF($B20="","",'09'!M20)</f>
        <v/>
      </c>
      <c r="J20" s="35">
        <f>IF($B20="","",'09'!M30)</f>
        <v/>
      </c>
      <c r="K20" s="35">
        <f>IF($B20="","",'09'!M44)</f>
        <v/>
      </c>
      <c r="L20" s="35">
        <f>IF($B20="","",'09'!M56)</f>
        <v/>
      </c>
      <c r="M20" s="35">
        <f>IF($B20="","",'09'!J42)</f>
        <v/>
      </c>
      <c r="N20" s="35">
        <f>IF($B20="","",'09'!D56)</f>
        <v/>
      </c>
      <c r="O20" s="35">
        <f>IF($B20="","",'09'!G56)</f>
        <v/>
      </c>
      <c r="P20" s="36">
        <f>IF($B20="","",'09'!J50)</f>
        <v/>
      </c>
      <c r="Q20" s="35">
        <f>IF($B20="","",'09'!J51)</f>
        <v/>
      </c>
      <c r="S20">
        <f>IF($B20="",NA(),$D20)</f>
        <v/>
      </c>
      <c r="T20">
        <f>IF($B20="",T19,$P20)</f>
        <v/>
      </c>
      <c r="U20">
        <f>IF($B20="",NA(),$M20)</f>
        <v/>
      </c>
      <c r="V20">
        <f>IF($B20="",NA(),$L20)</f>
        <v/>
      </c>
    </row>
    <row r="21" ht="16" customHeight="1">
      <c r="B21" s="37">
        <f>IF(10&gt;$J$5,"",DATE($E$4,$E$5,10))</f>
        <v/>
      </c>
      <c r="C21" s="38">
        <f>IF($B21="","",$B21)</f>
        <v/>
      </c>
      <c r="D21" s="39">
        <f>IF($B21="","",'10'!D28)</f>
        <v/>
      </c>
      <c r="E21" s="39">
        <f>IF($B21="","",'10'!E28)</f>
        <v/>
      </c>
      <c r="F21" s="39">
        <f>IF($B21="","",'10'!F28)</f>
        <v/>
      </c>
      <c r="G21" s="39">
        <f>IF($B21="","",'10'!H28)</f>
        <v/>
      </c>
      <c r="H21" s="39">
        <f>IF($B21="","",'10'!J28)</f>
        <v/>
      </c>
      <c r="I21" s="39">
        <f>IF($B21="","",'10'!M20)</f>
        <v/>
      </c>
      <c r="J21" s="39">
        <f>IF($B21="","",'10'!M30)</f>
        <v/>
      </c>
      <c r="K21" s="39">
        <f>IF($B21="","",'10'!M44)</f>
        <v/>
      </c>
      <c r="L21" s="39">
        <f>IF($B21="","",'10'!M56)</f>
        <v/>
      </c>
      <c r="M21" s="39">
        <f>IF($B21="","",'10'!J42)</f>
        <v/>
      </c>
      <c r="N21" s="39">
        <f>IF($B21="","",'10'!D56)</f>
        <v/>
      </c>
      <c r="O21" s="39">
        <f>IF($B21="","",'10'!G56)</f>
        <v/>
      </c>
      <c r="P21" s="40">
        <f>IF($B21="","",'10'!J50)</f>
        <v/>
      </c>
      <c r="Q21" s="39">
        <f>IF($B21="","",'10'!J51)</f>
        <v/>
      </c>
      <c r="S21">
        <f>IF($B21="",NA(),$D21)</f>
        <v/>
      </c>
      <c r="T21">
        <f>IF($B21="",T20,$P21)</f>
        <v/>
      </c>
      <c r="U21">
        <f>IF($B21="",NA(),$M21)</f>
        <v/>
      </c>
      <c r="V21">
        <f>IF($B21="",NA(),$L21)</f>
        <v/>
      </c>
    </row>
    <row r="22" ht="16" customHeight="1">
      <c r="B22" s="33">
        <f>IF(11&gt;$J$5,"",DATE($E$4,$E$5,11))</f>
        <v/>
      </c>
      <c r="C22" s="34">
        <f>IF($B22="","",$B22)</f>
        <v/>
      </c>
      <c r="D22" s="35">
        <f>IF($B22="","",'11'!D28)</f>
        <v/>
      </c>
      <c r="E22" s="35">
        <f>IF($B22="","",'11'!E28)</f>
        <v/>
      </c>
      <c r="F22" s="35">
        <f>IF($B22="","",'11'!F28)</f>
        <v/>
      </c>
      <c r="G22" s="35">
        <f>IF($B22="","",'11'!H28)</f>
        <v/>
      </c>
      <c r="H22" s="35">
        <f>IF($B22="","",'11'!J28)</f>
        <v/>
      </c>
      <c r="I22" s="35">
        <f>IF($B22="","",'11'!M20)</f>
        <v/>
      </c>
      <c r="J22" s="35">
        <f>IF($B22="","",'11'!M30)</f>
        <v/>
      </c>
      <c r="K22" s="35">
        <f>IF($B22="","",'11'!M44)</f>
        <v/>
      </c>
      <c r="L22" s="35">
        <f>IF($B22="","",'11'!M56)</f>
        <v/>
      </c>
      <c r="M22" s="35">
        <f>IF($B22="","",'11'!J42)</f>
        <v/>
      </c>
      <c r="N22" s="35">
        <f>IF($B22="","",'11'!D56)</f>
        <v/>
      </c>
      <c r="O22" s="35">
        <f>IF($B22="","",'11'!G56)</f>
        <v/>
      </c>
      <c r="P22" s="36">
        <f>IF($B22="","",'11'!J50)</f>
        <v/>
      </c>
      <c r="Q22" s="35">
        <f>IF($B22="","",'11'!J51)</f>
        <v/>
      </c>
      <c r="S22">
        <f>IF($B22="",NA(),$D22)</f>
        <v/>
      </c>
      <c r="T22">
        <f>IF($B22="",T21,$P22)</f>
        <v/>
      </c>
      <c r="U22">
        <f>IF($B22="",NA(),$M22)</f>
        <v/>
      </c>
      <c r="V22">
        <f>IF($B22="",NA(),$L22)</f>
        <v/>
      </c>
    </row>
    <row r="23" ht="16" customHeight="1">
      <c r="B23" s="37">
        <f>IF(12&gt;$J$5,"",DATE($E$4,$E$5,12))</f>
        <v/>
      </c>
      <c r="C23" s="38">
        <f>IF($B23="","",$B23)</f>
        <v/>
      </c>
      <c r="D23" s="39">
        <f>IF($B23="","",'12'!D28)</f>
        <v/>
      </c>
      <c r="E23" s="39">
        <f>IF($B23="","",'12'!E28)</f>
        <v/>
      </c>
      <c r="F23" s="39">
        <f>IF($B23="","",'12'!F28)</f>
        <v/>
      </c>
      <c r="G23" s="39">
        <f>IF($B23="","",'12'!H28)</f>
        <v/>
      </c>
      <c r="H23" s="39">
        <f>IF($B23="","",'12'!J28)</f>
        <v/>
      </c>
      <c r="I23" s="39">
        <f>IF($B23="","",'12'!M20)</f>
        <v/>
      </c>
      <c r="J23" s="39">
        <f>IF($B23="","",'12'!M30)</f>
        <v/>
      </c>
      <c r="K23" s="39">
        <f>IF($B23="","",'12'!M44)</f>
        <v/>
      </c>
      <c r="L23" s="39">
        <f>IF($B23="","",'12'!M56)</f>
        <v/>
      </c>
      <c r="M23" s="39">
        <f>IF($B23="","",'12'!J42)</f>
        <v/>
      </c>
      <c r="N23" s="39">
        <f>IF($B23="","",'12'!D56)</f>
        <v/>
      </c>
      <c r="O23" s="39">
        <f>IF($B23="","",'12'!G56)</f>
        <v/>
      </c>
      <c r="P23" s="40">
        <f>IF($B23="","",'12'!J50)</f>
        <v/>
      </c>
      <c r="Q23" s="39">
        <f>IF($B23="","",'12'!J51)</f>
        <v/>
      </c>
      <c r="S23">
        <f>IF($B23="",NA(),$D23)</f>
        <v/>
      </c>
      <c r="T23">
        <f>IF($B23="",T22,$P23)</f>
        <v/>
      </c>
      <c r="U23">
        <f>IF($B23="",NA(),$M23)</f>
        <v/>
      </c>
      <c r="V23">
        <f>IF($B23="",NA(),$L23)</f>
        <v/>
      </c>
    </row>
    <row r="24" ht="16" customHeight="1">
      <c r="B24" s="33">
        <f>IF(13&gt;$J$5,"",DATE($E$4,$E$5,13))</f>
        <v/>
      </c>
      <c r="C24" s="34">
        <f>IF($B24="","",$B24)</f>
        <v/>
      </c>
      <c r="D24" s="35">
        <f>IF($B24="","",'13'!D28)</f>
        <v/>
      </c>
      <c r="E24" s="35">
        <f>IF($B24="","",'13'!E28)</f>
        <v/>
      </c>
      <c r="F24" s="35">
        <f>IF($B24="","",'13'!F28)</f>
        <v/>
      </c>
      <c r="G24" s="35">
        <f>IF($B24="","",'13'!H28)</f>
        <v/>
      </c>
      <c r="H24" s="35">
        <f>IF($B24="","",'13'!J28)</f>
        <v/>
      </c>
      <c r="I24" s="35">
        <f>IF($B24="","",'13'!M20)</f>
        <v/>
      </c>
      <c r="J24" s="35">
        <f>IF($B24="","",'13'!M30)</f>
        <v/>
      </c>
      <c r="K24" s="35">
        <f>IF($B24="","",'13'!M44)</f>
        <v/>
      </c>
      <c r="L24" s="35">
        <f>IF($B24="","",'13'!M56)</f>
        <v/>
      </c>
      <c r="M24" s="35">
        <f>IF($B24="","",'13'!J42)</f>
        <v/>
      </c>
      <c r="N24" s="35">
        <f>IF($B24="","",'13'!D56)</f>
        <v/>
      </c>
      <c r="O24" s="35">
        <f>IF($B24="","",'13'!G56)</f>
        <v/>
      </c>
      <c r="P24" s="36">
        <f>IF($B24="","",'13'!J50)</f>
        <v/>
      </c>
      <c r="Q24" s="35">
        <f>IF($B24="","",'13'!J51)</f>
        <v/>
      </c>
      <c r="S24">
        <f>IF($B24="",NA(),$D24)</f>
        <v/>
      </c>
      <c r="T24">
        <f>IF($B24="",T23,$P24)</f>
        <v/>
      </c>
      <c r="U24">
        <f>IF($B24="",NA(),$M24)</f>
        <v/>
      </c>
      <c r="V24">
        <f>IF($B24="",NA(),$L24)</f>
        <v/>
      </c>
    </row>
    <row r="25" ht="16" customHeight="1">
      <c r="B25" s="37">
        <f>IF(14&gt;$J$5,"",DATE($E$4,$E$5,14))</f>
        <v/>
      </c>
      <c r="C25" s="38">
        <f>IF($B25="","",$B25)</f>
        <v/>
      </c>
      <c r="D25" s="39">
        <f>IF($B25="","",'14'!D28)</f>
        <v/>
      </c>
      <c r="E25" s="39">
        <f>IF($B25="","",'14'!E28)</f>
        <v/>
      </c>
      <c r="F25" s="39">
        <f>IF($B25="","",'14'!F28)</f>
        <v/>
      </c>
      <c r="G25" s="39">
        <f>IF($B25="","",'14'!H28)</f>
        <v/>
      </c>
      <c r="H25" s="39">
        <f>IF($B25="","",'14'!J28)</f>
        <v/>
      </c>
      <c r="I25" s="39">
        <f>IF($B25="","",'14'!M20)</f>
        <v/>
      </c>
      <c r="J25" s="39">
        <f>IF($B25="","",'14'!M30)</f>
        <v/>
      </c>
      <c r="K25" s="39">
        <f>IF($B25="","",'14'!M44)</f>
        <v/>
      </c>
      <c r="L25" s="39">
        <f>IF($B25="","",'14'!M56)</f>
        <v/>
      </c>
      <c r="M25" s="39">
        <f>IF($B25="","",'14'!J42)</f>
        <v/>
      </c>
      <c r="N25" s="39">
        <f>IF($B25="","",'14'!D56)</f>
        <v/>
      </c>
      <c r="O25" s="39">
        <f>IF($B25="","",'14'!G56)</f>
        <v/>
      </c>
      <c r="P25" s="40">
        <f>IF($B25="","",'14'!J50)</f>
        <v/>
      </c>
      <c r="Q25" s="39">
        <f>IF($B25="","",'14'!J51)</f>
        <v/>
      </c>
      <c r="S25">
        <f>IF($B25="",NA(),$D25)</f>
        <v/>
      </c>
      <c r="T25">
        <f>IF($B25="",T24,$P25)</f>
        <v/>
      </c>
      <c r="U25">
        <f>IF($B25="",NA(),$M25)</f>
        <v/>
      </c>
      <c r="V25">
        <f>IF($B25="",NA(),$L25)</f>
        <v/>
      </c>
    </row>
    <row r="26" ht="16" customHeight="1">
      <c r="B26" s="33">
        <f>IF(15&gt;$J$5,"",DATE($E$4,$E$5,15))</f>
        <v/>
      </c>
      <c r="C26" s="34">
        <f>IF($B26="","",$B26)</f>
        <v/>
      </c>
      <c r="D26" s="35">
        <f>IF($B26="","",'15'!D28)</f>
        <v/>
      </c>
      <c r="E26" s="35">
        <f>IF($B26="","",'15'!E28)</f>
        <v/>
      </c>
      <c r="F26" s="35">
        <f>IF($B26="","",'15'!F28)</f>
        <v/>
      </c>
      <c r="G26" s="35">
        <f>IF($B26="","",'15'!H28)</f>
        <v/>
      </c>
      <c r="H26" s="35">
        <f>IF($B26="","",'15'!J28)</f>
        <v/>
      </c>
      <c r="I26" s="35">
        <f>IF($B26="","",'15'!M20)</f>
        <v/>
      </c>
      <c r="J26" s="35">
        <f>IF($B26="","",'15'!M30)</f>
        <v/>
      </c>
      <c r="K26" s="35">
        <f>IF($B26="","",'15'!M44)</f>
        <v/>
      </c>
      <c r="L26" s="35">
        <f>IF($B26="","",'15'!M56)</f>
        <v/>
      </c>
      <c r="M26" s="35">
        <f>IF($B26="","",'15'!J42)</f>
        <v/>
      </c>
      <c r="N26" s="35">
        <f>IF($B26="","",'15'!D56)</f>
        <v/>
      </c>
      <c r="O26" s="35">
        <f>IF($B26="","",'15'!G56)</f>
        <v/>
      </c>
      <c r="P26" s="36">
        <f>IF($B26="","",'15'!J50)</f>
        <v/>
      </c>
      <c r="Q26" s="35">
        <f>IF($B26="","",'15'!J51)</f>
        <v/>
      </c>
      <c r="S26">
        <f>IF($B26="",NA(),$D26)</f>
        <v/>
      </c>
      <c r="T26">
        <f>IF($B26="",T25,$P26)</f>
        <v/>
      </c>
      <c r="U26">
        <f>IF($B26="",NA(),$M26)</f>
        <v/>
      </c>
      <c r="V26">
        <f>IF($B26="",NA(),$L26)</f>
        <v/>
      </c>
    </row>
    <row r="27" ht="16" customHeight="1">
      <c r="B27" s="37">
        <f>IF(16&gt;$J$5,"",DATE($E$4,$E$5,16))</f>
        <v/>
      </c>
      <c r="C27" s="38">
        <f>IF($B27="","",$B27)</f>
        <v/>
      </c>
      <c r="D27" s="39">
        <f>IF($B27="","",'16'!D28)</f>
        <v/>
      </c>
      <c r="E27" s="39">
        <f>IF($B27="","",'16'!E28)</f>
        <v/>
      </c>
      <c r="F27" s="39">
        <f>IF($B27="","",'16'!F28)</f>
        <v/>
      </c>
      <c r="G27" s="39">
        <f>IF($B27="","",'16'!H28)</f>
        <v/>
      </c>
      <c r="H27" s="39">
        <f>IF($B27="","",'16'!J28)</f>
        <v/>
      </c>
      <c r="I27" s="39">
        <f>IF($B27="","",'16'!M20)</f>
        <v/>
      </c>
      <c r="J27" s="39">
        <f>IF($B27="","",'16'!M30)</f>
        <v/>
      </c>
      <c r="K27" s="39">
        <f>IF($B27="","",'16'!M44)</f>
        <v/>
      </c>
      <c r="L27" s="39">
        <f>IF($B27="","",'16'!M56)</f>
        <v/>
      </c>
      <c r="M27" s="39">
        <f>IF($B27="","",'16'!J42)</f>
        <v/>
      </c>
      <c r="N27" s="39">
        <f>IF($B27="","",'16'!D56)</f>
        <v/>
      </c>
      <c r="O27" s="39">
        <f>IF($B27="","",'16'!G56)</f>
        <v/>
      </c>
      <c r="P27" s="40">
        <f>IF($B27="","",'16'!J50)</f>
        <v/>
      </c>
      <c r="Q27" s="39">
        <f>IF($B27="","",'16'!J51)</f>
        <v/>
      </c>
      <c r="S27">
        <f>IF($B27="",NA(),$D27)</f>
        <v/>
      </c>
      <c r="T27">
        <f>IF($B27="",T26,$P27)</f>
        <v/>
      </c>
      <c r="U27">
        <f>IF($B27="",NA(),$M27)</f>
        <v/>
      </c>
      <c r="V27">
        <f>IF($B27="",NA(),$L27)</f>
        <v/>
      </c>
    </row>
    <row r="28" ht="16" customHeight="1">
      <c r="B28" s="33">
        <f>IF(17&gt;$J$5,"",DATE($E$4,$E$5,17))</f>
        <v/>
      </c>
      <c r="C28" s="34">
        <f>IF($B28="","",$B28)</f>
        <v/>
      </c>
      <c r="D28" s="35">
        <f>IF($B28="","",'17'!D28)</f>
        <v/>
      </c>
      <c r="E28" s="35">
        <f>IF($B28="","",'17'!E28)</f>
        <v/>
      </c>
      <c r="F28" s="35">
        <f>IF($B28="","",'17'!F28)</f>
        <v/>
      </c>
      <c r="G28" s="35">
        <f>IF($B28="","",'17'!H28)</f>
        <v/>
      </c>
      <c r="H28" s="35">
        <f>IF($B28="","",'17'!J28)</f>
        <v/>
      </c>
      <c r="I28" s="35">
        <f>IF($B28="","",'17'!M20)</f>
        <v/>
      </c>
      <c r="J28" s="35">
        <f>IF($B28="","",'17'!M30)</f>
        <v/>
      </c>
      <c r="K28" s="35">
        <f>IF($B28="","",'17'!M44)</f>
        <v/>
      </c>
      <c r="L28" s="35">
        <f>IF($B28="","",'17'!M56)</f>
        <v/>
      </c>
      <c r="M28" s="35">
        <f>IF($B28="","",'17'!J42)</f>
        <v/>
      </c>
      <c r="N28" s="35">
        <f>IF($B28="","",'17'!D56)</f>
        <v/>
      </c>
      <c r="O28" s="35">
        <f>IF($B28="","",'17'!G56)</f>
        <v/>
      </c>
      <c r="P28" s="36">
        <f>IF($B28="","",'17'!J50)</f>
        <v/>
      </c>
      <c r="Q28" s="35">
        <f>IF($B28="","",'17'!J51)</f>
        <v/>
      </c>
      <c r="S28">
        <f>IF($B28="",NA(),$D28)</f>
        <v/>
      </c>
      <c r="T28">
        <f>IF($B28="",T27,$P28)</f>
        <v/>
      </c>
      <c r="U28">
        <f>IF($B28="",NA(),$M28)</f>
        <v/>
      </c>
      <c r="V28">
        <f>IF($B28="",NA(),$L28)</f>
        <v/>
      </c>
    </row>
    <row r="29" ht="16" customHeight="1">
      <c r="B29" s="37">
        <f>IF(18&gt;$J$5,"",DATE($E$4,$E$5,18))</f>
        <v/>
      </c>
      <c r="C29" s="38">
        <f>IF($B29="","",$B29)</f>
        <v/>
      </c>
      <c r="D29" s="39">
        <f>IF($B29="","",'18'!D28)</f>
        <v/>
      </c>
      <c r="E29" s="39">
        <f>IF($B29="","",'18'!E28)</f>
        <v/>
      </c>
      <c r="F29" s="39">
        <f>IF($B29="","",'18'!F28)</f>
        <v/>
      </c>
      <c r="G29" s="39">
        <f>IF($B29="","",'18'!H28)</f>
        <v/>
      </c>
      <c r="H29" s="39">
        <f>IF($B29="","",'18'!J28)</f>
        <v/>
      </c>
      <c r="I29" s="39">
        <f>IF($B29="","",'18'!M20)</f>
        <v/>
      </c>
      <c r="J29" s="39">
        <f>IF($B29="","",'18'!M30)</f>
        <v/>
      </c>
      <c r="K29" s="39">
        <f>IF($B29="","",'18'!M44)</f>
        <v/>
      </c>
      <c r="L29" s="39">
        <f>IF($B29="","",'18'!M56)</f>
        <v/>
      </c>
      <c r="M29" s="39">
        <f>IF($B29="","",'18'!J42)</f>
        <v/>
      </c>
      <c r="N29" s="39">
        <f>IF($B29="","",'18'!D56)</f>
        <v/>
      </c>
      <c r="O29" s="39">
        <f>IF($B29="","",'18'!G56)</f>
        <v/>
      </c>
      <c r="P29" s="40">
        <f>IF($B29="","",'18'!J50)</f>
        <v/>
      </c>
      <c r="Q29" s="39">
        <f>IF($B29="","",'18'!J51)</f>
        <v/>
      </c>
      <c r="S29">
        <f>IF($B29="",NA(),$D29)</f>
        <v/>
      </c>
      <c r="T29">
        <f>IF($B29="",T28,$P29)</f>
        <v/>
      </c>
      <c r="U29">
        <f>IF($B29="",NA(),$M29)</f>
        <v/>
      </c>
      <c r="V29">
        <f>IF($B29="",NA(),$L29)</f>
        <v/>
      </c>
    </row>
    <row r="30" ht="16" customHeight="1">
      <c r="B30" s="33">
        <f>IF(19&gt;$J$5,"",DATE($E$4,$E$5,19))</f>
        <v/>
      </c>
      <c r="C30" s="34">
        <f>IF($B30="","",$B30)</f>
        <v/>
      </c>
      <c r="D30" s="35">
        <f>IF($B30="","",'19'!D28)</f>
        <v/>
      </c>
      <c r="E30" s="35">
        <f>IF($B30="","",'19'!E28)</f>
        <v/>
      </c>
      <c r="F30" s="35">
        <f>IF($B30="","",'19'!F28)</f>
        <v/>
      </c>
      <c r="G30" s="35">
        <f>IF($B30="","",'19'!H28)</f>
        <v/>
      </c>
      <c r="H30" s="35">
        <f>IF($B30="","",'19'!J28)</f>
        <v/>
      </c>
      <c r="I30" s="35">
        <f>IF($B30="","",'19'!M20)</f>
        <v/>
      </c>
      <c r="J30" s="35">
        <f>IF($B30="","",'19'!M30)</f>
        <v/>
      </c>
      <c r="K30" s="35">
        <f>IF($B30="","",'19'!M44)</f>
        <v/>
      </c>
      <c r="L30" s="35">
        <f>IF($B30="","",'19'!M56)</f>
        <v/>
      </c>
      <c r="M30" s="35">
        <f>IF($B30="","",'19'!J42)</f>
        <v/>
      </c>
      <c r="N30" s="35">
        <f>IF($B30="","",'19'!D56)</f>
        <v/>
      </c>
      <c r="O30" s="35">
        <f>IF($B30="","",'19'!G56)</f>
        <v/>
      </c>
      <c r="P30" s="36">
        <f>IF($B30="","",'19'!J50)</f>
        <v/>
      </c>
      <c r="Q30" s="35">
        <f>IF($B30="","",'19'!J51)</f>
        <v/>
      </c>
      <c r="S30">
        <f>IF($B30="",NA(),$D30)</f>
        <v/>
      </c>
      <c r="T30">
        <f>IF($B30="",T29,$P30)</f>
        <v/>
      </c>
      <c r="U30">
        <f>IF($B30="",NA(),$M30)</f>
        <v/>
      </c>
      <c r="V30">
        <f>IF($B30="",NA(),$L30)</f>
        <v/>
      </c>
    </row>
    <row r="31" ht="16" customHeight="1">
      <c r="B31" s="37">
        <f>IF(20&gt;$J$5,"",DATE($E$4,$E$5,20))</f>
        <v/>
      </c>
      <c r="C31" s="38">
        <f>IF($B31="","",$B31)</f>
        <v/>
      </c>
      <c r="D31" s="39">
        <f>IF($B31="","",'20'!D28)</f>
        <v/>
      </c>
      <c r="E31" s="39">
        <f>IF($B31="","",'20'!E28)</f>
        <v/>
      </c>
      <c r="F31" s="39">
        <f>IF($B31="","",'20'!F28)</f>
        <v/>
      </c>
      <c r="G31" s="39">
        <f>IF($B31="","",'20'!H28)</f>
        <v/>
      </c>
      <c r="H31" s="39">
        <f>IF($B31="","",'20'!J28)</f>
        <v/>
      </c>
      <c r="I31" s="39">
        <f>IF($B31="","",'20'!M20)</f>
        <v/>
      </c>
      <c r="J31" s="39">
        <f>IF($B31="","",'20'!M30)</f>
        <v/>
      </c>
      <c r="K31" s="39">
        <f>IF($B31="","",'20'!M44)</f>
        <v/>
      </c>
      <c r="L31" s="39">
        <f>IF($B31="","",'20'!M56)</f>
        <v/>
      </c>
      <c r="M31" s="39">
        <f>IF($B31="","",'20'!J42)</f>
        <v/>
      </c>
      <c r="N31" s="39">
        <f>IF($B31="","",'20'!D56)</f>
        <v/>
      </c>
      <c r="O31" s="39">
        <f>IF($B31="","",'20'!G56)</f>
        <v/>
      </c>
      <c r="P31" s="40">
        <f>IF($B31="","",'20'!J50)</f>
        <v/>
      </c>
      <c r="Q31" s="39">
        <f>IF($B31="","",'20'!J51)</f>
        <v/>
      </c>
      <c r="S31">
        <f>IF($B31="",NA(),$D31)</f>
        <v/>
      </c>
      <c r="T31">
        <f>IF($B31="",T30,$P31)</f>
        <v/>
      </c>
      <c r="U31">
        <f>IF($B31="",NA(),$M31)</f>
        <v/>
      </c>
      <c r="V31">
        <f>IF($B31="",NA(),$L31)</f>
        <v/>
      </c>
    </row>
    <row r="32" ht="16" customHeight="1">
      <c r="B32" s="33">
        <f>IF(21&gt;$J$5,"",DATE($E$4,$E$5,21))</f>
        <v/>
      </c>
      <c r="C32" s="34">
        <f>IF($B32="","",$B32)</f>
        <v/>
      </c>
      <c r="D32" s="35">
        <f>IF($B32="","",'21'!D28)</f>
        <v/>
      </c>
      <c r="E32" s="35">
        <f>IF($B32="","",'21'!E28)</f>
        <v/>
      </c>
      <c r="F32" s="35">
        <f>IF($B32="","",'21'!F28)</f>
        <v/>
      </c>
      <c r="G32" s="35">
        <f>IF($B32="","",'21'!H28)</f>
        <v/>
      </c>
      <c r="H32" s="35">
        <f>IF($B32="","",'21'!J28)</f>
        <v/>
      </c>
      <c r="I32" s="35">
        <f>IF($B32="","",'21'!M20)</f>
        <v/>
      </c>
      <c r="J32" s="35">
        <f>IF($B32="","",'21'!M30)</f>
        <v/>
      </c>
      <c r="K32" s="35">
        <f>IF($B32="","",'21'!M44)</f>
        <v/>
      </c>
      <c r="L32" s="35">
        <f>IF($B32="","",'21'!M56)</f>
        <v/>
      </c>
      <c r="M32" s="35">
        <f>IF($B32="","",'21'!J42)</f>
        <v/>
      </c>
      <c r="N32" s="35">
        <f>IF($B32="","",'21'!D56)</f>
        <v/>
      </c>
      <c r="O32" s="35">
        <f>IF($B32="","",'21'!G56)</f>
        <v/>
      </c>
      <c r="P32" s="36">
        <f>IF($B32="","",'21'!J50)</f>
        <v/>
      </c>
      <c r="Q32" s="35">
        <f>IF($B32="","",'21'!J51)</f>
        <v/>
      </c>
      <c r="S32">
        <f>IF($B32="",NA(),$D32)</f>
        <v/>
      </c>
      <c r="T32">
        <f>IF($B32="",T31,$P32)</f>
        <v/>
      </c>
      <c r="U32">
        <f>IF($B32="",NA(),$M32)</f>
        <v/>
      </c>
      <c r="V32">
        <f>IF($B32="",NA(),$L32)</f>
        <v/>
      </c>
    </row>
    <row r="33" ht="16" customHeight="1">
      <c r="B33" s="37">
        <f>IF(22&gt;$J$5,"",DATE($E$4,$E$5,22))</f>
        <v/>
      </c>
      <c r="C33" s="38">
        <f>IF($B33="","",$B33)</f>
        <v/>
      </c>
      <c r="D33" s="39">
        <f>IF($B33="","",'22'!D28)</f>
        <v/>
      </c>
      <c r="E33" s="39">
        <f>IF($B33="","",'22'!E28)</f>
        <v/>
      </c>
      <c r="F33" s="39">
        <f>IF($B33="","",'22'!F28)</f>
        <v/>
      </c>
      <c r="G33" s="39">
        <f>IF($B33="","",'22'!H28)</f>
        <v/>
      </c>
      <c r="H33" s="39">
        <f>IF($B33="","",'22'!J28)</f>
        <v/>
      </c>
      <c r="I33" s="39">
        <f>IF($B33="","",'22'!M20)</f>
        <v/>
      </c>
      <c r="J33" s="39">
        <f>IF($B33="","",'22'!M30)</f>
        <v/>
      </c>
      <c r="K33" s="39">
        <f>IF($B33="","",'22'!M44)</f>
        <v/>
      </c>
      <c r="L33" s="39">
        <f>IF($B33="","",'22'!M56)</f>
        <v/>
      </c>
      <c r="M33" s="39">
        <f>IF($B33="","",'22'!J42)</f>
        <v/>
      </c>
      <c r="N33" s="39">
        <f>IF($B33="","",'22'!D56)</f>
        <v/>
      </c>
      <c r="O33" s="39">
        <f>IF($B33="","",'22'!G56)</f>
        <v/>
      </c>
      <c r="P33" s="40">
        <f>IF($B33="","",'22'!J50)</f>
        <v/>
      </c>
      <c r="Q33" s="39">
        <f>IF($B33="","",'22'!J51)</f>
        <v/>
      </c>
      <c r="S33">
        <f>IF($B33="",NA(),$D33)</f>
        <v/>
      </c>
      <c r="T33">
        <f>IF($B33="",T32,$P33)</f>
        <v/>
      </c>
      <c r="U33">
        <f>IF($B33="",NA(),$M33)</f>
        <v/>
      </c>
      <c r="V33">
        <f>IF($B33="",NA(),$L33)</f>
        <v/>
      </c>
    </row>
    <row r="34" ht="16" customHeight="1">
      <c r="B34" s="33">
        <f>IF(23&gt;$J$5,"",DATE($E$4,$E$5,23))</f>
        <v/>
      </c>
      <c r="C34" s="34">
        <f>IF($B34="","",$B34)</f>
        <v/>
      </c>
      <c r="D34" s="35">
        <f>IF($B34="","",'23'!D28)</f>
        <v/>
      </c>
      <c r="E34" s="35">
        <f>IF($B34="","",'23'!E28)</f>
        <v/>
      </c>
      <c r="F34" s="35">
        <f>IF($B34="","",'23'!F28)</f>
        <v/>
      </c>
      <c r="G34" s="35">
        <f>IF($B34="","",'23'!H28)</f>
        <v/>
      </c>
      <c r="H34" s="35">
        <f>IF($B34="","",'23'!J28)</f>
        <v/>
      </c>
      <c r="I34" s="35">
        <f>IF($B34="","",'23'!M20)</f>
        <v/>
      </c>
      <c r="J34" s="35">
        <f>IF($B34="","",'23'!M30)</f>
        <v/>
      </c>
      <c r="K34" s="35">
        <f>IF($B34="","",'23'!M44)</f>
        <v/>
      </c>
      <c r="L34" s="35">
        <f>IF($B34="","",'23'!M56)</f>
        <v/>
      </c>
      <c r="M34" s="35">
        <f>IF($B34="","",'23'!J42)</f>
        <v/>
      </c>
      <c r="N34" s="35">
        <f>IF($B34="","",'23'!D56)</f>
        <v/>
      </c>
      <c r="O34" s="35">
        <f>IF($B34="","",'23'!G56)</f>
        <v/>
      </c>
      <c r="P34" s="36">
        <f>IF($B34="","",'23'!J50)</f>
        <v/>
      </c>
      <c r="Q34" s="35">
        <f>IF($B34="","",'23'!J51)</f>
        <v/>
      </c>
      <c r="S34">
        <f>IF($B34="",NA(),$D34)</f>
        <v/>
      </c>
      <c r="T34">
        <f>IF($B34="",T33,$P34)</f>
        <v/>
      </c>
      <c r="U34">
        <f>IF($B34="",NA(),$M34)</f>
        <v/>
      </c>
      <c r="V34">
        <f>IF($B34="",NA(),$L34)</f>
        <v/>
      </c>
    </row>
    <row r="35" ht="16" customHeight="1">
      <c r="B35" s="37">
        <f>IF(24&gt;$J$5,"",DATE($E$4,$E$5,24))</f>
        <v/>
      </c>
      <c r="C35" s="38">
        <f>IF($B35="","",$B35)</f>
        <v/>
      </c>
      <c r="D35" s="39">
        <f>IF($B35="","",'24'!D28)</f>
        <v/>
      </c>
      <c r="E35" s="39">
        <f>IF($B35="","",'24'!E28)</f>
        <v/>
      </c>
      <c r="F35" s="39">
        <f>IF($B35="","",'24'!F28)</f>
        <v/>
      </c>
      <c r="G35" s="39">
        <f>IF($B35="","",'24'!H28)</f>
        <v/>
      </c>
      <c r="H35" s="39">
        <f>IF($B35="","",'24'!J28)</f>
        <v/>
      </c>
      <c r="I35" s="39">
        <f>IF($B35="","",'24'!M20)</f>
        <v/>
      </c>
      <c r="J35" s="39">
        <f>IF($B35="","",'24'!M30)</f>
        <v/>
      </c>
      <c r="K35" s="39">
        <f>IF($B35="","",'24'!M44)</f>
        <v/>
      </c>
      <c r="L35" s="39">
        <f>IF($B35="","",'24'!M56)</f>
        <v/>
      </c>
      <c r="M35" s="39">
        <f>IF($B35="","",'24'!J42)</f>
        <v/>
      </c>
      <c r="N35" s="39">
        <f>IF($B35="","",'24'!D56)</f>
        <v/>
      </c>
      <c r="O35" s="39">
        <f>IF($B35="","",'24'!G56)</f>
        <v/>
      </c>
      <c r="P35" s="40">
        <f>IF($B35="","",'24'!J50)</f>
        <v/>
      </c>
      <c r="Q35" s="39">
        <f>IF($B35="","",'24'!J51)</f>
        <v/>
      </c>
      <c r="S35">
        <f>IF($B35="",NA(),$D35)</f>
        <v/>
      </c>
      <c r="T35">
        <f>IF($B35="",T34,$P35)</f>
        <v/>
      </c>
      <c r="U35">
        <f>IF($B35="",NA(),$M35)</f>
        <v/>
      </c>
      <c r="V35">
        <f>IF($B35="",NA(),$L35)</f>
        <v/>
      </c>
    </row>
    <row r="36" ht="16" customHeight="1">
      <c r="B36" s="33">
        <f>IF(25&gt;$J$5,"",DATE($E$4,$E$5,25))</f>
        <v/>
      </c>
      <c r="C36" s="34">
        <f>IF($B36="","",$B36)</f>
        <v/>
      </c>
      <c r="D36" s="35">
        <f>IF($B36="","",'25'!D28)</f>
        <v/>
      </c>
      <c r="E36" s="35">
        <f>IF($B36="","",'25'!E28)</f>
        <v/>
      </c>
      <c r="F36" s="35">
        <f>IF($B36="","",'25'!F28)</f>
        <v/>
      </c>
      <c r="G36" s="35">
        <f>IF($B36="","",'25'!H28)</f>
        <v/>
      </c>
      <c r="H36" s="35">
        <f>IF($B36="","",'25'!J28)</f>
        <v/>
      </c>
      <c r="I36" s="35">
        <f>IF($B36="","",'25'!M20)</f>
        <v/>
      </c>
      <c r="J36" s="35">
        <f>IF($B36="","",'25'!M30)</f>
        <v/>
      </c>
      <c r="K36" s="35">
        <f>IF($B36="","",'25'!M44)</f>
        <v/>
      </c>
      <c r="L36" s="35">
        <f>IF($B36="","",'25'!M56)</f>
        <v/>
      </c>
      <c r="M36" s="35">
        <f>IF($B36="","",'25'!J42)</f>
        <v/>
      </c>
      <c r="N36" s="35">
        <f>IF($B36="","",'25'!D56)</f>
        <v/>
      </c>
      <c r="O36" s="35">
        <f>IF($B36="","",'25'!G56)</f>
        <v/>
      </c>
      <c r="P36" s="36">
        <f>IF($B36="","",'25'!J50)</f>
        <v/>
      </c>
      <c r="Q36" s="35">
        <f>IF($B36="","",'25'!J51)</f>
        <v/>
      </c>
      <c r="S36">
        <f>IF($B36="",NA(),$D36)</f>
        <v/>
      </c>
      <c r="T36">
        <f>IF($B36="",T35,$P36)</f>
        <v/>
      </c>
      <c r="U36">
        <f>IF($B36="",NA(),$M36)</f>
        <v/>
      </c>
      <c r="V36">
        <f>IF($B36="",NA(),$L36)</f>
        <v/>
      </c>
    </row>
    <row r="37" ht="16" customHeight="1">
      <c r="B37" s="37">
        <f>IF(26&gt;$J$5,"",DATE($E$4,$E$5,26))</f>
        <v/>
      </c>
      <c r="C37" s="38">
        <f>IF($B37="","",$B37)</f>
        <v/>
      </c>
      <c r="D37" s="39">
        <f>IF($B37="","",'26'!D28)</f>
        <v/>
      </c>
      <c r="E37" s="39">
        <f>IF($B37="","",'26'!E28)</f>
        <v/>
      </c>
      <c r="F37" s="39">
        <f>IF($B37="","",'26'!F28)</f>
        <v/>
      </c>
      <c r="G37" s="39">
        <f>IF($B37="","",'26'!H28)</f>
        <v/>
      </c>
      <c r="H37" s="39">
        <f>IF($B37="","",'26'!J28)</f>
        <v/>
      </c>
      <c r="I37" s="39">
        <f>IF($B37="","",'26'!M20)</f>
        <v/>
      </c>
      <c r="J37" s="39">
        <f>IF($B37="","",'26'!M30)</f>
        <v/>
      </c>
      <c r="K37" s="39">
        <f>IF($B37="","",'26'!M44)</f>
        <v/>
      </c>
      <c r="L37" s="39">
        <f>IF($B37="","",'26'!M56)</f>
        <v/>
      </c>
      <c r="M37" s="39">
        <f>IF($B37="","",'26'!J42)</f>
        <v/>
      </c>
      <c r="N37" s="39">
        <f>IF($B37="","",'26'!D56)</f>
        <v/>
      </c>
      <c r="O37" s="39">
        <f>IF($B37="","",'26'!G56)</f>
        <v/>
      </c>
      <c r="P37" s="40">
        <f>IF($B37="","",'26'!J50)</f>
        <v/>
      </c>
      <c r="Q37" s="39">
        <f>IF($B37="","",'26'!J51)</f>
        <v/>
      </c>
      <c r="S37">
        <f>IF($B37="",NA(),$D37)</f>
        <v/>
      </c>
      <c r="T37">
        <f>IF($B37="",T36,$P37)</f>
        <v/>
      </c>
      <c r="U37">
        <f>IF($B37="",NA(),$M37)</f>
        <v/>
      </c>
      <c r="V37">
        <f>IF($B37="",NA(),$L37)</f>
        <v/>
      </c>
    </row>
    <row r="38" ht="16" customHeight="1">
      <c r="B38" s="33">
        <f>IF(27&gt;$J$5,"",DATE($E$4,$E$5,27))</f>
        <v/>
      </c>
      <c r="C38" s="34">
        <f>IF($B38="","",$B38)</f>
        <v/>
      </c>
      <c r="D38" s="35">
        <f>IF($B38="","",'27'!D28)</f>
        <v/>
      </c>
      <c r="E38" s="35">
        <f>IF($B38="","",'27'!E28)</f>
        <v/>
      </c>
      <c r="F38" s="35">
        <f>IF($B38="","",'27'!F28)</f>
        <v/>
      </c>
      <c r="G38" s="35">
        <f>IF($B38="","",'27'!H28)</f>
        <v/>
      </c>
      <c r="H38" s="35">
        <f>IF($B38="","",'27'!J28)</f>
        <v/>
      </c>
      <c r="I38" s="35">
        <f>IF($B38="","",'27'!M20)</f>
        <v/>
      </c>
      <c r="J38" s="35">
        <f>IF($B38="","",'27'!M30)</f>
        <v/>
      </c>
      <c r="K38" s="35">
        <f>IF($B38="","",'27'!M44)</f>
        <v/>
      </c>
      <c r="L38" s="35">
        <f>IF($B38="","",'27'!M56)</f>
        <v/>
      </c>
      <c r="M38" s="35">
        <f>IF($B38="","",'27'!J42)</f>
        <v/>
      </c>
      <c r="N38" s="35">
        <f>IF($B38="","",'27'!D56)</f>
        <v/>
      </c>
      <c r="O38" s="35">
        <f>IF($B38="","",'27'!G56)</f>
        <v/>
      </c>
      <c r="P38" s="36">
        <f>IF($B38="","",'27'!J50)</f>
        <v/>
      </c>
      <c r="Q38" s="35">
        <f>IF($B38="","",'27'!J51)</f>
        <v/>
      </c>
      <c r="S38">
        <f>IF($B38="",NA(),$D38)</f>
        <v/>
      </c>
      <c r="T38">
        <f>IF($B38="",T37,$P38)</f>
        <v/>
      </c>
      <c r="U38">
        <f>IF($B38="",NA(),$M38)</f>
        <v/>
      </c>
      <c r="V38">
        <f>IF($B38="",NA(),$L38)</f>
        <v/>
      </c>
    </row>
    <row r="39" ht="16" customHeight="1">
      <c r="B39" s="37">
        <f>IF(28&gt;$J$5,"",DATE($E$4,$E$5,28))</f>
        <v/>
      </c>
      <c r="C39" s="38">
        <f>IF($B39="","",$B39)</f>
        <v/>
      </c>
      <c r="D39" s="39">
        <f>IF($B39="","",'28'!D28)</f>
        <v/>
      </c>
      <c r="E39" s="39">
        <f>IF($B39="","",'28'!E28)</f>
        <v/>
      </c>
      <c r="F39" s="39">
        <f>IF($B39="","",'28'!F28)</f>
        <v/>
      </c>
      <c r="G39" s="39">
        <f>IF($B39="","",'28'!H28)</f>
        <v/>
      </c>
      <c r="H39" s="39">
        <f>IF($B39="","",'28'!J28)</f>
        <v/>
      </c>
      <c r="I39" s="39">
        <f>IF($B39="","",'28'!M20)</f>
        <v/>
      </c>
      <c r="J39" s="39">
        <f>IF($B39="","",'28'!M30)</f>
        <v/>
      </c>
      <c r="K39" s="39">
        <f>IF($B39="","",'28'!M44)</f>
        <v/>
      </c>
      <c r="L39" s="39">
        <f>IF($B39="","",'28'!M56)</f>
        <v/>
      </c>
      <c r="M39" s="39">
        <f>IF($B39="","",'28'!J42)</f>
        <v/>
      </c>
      <c r="N39" s="39">
        <f>IF($B39="","",'28'!D56)</f>
        <v/>
      </c>
      <c r="O39" s="39">
        <f>IF($B39="","",'28'!G56)</f>
        <v/>
      </c>
      <c r="P39" s="40">
        <f>IF($B39="","",'28'!J50)</f>
        <v/>
      </c>
      <c r="Q39" s="39">
        <f>IF($B39="","",'28'!J51)</f>
        <v/>
      </c>
      <c r="S39">
        <f>IF($B39="",NA(),$D39)</f>
        <v/>
      </c>
      <c r="T39">
        <f>IF($B39="",T38,$P39)</f>
        <v/>
      </c>
      <c r="U39">
        <f>IF($B39="",NA(),$M39)</f>
        <v/>
      </c>
      <c r="V39">
        <f>IF($B39="",NA(),$L39)</f>
        <v/>
      </c>
    </row>
    <row r="40" ht="16" customHeight="1">
      <c r="B40" s="33">
        <f>IF(29&gt;$J$5,"",DATE($E$4,$E$5,29))</f>
        <v/>
      </c>
      <c r="C40" s="34">
        <f>IF($B40="","",$B40)</f>
        <v/>
      </c>
      <c r="D40" s="35">
        <f>IF($B40="","",'29'!D28)</f>
        <v/>
      </c>
      <c r="E40" s="35">
        <f>IF($B40="","",'29'!E28)</f>
        <v/>
      </c>
      <c r="F40" s="35">
        <f>IF($B40="","",'29'!F28)</f>
        <v/>
      </c>
      <c r="G40" s="35">
        <f>IF($B40="","",'29'!H28)</f>
        <v/>
      </c>
      <c r="H40" s="35">
        <f>IF($B40="","",'29'!J28)</f>
        <v/>
      </c>
      <c r="I40" s="35">
        <f>IF($B40="","",'29'!M20)</f>
        <v/>
      </c>
      <c r="J40" s="35">
        <f>IF($B40="","",'29'!M30)</f>
        <v/>
      </c>
      <c r="K40" s="35">
        <f>IF($B40="","",'29'!M44)</f>
        <v/>
      </c>
      <c r="L40" s="35">
        <f>IF($B40="","",'29'!M56)</f>
        <v/>
      </c>
      <c r="M40" s="35">
        <f>IF($B40="","",'29'!J42)</f>
        <v/>
      </c>
      <c r="N40" s="35">
        <f>IF($B40="","",'29'!D56)</f>
        <v/>
      </c>
      <c r="O40" s="35">
        <f>IF($B40="","",'29'!G56)</f>
        <v/>
      </c>
      <c r="P40" s="36">
        <f>IF($B40="","",'29'!J50)</f>
        <v/>
      </c>
      <c r="Q40" s="35">
        <f>IF($B40="","",'29'!J51)</f>
        <v/>
      </c>
      <c r="S40">
        <f>IF($B40="",NA(),$D40)</f>
        <v/>
      </c>
      <c r="T40">
        <f>IF($B40="",T39,$P40)</f>
        <v/>
      </c>
      <c r="U40">
        <f>IF($B40="",NA(),$M40)</f>
        <v/>
      </c>
      <c r="V40">
        <f>IF($B40="",NA(),$L40)</f>
        <v/>
      </c>
    </row>
    <row r="41" ht="16" customHeight="1">
      <c r="B41" s="37">
        <f>IF(30&gt;$J$5,"",DATE($E$4,$E$5,30))</f>
        <v/>
      </c>
      <c r="C41" s="38">
        <f>IF($B41="","",$B41)</f>
        <v/>
      </c>
      <c r="D41" s="39">
        <f>IF($B41="","",'30'!D28)</f>
        <v/>
      </c>
      <c r="E41" s="39">
        <f>IF($B41="","",'30'!E28)</f>
        <v/>
      </c>
      <c r="F41" s="39">
        <f>IF($B41="","",'30'!F28)</f>
        <v/>
      </c>
      <c r="G41" s="39">
        <f>IF($B41="","",'30'!H28)</f>
        <v/>
      </c>
      <c r="H41" s="39">
        <f>IF($B41="","",'30'!J28)</f>
        <v/>
      </c>
      <c r="I41" s="39">
        <f>IF($B41="","",'30'!M20)</f>
        <v/>
      </c>
      <c r="J41" s="39">
        <f>IF($B41="","",'30'!M30)</f>
        <v/>
      </c>
      <c r="K41" s="39">
        <f>IF($B41="","",'30'!M44)</f>
        <v/>
      </c>
      <c r="L41" s="39">
        <f>IF($B41="","",'30'!M56)</f>
        <v/>
      </c>
      <c r="M41" s="39">
        <f>IF($B41="","",'30'!J42)</f>
        <v/>
      </c>
      <c r="N41" s="39">
        <f>IF($B41="","",'30'!D56)</f>
        <v/>
      </c>
      <c r="O41" s="39">
        <f>IF($B41="","",'30'!G56)</f>
        <v/>
      </c>
      <c r="P41" s="40">
        <f>IF($B41="","",'30'!J50)</f>
        <v/>
      </c>
      <c r="Q41" s="39">
        <f>IF($B41="","",'30'!J51)</f>
        <v/>
      </c>
      <c r="S41">
        <f>IF($B41="",NA(),$D41)</f>
        <v/>
      </c>
      <c r="T41">
        <f>IF($B41="",T40,$P41)</f>
        <v/>
      </c>
      <c r="U41">
        <f>IF($B41="",NA(),$M41)</f>
        <v/>
      </c>
      <c r="V41">
        <f>IF($B41="",NA(),$L41)</f>
        <v/>
      </c>
    </row>
    <row r="42" ht="16" customHeight="1">
      <c r="B42" s="33">
        <f>IF(31&gt;$J$5,"",DATE($E$4,$E$5,31))</f>
        <v/>
      </c>
      <c r="C42" s="34">
        <f>IF($B42="","",$B42)</f>
        <v/>
      </c>
      <c r="D42" s="35">
        <f>IF($B42="","",'31'!D28)</f>
        <v/>
      </c>
      <c r="E42" s="35">
        <f>IF($B42="","",'31'!E28)</f>
        <v/>
      </c>
      <c r="F42" s="35">
        <f>IF($B42="","",'31'!F28)</f>
        <v/>
      </c>
      <c r="G42" s="35">
        <f>IF($B42="","",'31'!H28)</f>
        <v/>
      </c>
      <c r="H42" s="35">
        <f>IF($B42="","",'31'!J28)</f>
        <v/>
      </c>
      <c r="I42" s="35">
        <f>IF($B42="","",'31'!M20)</f>
        <v/>
      </c>
      <c r="J42" s="35">
        <f>IF($B42="","",'31'!M30)</f>
        <v/>
      </c>
      <c r="K42" s="35">
        <f>IF($B42="","",'31'!M44)</f>
        <v/>
      </c>
      <c r="L42" s="35">
        <f>IF($B42="","",'31'!M56)</f>
        <v/>
      </c>
      <c r="M42" s="35">
        <f>IF($B42="","",'31'!J42)</f>
        <v/>
      </c>
      <c r="N42" s="35">
        <f>IF($B42="","",'31'!D56)</f>
        <v/>
      </c>
      <c r="O42" s="35">
        <f>IF($B42="","",'31'!G56)</f>
        <v/>
      </c>
      <c r="P42" s="36">
        <f>IF($B42="","",'31'!J50)</f>
        <v/>
      </c>
      <c r="Q42" s="35">
        <f>IF($B42="","",'31'!J51)</f>
        <v/>
      </c>
      <c r="S42">
        <f>IF($B42="",NA(),$D42)</f>
        <v/>
      </c>
      <c r="T42">
        <f>IF($B42="",T41,$P42)</f>
        <v/>
      </c>
      <c r="U42">
        <f>IF($B42="",NA(),$M42)</f>
        <v/>
      </c>
      <c r="V42">
        <f>IF($B42="",NA(),$L42)</f>
        <v/>
      </c>
    </row>
    <row r="43" ht="24" customHeight="1">
      <c r="B43" s="41" t="inlineStr">
        <is>
          <t>TOTAL DU MOIS</t>
        </is>
      </c>
      <c r="C43" s="42" t="n"/>
      <c r="D43" s="43">
        <f>SUM(D12:D42)</f>
        <v/>
      </c>
      <c r="E43" s="43">
        <f>SUM(E12:E42)</f>
        <v/>
      </c>
      <c r="F43" s="43">
        <f>SUM(F12:F42)</f>
        <v/>
      </c>
      <c r="G43" s="43">
        <f>SUM(G12:G42)</f>
        <v/>
      </c>
      <c r="H43" s="43">
        <f>SUM(H12:H42)</f>
        <v/>
      </c>
      <c r="I43" s="43">
        <f>SUM(I12:I42)</f>
        <v/>
      </c>
      <c r="J43" s="43">
        <f>SUM(J12:J42)</f>
        <v/>
      </c>
      <c r="K43" s="43">
        <f>SUM(K12:K42)</f>
        <v/>
      </c>
      <c r="L43" s="43">
        <f>SUM(L12:L42)</f>
        <v/>
      </c>
      <c r="M43" s="43">
        <f>SUM(M12:M42)</f>
        <v/>
      </c>
      <c r="N43" s="44">
        <f>INDEX(N12:N42,$J$5)</f>
        <v/>
      </c>
      <c r="O43" s="44">
        <f>INDEX(O12:O42,$J$5)</f>
        <v/>
      </c>
      <c r="P43" s="44">
        <f>INDEX(P12:P42,$J$5)</f>
        <v/>
      </c>
      <c r="Q43" s="43">
        <f>SUM(Q12:Q42)</f>
        <v/>
      </c>
    </row>
    <row r="44" ht="26" customHeight="1">
      <c r="B44" s="22" t="inlineStr">
        <is>
          <t>Les trois colonnes de caisse ne s'additionnent pas : la ligne de total reprend le solde du dernier jour du mois, c'est-à-dire ce qui reste réellement en caisse.</t>
        </is>
      </c>
    </row>
  </sheetData>
  <mergeCells count="19">
    <mergeCell ref="B10:Q10"/>
    <mergeCell ref="G6:I6"/>
    <mergeCell ref="B8:D8"/>
    <mergeCell ref="L4:Q4"/>
    <mergeCell ref="B43:C43"/>
    <mergeCell ref="G5:I5"/>
    <mergeCell ref="A2:R2"/>
    <mergeCell ref="G4:I4"/>
    <mergeCell ref="B6:D6"/>
    <mergeCell ref="L6:Q6"/>
    <mergeCell ref="B3:Q3"/>
    <mergeCell ref="B5:D5"/>
    <mergeCell ref="B4:D4"/>
    <mergeCell ref="B7:D7"/>
    <mergeCell ref="G7:I7"/>
    <mergeCell ref="G8:I8"/>
    <mergeCell ref="A1:R1"/>
    <mergeCell ref="B44:Q44"/>
    <mergeCell ref="J8:K8"/>
  </mergeCells>
  <conditionalFormatting sqref="H12:H42">
    <cfRule type="cellIs" priority="1" operator="greaterThan" dxfId="1">
      <formula>0</formula>
    </cfRule>
  </conditionalFormatting>
  <conditionalFormatting sqref="M12:M42">
    <cfRule type="cellIs" priority="2" operator="greaterThan" dxfId="2">
      <formula>0</formula>
    </cfRule>
  </conditionalFormatting>
  <conditionalFormatting sqref="Q12:Q42">
    <cfRule type="expression" priority="3" dxfId="1">
      <formula>AND($B12&lt;&gt;"",$Q12&lt;&gt;0)</formula>
    </cfRule>
  </conditionalFormatting>
  <conditionalFormatting sqref="N12:N42">
    <cfRule type="cellIs" priority="4" operator="lessThan" dxfId="3">
      <formula>0</formula>
    </cfRule>
  </conditionalFormatting>
  <conditionalFormatting sqref="O12:O42">
    <cfRule type="cellIs" priority="5" operator="lessThan" dxfId="3">
      <formula>0</formula>
    </cfRule>
  </conditionalFormatting>
  <conditionalFormatting sqref="P12:P42">
    <cfRule type="cellIs" priority="6" operator="lessThan" dxfId="3">
      <formula>0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IF(1&gt;'RÉCAP DU JOURNAL'!$J$5,"— ce jour n'existe pas dans le mois —",DATE('RÉCAP DU JOURNAL'!$E$4,'RÉCAP DU JOURNAL'!$E$5,1))</f>
        <v/>
      </c>
      <c r="H2" s="48" t="inlineStr">
        <is>
          <t>Feuille 01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'RÉCAP DU JOURNAL'!$E$6</f>
        <v/>
      </c>
      <c r="E48" s="68" t="inlineStr">
        <is>
          <t>Solde de la veille</t>
        </is>
      </c>
      <c r="F48" s="26" t="n"/>
      <c r="G48" s="35">
        <f>'RÉCAP DU JOURNAL'!$E$7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'RÉCAP DU JOURNAL'!$E$8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IF(2&gt;'RÉCAP DU JOURNAL'!$J$5,"— ce jour n'existe pas dans le mois —",DATE('RÉCAP DU JOURNAL'!$E$4,'RÉCAP DU JOURNAL'!$E$5,2))</f>
        <v/>
      </c>
      <c r="H2" s="48" t="inlineStr">
        <is>
          <t>Feuille 02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'01'!$D$56</f>
        <v/>
      </c>
      <c r="E48" s="68" t="inlineStr">
        <is>
          <t>Solde de la veille</t>
        </is>
      </c>
      <c r="F48" s="26" t="n"/>
      <c r="G48" s="35">
        <f>'01'!$G$56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'01'!$J$56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IF(3&gt;'RÉCAP DU JOURNAL'!$J$5,"— ce jour n'existe pas dans le mois —",DATE('RÉCAP DU JOURNAL'!$E$4,'RÉCAP DU JOURNAL'!$E$5,3))</f>
        <v/>
      </c>
      <c r="H2" s="48" t="inlineStr">
        <is>
          <t>Feuille 03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'02'!$D$56</f>
        <v/>
      </c>
      <c r="E48" s="68" t="inlineStr">
        <is>
          <t>Solde de la veille</t>
        </is>
      </c>
      <c r="F48" s="26" t="n"/>
      <c r="G48" s="35">
        <f>'02'!$G$56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'02'!$J$56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IF(4&gt;'RÉCAP DU JOURNAL'!$J$5,"— ce jour n'existe pas dans le mois —",DATE('RÉCAP DU JOURNAL'!$E$4,'RÉCAP DU JOURNAL'!$E$5,4))</f>
        <v/>
      </c>
      <c r="H2" s="48" t="inlineStr">
        <is>
          <t>Feuille 04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'03'!$D$56</f>
        <v/>
      </c>
      <c r="E48" s="68" t="inlineStr">
        <is>
          <t>Solde de la veille</t>
        </is>
      </c>
      <c r="F48" s="26" t="n"/>
      <c r="G48" s="35">
        <f>'03'!$G$56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'03'!$J$56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IF(5&gt;'RÉCAP DU JOURNAL'!$J$5,"— ce jour n'existe pas dans le mois —",DATE('RÉCAP DU JOURNAL'!$E$4,'RÉCAP DU JOURNAL'!$E$5,5))</f>
        <v/>
      </c>
      <c r="H2" s="48" t="inlineStr">
        <is>
          <t>Feuille 05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'04'!$D$56</f>
        <v/>
      </c>
      <c r="E48" s="68" t="inlineStr">
        <is>
          <t>Solde de la veille</t>
        </is>
      </c>
      <c r="F48" s="26" t="n"/>
      <c r="G48" s="35">
        <f>'04'!$G$56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'04'!$J$56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IF(6&gt;'RÉCAP DU JOURNAL'!$J$5,"— ce jour n'existe pas dans le mois —",DATE('RÉCAP DU JOURNAL'!$E$4,'RÉCAP DU JOURNAL'!$E$5,6))</f>
        <v/>
      </c>
      <c r="H2" s="48" t="inlineStr">
        <is>
          <t>Feuille 06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'05'!$D$56</f>
        <v/>
      </c>
      <c r="E48" s="68" t="inlineStr">
        <is>
          <t>Solde de la veille</t>
        </is>
      </c>
      <c r="F48" s="26" t="n"/>
      <c r="G48" s="35">
        <f>'05'!$G$56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'05'!$J$56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9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IF(7&gt;'RÉCAP DU JOURNAL'!$J$5,"— ce jour n'existe pas dans le mois —",DATE('RÉCAP DU JOURNAL'!$E$4,'RÉCAP DU JOURNAL'!$E$5,7))</f>
        <v/>
      </c>
      <c r="H2" s="48" t="inlineStr">
        <is>
          <t>Feuille 07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'06'!$D$56</f>
        <v/>
      </c>
      <c r="E48" s="68" t="inlineStr">
        <is>
          <t>Solde de la veille</t>
        </is>
      </c>
      <c r="F48" s="26" t="n"/>
      <c r="G48" s="35">
        <f>'06'!$G$56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'06'!$J$56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10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IF(8&gt;'RÉCAP DU JOURNAL'!$J$5,"— ce jour n'existe pas dans le mois —",DATE('RÉCAP DU JOURNAL'!$E$4,'RÉCAP DU JOURNAL'!$E$5,8))</f>
        <v/>
      </c>
      <c r="H2" s="48" t="inlineStr">
        <is>
          <t>Feuille 08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'07'!$D$56</f>
        <v/>
      </c>
      <c r="E48" s="68" t="inlineStr">
        <is>
          <t>Solde de la veille</t>
        </is>
      </c>
      <c r="F48" s="26" t="n"/>
      <c r="G48" s="35">
        <f>'07'!$G$56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'07'!$J$56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11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IF(9&gt;'RÉCAP DU JOURNAL'!$J$5,"— ce jour n'existe pas dans le mois —",DATE('RÉCAP DU JOURNAL'!$E$4,'RÉCAP DU JOURNAL'!$E$5,9))</f>
        <v/>
      </c>
      <c r="H2" s="48" t="inlineStr">
        <is>
          <t>Feuille 09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'08'!$D$56</f>
        <v/>
      </c>
      <c r="E48" s="68" t="inlineStr">
        <is>
          <t>Solde de la veille</t>
        </is>
      </c>
      <c r="F48" s="26" t="n"/>
      <c r="G48" s="35">
        <f>'08'!$G$56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'08'!$J$56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12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IF(10&gt;'RÉCAP DU JOURNAL'!$J$5,"— ce jour n'existe pas dans le mois —",DATE('RÉCAP DU JOURNAL'!$E$4,'RÉCAP DU JOURNAL'!$E$5,10))</f>
        <v/>
      </c>
      <c r="H2" s="48" t="inlineStr">
        <is>
          <t>Feuille 10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'09'!$D$56</f>
        <v/>
      </c>
      <c r="E48" s="68" t="inlineStr">
        <is>
          <t>Solde de la veille</t>
        </is>
      </c>
      <c r="F48" s="26" t="n"/>
      <c r="G48" s="35">
        <f>'09'!$G$56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'09'!$J$56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13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IF(11&gt;'RÉCAP DU JOURNAL'!$J$5,"— ce jour n'existe pas dans le mois —",DATE('RÉCAP DU JOURNAL'!$E$4,'RÉCAP DU JOURNAL'!$E$5,11))</f>
        <v/>
      </c>
      <c r="H2" s="48" t="inlineStr">
        <is>
          <t>Feuille 11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'10'!$D$56</f>
        <v/>
      </c>
      <c r="E48" s="68" t="inlineStr">
        <is>
          <t>Solde de la veille</t>
        </is>
      </c>
      <c r="F48" s="26" t="n"/>
      <c r="G48" s="35">
        <f>'10'!$G$56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'10'!$J$56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14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IF(12&gt;'RÉCAP DU JOURNAL'!$J$5,"— ce jour n'existe pas dans le mois —",DATE('RÉCAP DU JOURNAL'!$E$4,'RÉCAP DU JOURNAL'!$E$5,12))</f>
        <v/>
      </c>
      <c r="H2" s="48" t="inlineStr">
        <is>
          <t>Feuille 12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'11'!$D$56</f>
        <v/>
      </c>
      <c r="E48" s="68" t="inlineStr">
        <is>
          <t>Solde de la veille</t>
        </is>
      </c>
      <c r="F48" s="26" t="n"/>
      <c r="G48" s="35">
        <f>'11'!$G$56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'11'!$J$56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15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IF(13&gt;'RÉCAP DU JOURNAL'!$J$5,"— ce jour n'existe pas dans le mois —",DATE('RÉCAP DU JOURNAL'!$E$4,'RÉCAP DU JOURNAL'!$E$5,13))</f>
        <v/>
      </c>
      <c r="H2" s="48" t="inlineStr">
        <is>
          <t>Feuille 13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'12'!$D$56</f>
        <v/>
      </c>
      <c r="E48" s="68" t="inlineStr">
        <is>
          <t>Solde de la veille</t>
        </is>
      </c>
      <c r="F48" s="26" t="n"/>
      <c r="G48" s="35">
        <f>'12'!$G$56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'12'!$J$56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16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IF(14&gt;'RÉCAP DU JOURNAL'!$J$5,"— ce jour n'existe pas dans le mois —",DATE('RÉCAP DU JOURNAL'!$E$4,'RÉCAP DU JOURNAL'!$E$5,14))</f>
        <v/>
      </c>
      <c r="H2" s="48" t="inlineStr">
        <is>
          <t>Feuille 14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'13'!$D$56</f>
        <v/>
      </c>
      <c r="E48" s="68" t="inlineStr">
        <is>
          <t>Solde de la veille</t>
        </is>
      </c>
      <c r="F48" s="26" t="n"/>
      <c r="G48" s="35">
        <f>'13'!$G$56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'13'!$J$56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17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IF(15&gt;'RÉCAP DU JOURNAL'!$J$5,"— ce jour n'existe pas dans le mois —",DATE('RÉCAP DU JOURNAL'!$E$4,'RÉCAP DU JOURNAL'!$E$5,15))</f>
        <v/>
      </c>
      <c r="H2" s="48" t="inlineStr">
        <is>
          <t>Feuille 15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'14'!$D$56</f>
        <v/>
      </c>
      <c r="E48" s="68" t="inlineStr">
        <is>
          <t>Solde de la veille</t>
        </is>
      </c>
      <c r="F48" s="26" t="n"/>
      <c r="G48" s="35">
        <f>'14'!$G$56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'14'!$J$56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18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IF(16&gt;'RÉCAP DU JOURNAL'!$J$5,"— ce jour n'existe pas dans le mois —",DATE('RÉCAP DU JOURNAL'!$E$4,'RÉCAP DU JOURNAL'!$E$5,16))</f>
        <v/>
      </c>
      <c r="H2" s="48" t="inlineStr">
        <is>
          <t>Feuille 16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'15'!$D$56</f>
        <v/>
      </c>
      <c r="E48" s="68" t="inlineStr">
        <is>
          <t>Solde de la veille</t>
        </is>
      </c>
      <c r="F48" s="26" t="n"/>
      <c r="G48" s="35">
        <f>'15'!$G$56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'15'!$J$56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19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IF(17&gt;'RÉCAP DU JOURNAL'!$J$5,"— ce jour n'existe pas dans le mois —",DATE('RÉCAP DU JOURNAL'!$E$4,'RÉCAP DU JOURNAL'!$E$5,17))</f>
        <v/>
      </c>
      <c r="H2" s="48" t="inlineStr">
        <is>
          <t>Feuille 17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'16'!$D$56</f>
        <v/>
      </c>
      <c r="E48" s="68" t="inlineStr">
        <is>
          <t>Solde de la veille</t>
        </is>
      </c>
      <c r="F48" s="26" t="n"/>
      <c r="G48" s="35">
        <f>'16'!$G$56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'16'!$J$56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20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IF(18&gt;'RÉCAP DU JOURNAL'!$J$5,"— ce jour n'existe pas dans le mois —",DATE('RÉCAP DU JOURNAL'!$E$4,'RÉCAP DU JOURNAL'!$E$5,18))</f>
        <v/>
      </c>
      <c r="H2" s="48" t="inlineStr">
        <is>
          <t>Feuille 18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'17'!$D$56</f>
        <v/>
      </c>
      <c r="E48" s="68" t="inlineStr">
        <is>
          <t>Solde de la veille</t>
        </is>
      </c>
      <c r="F48" s="26" t="n"/>
      <c r="G48" s="35">
        <f>'17'!$G$56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'17'!$J$56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21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IF(19&gt;'RÉCAP DU JOURNAL'!$J$5,"— ce jour n'existe pas dans le mois —",DATE('RÉCAP DU JOURNAL'!$E$4,'RÉCAP DU JOURNAL'!$E$5,19))</f>
        <v/>
      </c>
      <c r="H2" s="48" t="inlineStr">
        <is>
          <t>Feuille 19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'18'!$D$56</f>
        <v/>
      </c>
      <c r="E48" s="68" t="inlineStr">
        <is>
          <t>Solde de la veille</t>
        </is>
      </c>
      <c r="F48" s="26" t="n"/>
      <c r="G48" s="35">
        <f>'18'!$G$56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'18'!$J$56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22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IF(20&gt;'RÉCAP DU JOURNAL'!$J$5,"— ce jour n'existe pas dans le mois —",DATE('RÉCAP DU JOURNAL'!$E$4,'RÉCAP DU JOURNAL'!$E$5,20))</f>
        <v/>
      </c>
      <c r="H2" s="48" t="inlineStr">
        <is>
          <t>Feuille 20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'19'!$D$56</f>
        <v/>
      </c>
      <c r="E48" s="68" t="inlineStr">
        <is>
          <t>Solde de la veille</t>
        </is>
      </c>
      <c r="F48" s="26" t="n"/>
      <c r="G48" s="35">
        <f>'19'!$G$56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'19'!$J$56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23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IF(21&gt;'RÉCAP DU JOURNAL'!$J$5,"— ce jour n'existe pas dans le mois —",DATE('RÉCAP DU JOURNAL'!$E$4,'RÉCAP DU JOURNAL'!$E$5,21))</f>
        <v/>
      </c>
      <c r="H2" s="48" t="inlineStr">
        <is>
          <t>Feuille 21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'20'!$D$56</f>
        <v/>
      </c>
      <c r="E48" s="68" t="inlineStr">
        <is>
          <t>Solde de la veille</t>
        </is>
      </c>
      <c r="F48" s="26" t="n"/>
      <c r="G48" s="35">
        <f>'20'!$G$56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'20'!$J$56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24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IF(22&gt;'RÉCAP DU JOURNAL'!$J$5,"— ce jour n'existe pas dans le mois —",DATE('RÉCAP DU JOURNAL'!$E$4,'RÉCAP DU JOURNAL'!$E$5,22))</f>
        <v/>
      </c>
      <c r="H2" s="48" t="inlineStr">
        <is>
          <t>Feuille 22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'21'!$D$56</f>
        <v/>
      </c>
      <c r="E48" s="68" t="inlineStr">
        <is>
          <t>Solde de la veille</t>
        </is>
      </c>
      <c r="F48" s="26" t="n"/>
      <c r="G48" s="35">
        <f>'21'!$G$56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'21'!$J$56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25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IF(23&gt;'RÉCAP DU JOURNAL'!$J$5,"— ce jour n'existe pas dans le mois —",DATE('RÉCAP DU JOURNAL'!$E$4,'RÉCAP DU JOURNAL'!$E$5,23))</f>
        <v/>
      </c>
      <c r="H2" s="48" t="inlineStr">
        <is>
          <t>Feuille 23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'22'!$D$56</f>
        <v/>
      </c>
      <c r="E48" s="68" t="inlineStr">
        <is>
          <t>Solde de la veille</t>
        </is>
      </c>
      <c r="F48" s="26" t="n"/>
      <c r="G48" s="35">
        <f>'22'!$G$56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'22'!$J$56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26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IF(24&gt;'RÉCAP DU JOURNAL'!$J$5,"— ce jour n'existe pas dans le mois —",DATE('RÉCAP DU JOURNAL'!$E$4,'RÉCAP DU JOURNAL'!$E$5,24))</f>
        <v/>
      </c>
      <c r="H2" s="48" t="inlineStr">
        <is>
          <t>Feuille 24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'23'!$D$56</f>
        <v/>
      </c>
      <c r="E48" s="68" t="inlineStr">
        <is>
          <t>Solde de la veille</t>
        </is>
      </c>
      <c r="F48" s="26" t="n"/>
      <c r="G48" s="35">
        <f>'23'!$G$56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'23'!$J$56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27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IF(25&gt;'RÉCAP DU JOURNAL'!$J$5,"— ce jour n'existe pas dans le mois —",DATE('RÉCAP DU JOURNAL'!$E$4,'RÉCAP DU JOURNAL'!$E$5,25))</f>
        <v/>
      </c>
      <c r="H2" s="48" t="inlineStr">
        <is>
          <t>Feuille 25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'24'!$D$56</f>
        <v/>
      </c>
      <c r="E48" s="68" t="inlineStr">
        <is>
          <t>Solde de la veille</t>
        </is>
      </c>
      <c r="F48" s="26" t="n"/>
      <c r="G48" s="35">
        <f>'24'!$G$56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'24'!$J$56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28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IF(26&gt;'RÉCAP DU JOURNAL'!$J$5,"— ce jour n'existe pas dans le mois —",DATE('RÉCAP DU JOURNAL'!$E$4,'RÉCAP DU JOURNAL'!$E$5,26))</f>
        <v/>
      </c>
      <c r="H2" s="48" t="inlineStr">
        <is>
          <t>Feuille 26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'25'!$D$56</f>
        <v/>
      </c>
      <c r="E48" s="68" t="inlineStr">
        <is>
          <t>Solde de la veille</t>
        </is>
      </c>
      <c r="F48" s="26" t="n"/>
      <c r="G48" s="35">
        <f>'25'!$G$56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'25'!$J$56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29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IF(27&gt;'RÉCAP DU JOURNAL'!$J$5,"— ce jour n'existe pas dans le mois —",DATE('RÉCAP DU JOURNAL'!$E$4,'RÉCAP DU JOURNAL'!$E$5,27))</f>
        <v/>
      </c>
      <c r="H2" s="48" t="inlineStr">
        <is>
          <t>Feuille 27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'26'!$D$56</f>
        <v/>
      </c>
      <c r="E48" s="68" t="inlineStr">
        <is>
          <t>Solde de la veille</t>
        </is>
      </c>
      <c r="F48" s="26" t="n"/>
      <c r="G48" s="35">
        <f>'26'!$G$56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'26'!$J$56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30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IF(28&gt;'RÉCAP DU JOURNAL'!$J$5,"— ce jour n'existe pas dans le mois —",DATE('RÉCAP DU JOURNAL'!$E$4,'RÉCAP DU JOURNAL'!$E$5,28))</f>
        <v/>
      </c>
      <c r="H2" s="48" t="inlineStr">
        <is>
          <t>Feuille 28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'27'!$D$56</f>
        <v/>
      </c>
      <c r="E48" s="68" t="inlineStr">
        <is>
          <t>Solde de la veille</t>
        </is>
      </c>
      <c r="F48" s="26" t="n"/>
      <c r="G48" s="35">
        <f>'27'!$G$56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'27'!$J$56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31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IF(29&gt;'RÉCAP DU JOURNAL'!$J$5,"— ce jour n'existe pas dans le mois —",DATE('RÉCAP DU JOURNAL'!$E$4,'RÉCAP DU JOURNAL'!$E$5,29))</f>
        <v/>
      </c>
      <c r="H2" s="48" t="inlineStr">
        <is>
          <t>Feuille 29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'28'!$D$56</f>
        <v/>
      </c>
      <c r="E48" s="68" t="inlineStr">
        <is>
          <t>Solde de la veille</t>
        </is>
      </c>
      <c r="F48" s="26" t="n"/>
      <c r="G48" s="35">
        <f>'28'!$G$56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'28'!$J$56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32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IF(30&gt;'RÉCAP DU JOURNAL'!$J$5,"— ce jour n'existe pas dans le mois —",DATE('RÉCAP DU JOURNAL'!$E$4,'RÉCAP DU JOURNAL'!$E$5,30))</f>
        <v/>
      </c>
      <c r="H2" s="48" t="inlineStr">
        <is>
          <t>Feuille 30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'29'!$D$56</f>
        <v/>
      </c>
      <c r="E48" s="68" t="inlineStr">
        <is>
          <t>Solde de la veille</t>
        </is>
      </c>
      <c r="F48" s="26" t="n"/>
      <c r="G48" s="35">
        <f>'29'!$G$56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'29'!$J$56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33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N58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6" customWidth="1" min="1" max="1"/>
    <col width="11" customWidth="1" min="2" max="2"/>
    <col width="25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2.6" customWidth="1" min="11" max="11"/>
    <col width="26" customWidth="1" min="12" max="12"/>
    <col width="14" customWidth="1" min="13" max="13"/>
    <col width="2.6" customWidth="1" min="14" max="14"/>
  </cols>
  <sheetData>
    <row r="1" ht="34" customHeight="1">
      <c r="A1" s="45" t="inlineStr">
        <is>
          <t>JOURNAL DE CAISSE DU JOUR</t>
        </is>
      </c>
      <c r="H1" s="46" t="inlineStr">
        <is>
          <t>PARADISE ALUMINIUM SARL   ·   Casablanca</t>
        </is>
      </c>
    </row>
    <row r="2" ht="21" customHeight="1">
      <c r="A2" s="47">
        <f>IF(31&gt;'RÉCAP DU JOURNAL'!$J$5,"— ce jour n'existe pas dans le mois —",DATE('RÉCAP DU JOURNAL'!$E$4,'RÉCAP DU JOURNAL'!$E$5,31))</f>
        <v/>
      </c>
      <c r="H2" s="48" t="inlineStr">
        <is>
          <t>Feuille 31  ·  aluminium, accessoires et vitrage</t>
        </is>
      </c>
    </row>
    <row r="4" ht="26" customHeight="1">
      <c r="A4" s="49" t="inlineStr">
        <is>
          <t>À REMPLIR  ▸  les achats fournisseurs du jour, les charges, les salaires, les dépenses, les encaissements, puis les espèces comptées le soir dans chaque caisse.    Cases jaunes = à vous ; cases blanches = calculées.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6" ht="23" customHeight="1">
      <c r="B6" s="21" t="inlineStr">
        <is>
          <t>ACHATS FOURNISSEURS DU JOUR</t>
        </is>
      </c>
      <c r="L6" s="21" t="inlineStr">
        <is>
          <t>CHARGES FIXES DU JOUR</t>
        </is>
      </c>
    </row>
    <row r="7" ht="22" customHeight="1">
      <c r="B7" s="32" t="inlineStr">
        <is>
          <t>BL N°</t>
        </is>
      </c>
      <c r="C7" s="32" t="inlineStr">
        <is>
          <t>FOURNISSEUR</t>
        </is>
      </c>
      <c r="D7" s="32" t="inlineStr">
        <is>
          <t>NET À PAYER</t>
        </is>
      </c>
      <c r="E7" s="32" t="inlineStr">
        <is>
          <t>ESPÈCE</t>
        </is>
      </c>
      <c r="F7" s="32" t="inlineStr">
        <is>
          <t>CHÈQUE</t>
        </is>
      </c>
      <c r="G7" s="32" t="inlineStr">
        <is>
          <t>N° DU CHÈQUE</t>
        </is>
      </c>
      <c r="H7" s="32" t="inlineStr">
        <is>
          <t>EFFET</t>
        </is>
      </c>
      <c r="I7" s="32" t="inlineStr">
        <is>
          <t>N° DE L'EFFET</t>
        </is>
      </c>
      <c r="J7" s="32" t="inlineStr">
        <is>
          <t>RESTE À PAYER</t>
        </is>
      </c>
      <c r="L7" s="32" t="inlineStr">
        <is>
          <t>POSTE DE CHARGE</t>
        </is>
      </c>
      <c r="M7" s="32" t="inlineStr">
        <is>
          <t>MONTANT</t>
        </is>
      </c>
    </row>
    <row r="8" ht="16" customHeight="1">
      <c r="B8" s="51" t="n"/>
      <c r="C8" s="51" t="n"/>
      <c r="D8" s="30" t="n"/>
      <c r="E8" s="30" t="n"/>
      <c r="F8" s="30" t="n"/>
      <c r="G8" s="51" t="n"/>
      <c r="H8" s="30" t="n"/>
      <c r="I8" s="51" t="n"/>
      <c r="J8" s="35">
        <f>IF(C8="","",D8-E8-F8-H8)</f>
        <v/>
      </c>
      <c r="L8" s="52" t="inlineStr">
        <is>
          <t>LOYER DU LOCAL</t>
        </is>
      </c>
      <c r="M8" s="30" t="n"/>
    </row>
    <row r="9" ht="16" customHeight="1">
      <c r="B9" s="51" t="n"/>
      <c r="C9" s="51" t="n"/>
      <c r="D9" s="30" t="n"/>
      <c r="E9" s="30" t="n"/>
      <c r="F9" s="30" t="n"/>
      <c r="G9" s="51" t="n"/>
      <c r="H9" s="30" t="n"/>
      <c r="I9" s="51" t="n"/>
      <c r="J9" s="35">
        <f>IF(C9="","",D9-E9-F9-H9)</f>
        <v/>
      </c>
      <c r="L9" s="53" t="inlineStr">
        <is>
          <t>EAU + ÉLECTRICITÉ</t>
        </is>
      </c>
      <c r="M9" s="30" t="n"/>
    </row>
    <row r="10" ht="16" customHeight="1">
      <c r="B10" s="51" t="n"/>
      <c r="C10" s="51" t="n"/>
      <c r="D10" s="30" t="n"/>
      <c r="E10" s="30" t="n"/>
      <c r="F10" s="30" t="n"/>
      <c r="G10" s="51" t="n"/>
      <c r="H10" s="30" t="n"/>
      <c r="I10" s="51" t="n"/>
      <c r="J10" s="35">
        <f>IF(C10="","",D10-E10-F10-H10)</f>
        <v/>
      </c>
      <c r="L10" s="52" t="inlineStr">
        <is>
          <t>TÉLÉPHONE &amp; INTERNET</t>
        </is>
      </c>
      <c r="M10" s="30" t="n"/>
    </row>
    <row r="11" ht="16" customHeight="1">
      <c r="B11" s="51" t="n"/>
      <c r="C11" s="51" t="n"/>
      <c r="D11" s="30" t="n"/>
      <c r="E11" s="30" t="n"/>
      <c r="F11" s="30" t="n"/>
      <c r="G11" s="51" t="n"/>
      <c r="H11" s="30" t="n"/>
      <c r="I11" s="51" t="n"/>
      <c r="J11" s="35">
        <f>IF(C11="","",D11-E11-F11-H11)</f>
        <v/>
      </c>
      <c r="L11" s="53" t="inlineStr">
        <is>
          <t>CNSS</t>
        </is>
      </c>
      <c r="M11" s="30" t="n"/>
    </row>
    <row r="12" ht="16" customHeight="1">
      <c r="B12" s="51" t="n"/>
      <c r="C12" s="51" t="n"/>
      <c r="D12" s="30" t="n"/>
      <c r="E12" s="30" t="n"/>
      <c r="F12" s="30" t="n"/>
      <c r="G12" s="51" t="n"/>
      <c r="H12" s="30" t="n"/>
      <c r="I12" s="51" t="n"/>
      <c r="J12" s="35">
        <f>IF(C12="","",D12-E12-F12-H12)</f>
        <v/>
      </c>
      <c r="L12" s="52" t="inlineStr">
        <is>
          <t>TVA &amp; IMPÔTS</t>
        </is>
      </c>
      <c r="M12" s="30" t="n"/>
    </row>
    <row r="13" ht="16" customHeight="1">
      <c r="B13" s="51" t="n"/>
      <c r="C13" s="51" t="n"/>
      <c r="D13" s="30" t="n"/>
      <c r="E13" s="30" t="n"/>
      <c r="F13" s="30" t="n"/>
      <c r="G13" s="51" t="n"/>
      <c r="H13" s="30" t="n"/>
      <c r="I13" s="51" t="n"/>
      <c r="J13" s="35">
        <f>IF(C13="","",D13-E13-F13-H13)</f>
        <v/>
      </c>
      <c r="L13" s="53" t="inlineStr">
        <is>
          <t>ASSURANCES</t>
        </is>
      </c>
      <c r="M13" s="30" t="n"/>
    </row>
    <row r="14" ht="16" customHeight="1">
      <c r="B14" s="51" t="n"/>
      <c r="C14" s="51" t="n"/>
      <c r="D14" s="30" t="n"/>
      <c r="E14" s="30" t="n"/>
      <c r="F14" s="30" t="n"/>
      <c r="G14" s="51" t="n"/>
      <c r="H14" s="30" t="n"/>
      <c r="I14" s="51" t="n"/>
      <c r="J14" s="35">
        <f>IF(C14="","",D14-E14-F14-H14)</f>
        <v/>
      </c>
      <c r="L14" s="52" t="inlineStr">
        <is>
          <t>COMPTABLE &amp; HONORAIRES</t>
        </is>
      </c>
      <c r="M14" s="30" t="n"/>
    </row>
    <row r="15" ht="16" customHeight="1">
      <c r="B15" s="51" t="n"/>
      <c r="C15" s="51" t="n"/>
      <c r="D15" s="30" t="n"/>
      <c r="E15" s="30" t="n"/>
      <c r="F15" s="30" t="n"/>
      <c r="G15" s="51" t="n"/>
      <c r="H15" s="30" t="n"/>
      <c r="I15" s="51" t="n"/>
      <c r="J15" s="35">
        <f>IF(C15="","",D15-E15-F15-H15)</f>
        <v/>
      </c>
      <c r="L15" s="53" t="inlineStr">
        <is>
          <t>CARBURANT &amp; VÉHICULE</t>
        </is>
      </c>
      <c r="M15" s="30" t="n"/>
    </row>
    <row r="16" ht="16" customHeight="1">
      <c r="B16" s="51" t="n"/>
      <c r="C16" s="51" t="n"/>
      <c r="D16" s="30" t="n"/>
      <c r="E16" s="30" t="n"/>
      <c r="F16" s="30" t="n"/>
      <c r="G16" s="51" t="n"/>
      <c r="H16" s="30" t="n"/>
      <c r="I16" s="51" t="n"/>
      <c r="J16" s="35">
        <f>IF(C16="","",D16-E16-F16-H16)</f>
        <v/>
      </c>
      <c r="L16" s="52" t="inlineStr">
        <is>
          <t>TRANSPORT &amp; LIVRAISON</t>
        </is>
      </c>
      <c r="M16" s="30" t="n"/>
    </row>
    <row r="17" ht="16" customHeight="1">
      <c r="B17" s="51" t="n"/>
      <c r="C17" s="51" t="n"/>
      <c r="D17" s="30" t="n"/>
      <c r="E17" s="30" t="n"/>
      <c r="F17" s="30" t="n"/>
      <c r="G17" s="51" t="n"/>
      <c r="H17" s="30" t="n"/>
      <c r="I17" s="51" t="n"/>
      <c r="J17" s="35">
        <f>IF(C17="","",D17-E17-F17-H17)</f>
        <v/>
      </c>
      <c r="L17" s="53" t="inlineStr">
        <is>
          <t>ENTRETIEN &amp; RÉPARATION</t>
        </is>
      </c>
      <c r="M17" s="30" t="n"/>
    </row>
    <row r="18" ht="16" customHeight="1">
      <c r="B18" s="51" t="n"/>
      <c r="C18" s="51" t="n"/>
      <c r="D18" s="30" t="n"/>
      <c r="E18" s="30" t="n"/>
      <c r="F18" s="30" t="n"/>
      <c r="G18" s="51" t="n"/>
      <c r="H18" s="30" t="n"/>
      <c r="I18" s="51" t="n"/>
      <c r="J18" s="35">
        <f>IF(C18="","",D18-E18-F18-H18)</f>
        <v/>
      </c>
      <c r="L18" s="52" t="inlineStr">
        <is>
          <t>FOURNITURES DE BUREAU</t>
        </is>
      </c>
      <c r="M18" s="30" t="n"/>
    </row>
    <row r="19" ht="16" customHeight="1">
      <c r="B19" s="51" t="n"/>
      <c r="C19" s="51" t="n"/>
      <c r="D19" s="30" t="n"/>
      <c r="E19" s="30" t="n"/>
      <c r="F19" s="30" t="n"/>
      <c r="G19" s="51" t="n"/>
      <c r="H19" s="30" t="n"/>
      <c r="I19" s="51" t="n"/>
      <c r="J19" s="35">
        <f>IF(C19="","",D19-E19-F19-H19)</f>
        <v/>
      </c>
      <c r="L19" s="53" t="inlineStr">
        <is>
          <t>AUTRE CHARGE FIXE</t>
        </is>
      </c>
      <c r="M19" s="30" t="n"/>
    </row>
    <row r="20" ht="20" customHeight="1">
      <c r="B20" s="51" t="n"/>
      <c r="C20" s="51" t="n"/>
      <c r="D20" s="30" t="n"/>
      <c r="E20" s="30" t="n"/>
      <c r="F20" s="30" t="n"/>
      <c r="G20" s="51" t="n"/>
      <c r="H20" s="30" t="n"/>
      <c r="I20" s="51" t="n"/>
      <c r="J20" s="35">
        <f>IF(C20="","",D20-E20-F20-H20)</f>
        <v/>
      </c>
      <c r="L20" s="54" t="inlineStr">
        <is>
          <t>TOTAL</t>
        </is>
      </c>
      <c r="M20" s="43">
        <f>SUM(M8:M19)</f>
        <v/>
      </c>
    </row>
    <row r="21" ht="16" customHeight="1">
      <c r="B21" s="51" t="n"/>
      <c r="C21" s="51" t="n"/>
      <c r="D21" s="30" t="n"/>
      <c r="E21" s="30" t="n"/>
      <c r="F21" s="30" t="n"/>
      <c r="G21" s="51" t="n"/>
      <c r="H21" s="30" t="n"/>
      <c r="I21" s="51" t="n"/>
      <c r="J21" s="35">
        <f>IF(C21="","",D21-E21-F21-H21)</f>
        <v/>
      </c>
    </row>
    <row r="22" ht="23" customHeight="1">
      <c r="B22" s="51" t="n"/>
      <c r="C22" s="51" t="n"/>
      <c r="D22" s="30" t="n"/>
      <c r="E22" s="30" t="n"/>
      <c r="F22" s="30" t="n"/>
      <c r="G22" s="51" t="n"/>
      <c r="H22" s="30" t="n"/>
      <c r="I22" s="51" t="n"/>
      <c r="J22" s="35">
        <f>IF(C22="","",D22-E22-F22-H22)</f>
        <v/>
      </c>
      <c r="L22" s="21" t="inlineStr">
        <is>
          <t>SALAIRES ET AVANCES</t>
        </is>
      </c>
    </row>
    <row r="23" ht="22" customHeight="1">
      <c r="B23" s="51" t="n"/>
      <c r="C23" s="51" t="n"/>
      <c r="D23" s="30" t="n"/>
      <c r="E23" s="30" t="n"/>
      <c r="F23" s="30" t="n"/>
      <c r="G23" s="51" t="n"/>
      <c r="H23" s="30" t="n"/>
      <c r="I23" s="51" t="n"/>
      <c r="J23" s="35">
        <f>IF(C23="","",D23-E23-F23-H23)</f>
        <v/>
      </c>
      <c r="L23" s="32" t="inlineStr">
        <is>
          <t>PERSONNE</t>
        </is>
      </c>
      <c r="M23" s="32" t="inlineStr">
        <is>
          <t>MONTANT</t>
        </is>
      </c>
    </row>
    <row r="24" ht="16" customHeight="1">
      <c r="B24" s="51" t="n"/>
      <c r="C24" s="51" t="n"/>
      <c r="D24" s="30" t="n"/>
      <c r="E24" s="30" t="n"/>
      <c r="F24" s="30" t="n"/>
      <c r="G24" s="51" t="n"/>
      <c r="H24" s="30" t="n"/>
      <c r="I24" s="51" t="n"/>
      <c r="J24" s="35">
        <f>IF(C24="","",D24-E24-F24-H24)</f>
        <v/>
      </c>
      <c r="L24" s="52" t="inlineStr">
        <is>
          <t>HOUSSEIN</t>
        </is>
      </c>
      <c r="M24" s="30" t="n"/>
    </row>
    <row r="25" ht="16" customHeight="1">
      <c r="B25" s="51" t="n"/>
      <c r="C25" s="51" t="n"/>
      <c r="D25" s="30" t="n"/>
      <c r="E25" s="30" t="n"/>
      <c r="F25" s="30" t="n"/>
      <c r="G25" s="51" t="n"/>
      <c r="H25" s="30" t="n"/>
      <c r="I25" s="51" t="n"/>
      <c r="J25" s="35">
        <f>IF(C25="","",D25-E25-F25-H25)</f>
        <v/>
      </c>
      <c r="L25" s="53" t="inlineStr">
        <is>
          <t>AYOUB</t>
        </is>
      </c>
      <c r="M25" s="30" t="n"/>
    </row>
    <row r="26" ht="16" customHeight="1">
      <c r="B26" s="51" t="n"/>
      <c r="C26" s="51" t="n"/>
      <c r="D26" s="30" t="n"/>
      <c r="E26" s="30" t="n"/>
      <c r="F26" s="30" t="n"/>
      <c r="G26" s="51" t="n"/>
      <c r="H26" s="30" t="n"/>
      <c r="I26" s="51" t="n"/>
      <c r="J26" s="35">
        <f>IF(C26="","",D26-E26-F26-H26)</f>
        <v/>
      </c>
      <c r="L26" s="52" t="inlineStr">
        <is>
          <t>OUVRIER 1</t>
        </is>
      </c>
      <c r="M26" s="30" t="n"/>
    </row>
    <row r="27" ht="16" customHeight="1">
      <c r="B27" s="51" t="n"/>
      <c r="C27" s="51" t="n"/>
      <c r="D27" s="30" t="n"/>
      <c r="E27" s="30" t="n"/>
      <c r="F27" s="30" t="n"/>
      <c r="G27" s="51" t="n"/>
      <c r="H27" s="30" t="n"/>
      <c r="I27" s="51" t="n"/>
      <c r="J27" s="35">
        <f>IF(C27="","",D27-E27-F27-H27)</f>
        <v/>
      </c>
      <c r="L27" s="53" t="inlineStr">
        <is>
          <t>OUVRIER 2</t>
        </is>
      </c>
      <c r="M27" s="30" t="n"/>
    </row>
    <row r="28" ht="16" customHeight="1">
      <c r="B28" s="41" t="inlineStr">
        <is>
          <t>TOTAL DES ACHATS DU JOUR</t>
        </is>
      </c>
      <c r="C28" s="42" t="n"/>
      <c r="D28" s="43">
        <f>SUM(D8:D27)</f>
        <v/>
      </c>
      <c r="E28" s="43">
        <f>SUM(E8:E27)</f>
        <v/>
      </c>
      <c r="F28" s="43">
        <f>SUM(F8:F27)</f>
        <v/>
      </c>
      <c r="G28" s="55" t="n"/>
      <c r="H28" s="43">
        <f>SUM(H8:H27)</f>
        <v/>
      </c>
      <c r="I28" s="55" t="n"/>
      <c r="J28" s="43">
        <f>SUM(J8:J27)</f>
        <v/>
      </c>
      <c r="L28" s="52" t="inlineStr">
        <is>
          <t>AVANCE / PRIME</t>
        </is>
      </c>
      <c r="M28" s="30" t="n"/>
    </row>
    <row r="29" ht="16" customHeight="1">
      <c r="L29" s="53" t="inlineStr">
        <is>
          <t>AUTRE SALAIRE</t>
        </is>
      </c>
      <c r="M29" s="30" t="n"/>
    </row>
    <row r="30" ht="20" customHeight="1">
      <c r="B30" s="56" t="inlineStr">
        <is>
          <t>RÈGLEMENT DES ACHATS</t>
        </is>
      </c>
      <c r="F30" s="57" t="inlineStr">
        <is>
          <t>ENCAISSEMENTS DU JOUR</t>
        </is>
      </c>
      <c r="L30" s="54" t="inlineStr">
        <is>
          <t>TOTAL</t>
        </is>
      </c>
      <c r="M30" s="43">
        <f>SUM(M24:M29)</f>
        <v/>
      </c>
    </row>
    <row r="31" ht="28" customHeight="1">
      <c r="B31" s="52" t="inlineStr">
        <is>
          <t>Réglé en espèce</t>
        </is>
      </c>
      <c r="C31" s="26" t="n"/>
      <c r="D31" s="35">
        <f>E28</f>
        <v/>
      </c>
      <c r="F31" s="32" t="inlineStr">
        <is>
          <t>CLIENT / ORIGINE</t>
        </is>
      </c>
      <c r="G31" s="58" t="n"/>
      <c r="H31" s="32" t="inlineStr">
        <is>
          <t>ESPÈCE</t>
        </is>
      </c>
      <c r="I31" s="32" t="inlineStr">
        <is>
          <t>CHÈQUE / VIREMENT</t>
        </is>
      </c>
      <c r="J31" s="32" t="inlineStr">
        <is>
          <t>TOTAL</t>
        </is>
      </c>
    </row>
    <row r="32" ht="23" customHeight="1">
      <c r="B32" s="52" t="inlineStr">
        <is>
          <t>Réglé par chèque</t>
        </is>
      </c>
      <c r="C32" s="26" t="n"/>
      <c r="D32" s="35">
        <f>F28</f>
        <v/>
      </c>
      <c r="F32" s="51" t="n"/>
      <c r="G32" s="59" t="n"/>
      <c r="H32" s="30" t="n"/>
      <c r="I32" s="30" t="n"/>
      <c r="J32" s="35">
        <f>IF(F32="","",H32+I32)</f>
        <v/>
      </c>
      <c r="L32" s="21" t="inlineStr">
        <is>
          <t>DÉPENSES TRAVAUX ET DIVERS</t>
        </is>
      </c>
    </row>
    <row r="33" ht="22" customHeight="1">
      <c r="B33" s="52" t="inlineStr">
        <is>
          <t>Réglé par effet</t>
        </is>
      </c>
      <c r="C33" s="26" t="n"/>
      <c r="D33" s="35">
        <f>H28</f>
        <v/>
      </c>
      <c r="F33" s="51" t="n"/>
      <c r="G33" s="59" t="n"/>
      <c r="H33" s="30" t="n"/>
      <c r="I33" s="30" t="n"/>
      <c r="J33" s="35">
        <f>IF(F33="","",H33+I33)</f>
        <v/>
      </c>
      <c r="L33" s="32" t="inlineStr">
        <is>
          <t>DÉSIGNATION</t>
        </is>
      </c>
      <c r="M33" s="32" t="inlineStr">
        <is>
          <t>MONTANT</t>
        </is>
      </c>
    </row>
    <row r="34" ht="16" customHeight="1">
      <c r="B34" s="25" t="inlineStr">
        <is>
          <t>TOTAL RÉGLÉ</t>
        </is>
      </c>
      <c r="C34" s="26" t="n"/>
      <c r="D34" s="60">
        <f>E28+F28+H28</f>
        <v/>
      </c>
      <c r="F34" s="51" t="n"/>
      <c r="G34" s="59" t="n"/>
      <c r="H34" s="30" t="n"/>
      <c r="I34" s="30" t="n"/>
      <c r="J34" s="35">
        <f>IF(F34="","",H34+I34)</f>
        <v/>
      </c>
      <c r="L34" s="51" t="n"/>
      <c r="M34" s="30" t="n"/>
    </row>
    <row r="35" ht="16" customHeight="1">
      <c r="B35" s="61" t="inlineStr">
        <is>
          <t>RESTE DÛ  (crédit fournisseur)</t>
        </is>
      </c>
      <c r="C35" s="26" t="n"/>
      <c r="D35" s="62">
        <f>J28</f>
        <v/>
      </c>
      <c r="F35" s="51" t="n"/>
      <c r="G35" s="59" t="n"/>
      <c r="H35" s="30" t="n"/>
      <c r="I35" s="30" t="n"/>
      <c r="J35" s="35">
        <f>IF(F35="","",H35+I35)</f>
        <v/>
      </c>
      <c r="L35" s="51" t="n"/>
      <c r="M35" s="30" t="n"/>
    </row>
    <row r="36" ht="16" customHeight="1">
      <c r="F36" s="51" t="n"/>
      <c r="G36" s="59" t="n"/>
      <c r="H36" s="30" t="n"/>
      <c r="I36" s="30" t="n"/>
      <c r="J36" s="35">
        <f>IF(F36="","",H36+I36)</f>
        <v/>
      </c>
      <c r="L36" s="51" t="n"/>
      <c r="M36" s="30" t="n"/>
    </row>
    <row r="37" ht="16" customHeight="1">
      <c r="B37" s="63" t="inlineStr">
        <is>
          <t>OBSERVATIONS DU JOUR</t>
        </is>
      </c>
      <c r="F37" s="51" t="n"/>
      <c r="G37" s="59" t="n"/>
      <c r="H37" s="30" t="n"/>
      <c r="I37" s="30" t="n"/>
      <c r="J37" s="35">
        <f>IF(F37="","",H37+I37)</f>
        <v/>
      </c>
      <c r="L37" s="51" t="n"/>
      <c r="M37" s="30" t="n"/>
    </row>
    <row r="38" ht="16" customHeight="1">
      <c r="B38" s="64" t="n"/>
      <c r="C38" s="59" t="n"/>
      <c r="D38" s="59" t="n"/>
      <c r="F38" s="51" t="n"/>
      <c r="G38" s="59" t="n"/>
      <c r="H38" s="30" t="n"/>
      <c r="I38" s="30" t="n"/>
      <c r="J38" s="35">
        <f>IF(F38="","",H38+I38)</f>
        <v/>
      </c>
      <c r="L38" s="51" t="n"/>
      <c r="M38" s="30" t="n"/>
    </row>
    <row r="39" ht="16" customHeight="1">
      <c r="B39" s="59" t="n"/>
      <c r="C39" s="59" t="n"/>
      <c r="D39" s="59" t="n"/>
      <c r="F39" s="51" t="n"/>
      <c r="G39" s="59" t="n"/>
      <c r="H39" s="30" t="n"/>
      <c r="I39" s="30" t="n"/>
      <c r="J39" s="35">
        <f>IF(F39="","",H39+I39)</f>
        <v/>
      </c>
      <c r="L39" s="51" t="n"/>
      <c r="M39" s="30" t="n"/>
    </row>
    <row r="40" ht="16" customHeight="1">
      <c r="B40" s="59" t="n"/>
      <c r="C40" s="59" t="n"/>
      <c r="D40" s="59" t="n"/>
      <c r="F40" s="51" t="n"/>
      <c r="G40" s="59" t="n"/>
      <c r="H40" s="30" t="n"/>
      <c r="I40" s="30" t="n"/>
      <c r="J40" s="35">
        <f>IF(F40="","",H40+I40)</f>
        <v/>
      </c>
      <c r="L40" s="51" t="n"/>
      <c r="M40" s="30" t="n"/>
    </row>
    <row r="41" ht="16" customHeight="1">
      <c r="B41" s="59" t="n"/>
      <c r="C41" s="59" t="n"/>
      <c r="D41" s="59" t="n"/>
      <c r="F41" s="51" t="n"/>
      <c r="G41" s="59" t="n"/>
      <c r="H41" s="30" t="n"/>
      <c r="I41" s="30" t="n"/>
      <c r="J41" s="35">
        <f>IF(F41="","",H41+I41)</f>
        <v/>
      </c>
      <c r="L41" s="51" t="n"/>
      <c r="M41" s="30" t="n"/>
    </row>
    <row r="42" ht="16" customHeight="1">
      <c r="B42" s="59" t="n"/>
      <c r="C42" s="59" t="n"/>
      <c r="D42" s="59" t="n"/>
      <c r="F42" s="41" t="inlineStr">
        <is>
          <t>TOTAL ENCAISSÉ</t>
        </is>
      </c>
      <c r="G42" s="42" t="n"/>
      <c r="H42" s="43">
        <f>SUM(H32:H41)</f>
        <v/>
      </c>
      <c r="I42" s="43">
        <f>SUM(I32:I41)</f>
        <v/>
      </c>
      <c r="J42" s="43">
        <f>SUM(J32:J41)</f>
        <v/>
      </c>
      <c r="L42" s="51" t="n"/>
      <c r="M42" s="30" t="n"/>
    </row>
    <row r="43" ht="16" customHeight="1">
      <c r="B43" s="59" t="n"/>
      <c r="C43" s="59" t="n"/>
      <c r="D43" s="59" t="n"/>
      <c r="L43" s="51" t="n"/>
      <c r="M43" s="30" t="n"/>
    </row>
    <row r="44" ht="20" customHeight="1">
      <c r="B44" s="59" t="n"/>
      <c r="C44" s="59" t="n"/>
      <c r="D44" s="59" t="n"/>
      <c r="L44" s="54" t="inlineStr">
        <is>
          <t>TOTAL</t>
        </is>
      </c>
      <c r="M44" s="43">
        <f>SUM(M34:M43)</f>
        <v/>
      </c>
    </row>
    <row r="46" ht="23" customHeight="1">
      <c r="B46" s="65" t="inlineStr">
        <is>
          <t>LES CAISSES ET LE RÉSUMÉ DU SOIR</t>
        </is>
      </c>
    </row>
    <row r="47" ht="22" customHeight="1">
      <c r="B47" s="66" t="inlineStr">
        <is>
          <t>CAISSE PARADISE</t>
        </is>
      </c>
      <c r="E47" s="66" t="inlineStr">
        <is>
          <t>CAISSE ZENATA</t>
        </is>
      </c>
      <c r="H47" s="66" t="inlineStr">
        <is>
          <t>CONTRÔLE ET AUTRE CAISSE</t>
        </is>
      </c>
      <c r="L47" s="67" t="inlineStr">
        <is>
          <t>RÉSUMÉ DU JOUR</t>
        </is>
      </c>
    </row>
    <row r="48" ht="17" customHeight="1">
      <c r="B48" s="68" t="inlineStr">
        <is>
          <t>Solde de la veille</t>
        </is>
      </c>
      <c r="C48" s="26" t="n"/>
      <c r="D48" s="35">
        <f>'30'!$D$56</f>
        <v/>
      </c>
      <c r="E48" s="68" t="inlineStr">
        <is>
          <t>Solde de la veille</t>
        </is>
      </c>
      <c r="F48" s="26" t="n"/>
      <c r="G48" s="35">
        <f>'30'!$G$56</f>
        <v/>
      </c>
      <c r="H48" s="68" t="inlineStr">
        <is>
          <t>Caisse PARADISE du soir</t>
        </is>
      </c>
      <c r="I48" s="26" t="n"/>
      <c r="J48" s="35">
        <f>D56</f>
        <v/>
      </c>
      <c r="L48" s="68" t="inlineStr">
        <is>
          <t>Achats fournisseurs du jour</t>
        </is>
      </c>
      <c r="M48" s="35">
        <f>D28</f>
        <v/>
      </c>
    </row>
    <row r="49" ht="17" customHeight="1">
      <c r="B49" s="68" t="inlineStr">
        <is>
          <t>+  Encaissements en espèce</t>
        </is>
      </c>
      <c r="C49" s="26" t="n"/>
      <c r="D49" s="35">
        <f>H42</f>
        <v/>
      </c>
      <c r="E49" s="68" t="inlineStr">
        <is>
          <t>+  Encaissements du jour</t>
        </is>
      </c>
      <c r="F49" s="26" t="n"/>
      <c r="G49" s="30" t="n"/>
      <c r="H49" s="68" t="inlineStr">
        <is>
          <t>Caisse ZENATA du soir</t>
        </is>
      </c>
      <c r="I49" s="26" t="n"/>
      <c r="J49" s="35">
        <f>G56</f>
        <v/>
      </c>
      <c r="L49" s="68" t="inlineStr">
        <is>
          <t>dont réglé en espèce</t>
        </is>
      </c>
      <c r="M49" s="35">
        <f>E28</f>
        <v/>
      </c>
    </row>
    <row r="50" ht="17" customHeight="1">
      <c r="B50" s="68" t="inlineStr">
        <is>
          <t>+  Apports et entrées divers</t>
        </is>
      </c>
      <c r="C50" s="26" t="n"/>
      <c r="D50" s="30" t="n"/>
      <c r="E50" s="68" t="inlineStr">
        <is>
          <t>+  Apports et entrées divers</t>
        </is>
      </c>
      <c r="F50" s="26" t="n"/>
      <c r="G50" s="30" t="n"/>
      <c r="H50" s="69" t="inlineStr">
        <is>
          <t>CAISSE TOTALE DU SOIR</t>
        </is>
      </c>
      <c r="I50" s="70" t="n"/>
      <c r="J50" s="71">
        <f>D56+G56</f>
        <v/>
      </c>
      <c r="L50" s="68" t="inlineStr">
        <is>
          <t>dont réglé par chèque</t>
        </is>
      </c>
      <c r="M50" s="35">
        <f>F28</f>
        <v/>
      </c>
    </row>
    <row r="51" ht="17" customHeight="1">
      <c r="B51" s="68" t="inlineStr">
        <is>
          <t>–  Achats réglés en espèce</t>
        </is>
      </c>
      <c r="C51" s="26" t="n"/>
      <c r="D51" s="35">
        <f>E28</f>
        <v/>
      </c>
      <c r="E51" s="68" t="inlineStr">
        <is>
          <t>–  Achats réglés en espèce</t>
        </is>
      </c>
      <c r="F51" s="26" t="n"/>
      <c r="G51" s="30" t="n"/>
      <c r="H51" s="68" t="inlineStr">
        <is>
          <t>Écart total constaté</t>
        </is>
      </c>
      <c r="I51" s="26" t="n"/>
      <c r="J51" s="35">
        <f>D58+G58</f>
        <v/>
      </c>
      <c r="L51" s="68" t="inlineStr">
        <is>
          <t>dont réglé par effet</t>
        </is>
      </c>
      <c r="M51" s="35">
        <f>H28</f>
        <v/>
      </c>
    </row>
    <row r="52" ht="17" customHeight="1">
      <c r="B52" s="68" t="inlineStr">
        <is>
          <t>–  Charges fixes du jour</t>
        </is>
      </c>
      <c r="C52" s="26" t="n"/>
      <c r="D52" s="35">
        <f>M20</f>
        <v/>
      </c>
      <c r="E52" s="68" t="inlineStr">
        <is>
          <t>–  Charges et frais du jour</t>
        </is>
      </c>
      <c r="F52" s="26" t="n"/>
      <c r="G52" s="30" t="n"/>
      <c r="H52" s="72" t="n"/>
      <c r="I52" s="72" t="n"/>
      <c r="J52" s="72" t="n"/>
      <c r="L52" s="73" t="inlineStr">
        <is>
          <t>RESTE DÛ  (crédit fournisseur)</t>
        </is>
      </c>
      <c r="M52" s="74">
        <f>J28</f>
        <v/>
      </c>
    </row>
    <row r="53" ht="17" customHeight="1">
      <c r="B53" s="68" t="inlineStr">
        <is>
          <t>–  Salaires et avances</t>
        </is>
      </c>
      <c r="C53" s="26" t="n"/>
      <c r="D53" s="35">
        <f>M30</f>
        <v/>
      </c>
      <c r="E53" s="68" t="inlineStr">
        <is>
          <t>–  Salaires et avances</t>
        </is>
      </c>
      <c r="F53" s="26" t="n"/>
      <c r="G53" s="30" t="n"/>
      <c r="H53" s="68" t="inlineStr">
        <is>
          <t>AUTRE CAISSE — solde précédent</t>
        </is>
      </c>
      <c r="I53" s="26" t="n"/>
      <c r="J53" s="35">
        <f>'30'!$J$56</f>
        <v/>
      </c>
      <c r="L53" s="68" t="inlineStr">
        <is>
          <t>Charges fixes</t>
        </is>
      </c>
      <c r="M53" s="35">
        <f>M20</f>
        <v/>
      </c>
    </row>
    <row r="54" ht="17" customHeight="1">
      <c r="B54" s="68" t="inlineStr">
        <is>
          <t>–  Dépenses travaux et divers</t>
        </is>
      </c>
      <c r="C54" s="26" t="n"/>
      <c r="D54" s="35">
        <f>M44</f>
        <v/>
      </c>
      <c r="E54" s="68" t="inlineStr">
        <is>
          <t>–  Dépenses travaux et divers</t>
        </is>
      </c>
      <c r="F54" s="26" t="n"/>
      <c r="G54" s="30" t="n"/>
      <c r="H54" s="68" t="inlineStr">
        <is>
          <t>+  Entrées du jour</t>
        </is>
      </c>
      <c r="I54" s="26" t="n"/>
      <c r="J54" s="30" t="n"/>
      <c r="L54" s="68" t="inlineStr">
        <is>
          <t>Salaires et avances</t>
        </is>
      </c>
      <c r="M54" s="35">
        <f>M30</f>
        <v/>
      </c>
    </row>
    <row r="55" ht="17" customHeight="1">
      <c r="B55" s="68" t="inlineStr">
        <is>
          <t>–  Versement banque / sorties</t>
        </is>
      </c>
      <c r="C55" s="26" t="n"/>
      <c r="D55" s="30" t="n"/>
      <c r="E55" s="68" t="inlineStr">
        <is>
          <t>–  Versement banque / sorties</t>
        </is>
      </c>
      <c r="F55" s="26" t="n"/>
      <c r="G55" s="30" t="n"/>
      <c r="H55" s="68" t="inlineStr">
        <is>
          <t>–  Sorties du jour</t>
        </is>
      </c>
      <c r="I55" s="26" t="n"/>
      <c r="J55" s="30" t="n"/>
      <c r="L55" s="68" t="inlineStr">
        <is>
          <t>Dépenses travaux et divers</t>
        </is>
      </c>
      <c r="M55" s="35">
        <f>M44</f>
        <v/>
      </c>
    </row>
    <row r="56" ht="17" customHeight="1">
      <c r="B56" s="69" t="inlineStr">
        <is>
          <t>SOLDE DU SOIR</t>
        </is>
      </c>
      <c r="C56" s="70" t="n"/>
      <c r="D56" s="71">
        <f>D48+D49+D50-D51-D52-D53-D54-D55</f>
        <v/>
      </c>
      <c r="E56" s="69" t="inlineStr">
        <is>
          <t>SOLDE DU SOIR</t>
        </is>
      </c>
      <c r="F56" s="70" t="n"/>
      <c r="G56" s="71">
        <f>G48+G49+G50-G51-G52-G53-G54-G55</f>
        <v/>
      </c>
      <c r="H56" s="69" t="inlineStr">
        <is>
          <t>NOUVEAU SOLDE</t>
        </is>
      </c>
      <c r="I56" s="70" t="n"/>
      <c r="J56" s="71">
        <f>J53+J54-J55</f>
        <v/>
      </c>
      <c r="L56" s="69" t="inlineStr">
        <is>
          <t>TOTAL DES SORTIES DU JOUR</t>
        </is>
      </c>
      <c r="M56" s="71">
        <f>M49+M50+M51+M53+M54+M55</f>
        <v/>
      </c>
    </row>
    <row r="57" ht="17" customHeight="1">
      <c r="B57" s="68" t="inlineStr">
        <is>
          <t>Espèces réellement comptées</t>
        </is>
      </c>
      <c r="C57" s="26" t="n"/>
      <c r="D57" s="30" t="n"/>
      <c r="E57" s="68" t="inlineStr">
        <is>
          <t>Espèces réellement comptées</t>
        </is>
      </c>
      <c r="F57" s="26" t="n"/>
      <c r="G57" s="30" t="n"/>
      <c r="H57" s="72" t="n"/>
      <c r="I57" s="72" t="n"/>
      <c r="J57" s="72" t="n"/>
      <c r="L57" s="68" t="inlineStr">
        <is>
          <t>Encaissements du jour</t>
        </is>
      </c>
      <c r="M57" s="75">
        <f>J42</f>
        <v/>
      </c>
    </row>
    <row r="58" ht="17" customHeight="1">
      <c r="B58" s="68" t="inlineStr">
        <is>
          <t>ÉCART  (compté – théorique)</t>
        </is>
      </c>
      <c r="C58" s="26" t="n"/>
      <c r="D58" s="74">
        <f>IF(D57=0,0,D57-D56)</f>
        <v/>
      </c>
      <c r="E58" s="68" t="inlineStr">
        <is>
          <t>ÉCART  (compté – théorique)</t>
        </is>
      </c>
      <c r="F58" s="26" t="n"/>
      <c r="G58" s="74">
        <f>IF(G57=0,0,G57-G56)</f>
        <v/>
      </c>
      <c r="H58" s="72" t="n"/>
      <c r="I58" s="72" t="n"/>
      <c r="J58" s="72" t="n"/>
      <c r="L58" s="69" t="inlineStr">
        <is>
          <t>CAISSE TOTALE DU SOIR</t>
        </is>
      </c>
      <c r="M58" s="71">
        <f>D56+G56</f>
        <v/>
      </c>
    </row>
  </sheetData>
  <mergeCells count="66">
    <mergeCell ref="E50:F50"/>
    <mergeCell ref="H53:I53"/>
    <mergeCell ref="B54:C54"/>
    <mergeCell ref="E55:F55"/>
    <mergeCell ref="L32:M32"/>
    <mergeCell ref="H54:I54"/>
    <mergeCell ref="F34:G34"/>
    <mergeCell ref="E52:F52"/>
    <mergeCell ref="B31:C31"/>
    <mergeCell ref="H50:I50"/>
    <mergeCell ref="B56:C56"/>
    <mergeCell ref="F40:G40"/>
    <mergeCell ref="L47:M47"/>
    <mergeCell ref="E48:F48"/>
    <mergeCell ref="H55:I55"/>
    <mergeCell ref="B58:C58"/>
    <mergeCell ref="H56:I56"/>
    <mergeCell ref="F30:J30"/>
    <mergeCell ref="B52:C52"/>
    <mergeCell ref="B48:C48"/>
    <mergeCell ref="B37:D37"/>
    <mergeCell ref="E51:F51"/>
    <mergeCell ref="F33:G33"/>
    <mergeCell ref="H47:J47"/>
    <mergeCell ref="H49:I49"/>
    <mergeCell ref="H51:I51"/>
    <mergeCell ref="F36:G36"/>
    <mergeCell ref="B30:D30"/>
    <mergeCell ref="F32:G32"/>
    <mergeCell ref="F42:G42"/>
    <mergeCell ref="B57:C57"/>
    <mergeCell ref="F41:G41"/>
    <mergeCell ref="B6:J6"/>
    <mergeCell ref="B38:D44"/>
    <mergeCell ref="H1:N1"/>
    <mergeCell ref="F35:G35"/>
    <mergeCell ref="B53:C53"/>
    <mergeCell ref="A1:G1"/>
    <mergeCell ref="F38:G38"/>
    <mergeCell ref="E58:F58"/>
    <mergeCell ref="B34:C34"/>
    <mergeCell ref="E49:F49"/>
    <mergeCell ref="B28:C28"/>
    <mergeCell ref="E47:G47"/>
    <mergeCell ref="F31:G31"/>
    <mergeCell ref="B49:C49"/>
    <mergeCell ref="L22:M22"/>
    <mergeCell ref="B47:D47"/>
    <mergeCell ref="E57:F57"/>
    <mergeCell ref="B55:C55"/>
    <mergeCell ref="F37:G37"/>
    <mergeCell ref="F39:G39"/>
    <mergeCell ref="E54:F54"/>
    <mergeCell ref="B33:C33"/>
    <mergeCell ref="L6:M6"/>
    <mergeCell ref="A4:N4"/>
    <mergeCell ref="H48:I48"/>
    <mergeCell ref="B51:C51"/>
    <mergeCell ref="H2:N2"/>
    <mergeCell ref="B46:M46"/>
    <mergeCell ref="A2:G2"/>
    <mergeCell ref="B32:C32"/>
    <mergeCell ref="B50:C50"/>
    <mergeCell ref="E53:F53"/>
    <mergeCell ref="E56:F56"/>
    <mergeCell ref="B35:C35"/>
  </mergeCells>
  <conditionalFormatting sqref="J8:J27">
    <cfRule type="cellIs" priority="1" operator="greaterThan" dxfId="1">
      <formula>0</formula>
    </cfRule>
  </conditionalFormatting>
  <conditionalFormatting sqref="D58">
    <cfRule type="cellIs" priority="2" operator="notEqual" dxfId="4">
      <formula>0</formula>
    </cfRule>
  </conditionalFormatting>
  <conditionalFormatting sqref="G58">
    <cfRule type="cellIs" priority="3" operator="notEqual" dxfId="4">
      <formula>0</formula>
    </cfRule>
  </conditionalFormatting>
  <conditionalFormatting sqref="D56">
    <cfRule type="cellIs" priority="4" operator="lessThan" dxfId="5">
      <formula>0</formula>
    </cfRule>
  </conditionalFormatting>
  <conditionalFormatting sqref="G56">
    <cfRule type="cellIs" priority="5" operator="lessThan" dxfId="5">
      <formula>0</formula>
    </cfRule>
  </conditionalFormatting>
  <conditionalFormatting sqref="J50">
    <cfRule type="cellIs" priority="6" operator="lessThan" dxfId="5">
      <formula>0</formula>
    </cfRule>
  </conditionalFormatting>
  <dataValidations count="2">
    <dataValidation sqref="C8:C27" showDropDown="0" showInputMessage="0" showErrorMessage="0" allowBlank="1" errorTitle="Fournisseur inconnu" error="Choisissez un fournisseur de la liste, ou ajoutez-le dans LISTES." type="list">
      <formula1>=LISTES!$A$2:$A$21</formula1>
    </dataValidation>
    <dataValidation sqref="F32:F41" showDropDown="0" showInputMessage="0" showErrorMessage="0" allowBlank="1" type="list">
      <formula1>=LISTES!$E$2:$E$7</formula1>
    </dataValidation>
  </dataValidations>
  <printOptions horizontalCentered="1"/>
  <pageMargins left="0.75" right="0.75" top="1" bottom="1" header="0.5" footer="0.5"/>
  <pageSetup orientation="landscape" fitToHeight="1" fitToWidth="1"/>
</worksheet>
</file>

<file path=xl/worksheets/sheet34.xml><?xml version="1.0" encoding="utf-8"?>
<worksheet xmlns="http://schemas.openxmlformats.org/spreadsheetml/2006/main">
  <sheetPr>
    <tabColor rgb="003B5C8F"/>
    <outlinePr summaryBelow="1" summaryRight="1"/>
    <pageSetUpPr fitToPage="1"/>
  </sheetPr>
  <dimension ref="A1:M32"/>
  <sheetViews>
    <sheetView showGridLines="0" zoomScale="9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6" customWidth="1" min="1" max="1"/>
    <col width="30" customWidth="1" min="2" max="2"/>
    <col width="16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3" customWidth="1" min="9" max="9"/>
    <col hidden="1" width="2.6" customWidth="1" min="10" max="10"/>
    <col hidden="1" width="13" customWidth="1" min="12" max="12"/>
    <col hidden="1" width="13" customWidth="1" min="13" max="13"/>
  </cols>
  <sheetData>
    <row r="1" ht="38" customHeight="1">
      <c r="A1" s="23" t="inlineStr">
        <is>
          <t>FOURNISSEURS DU MOIS</t>
        </is>
      </c>
    </row>
    <row r="2" ht="18" customHeight="1">
      <c r="A2" s="24" t="inlineStr">
        <is>
          <t>Ce que nous leur avons acheté, ce que nous leur avons réglé, et ce que nous leur devons encore</t>
        </is>
      </c>
    </row>
    <row r="4" ht="23" customHeight="1">
      <c r="B4" s="21" t="inlineStr">
        <is>
          <t>ACHATS ET RÈGLEMENTS PAR FOURNISSEUR</t>
        </is>
      </c>
    </row>
    <row r="5" ht="32" customHeight="1">
      <c r="B5" s="32" t="inlineStr">
        <is>
          <t>FOURNISSEUR</t>
        </is>
      </c>
      <c r="C5" s="32" t="inlineStr">
        <is>
          <t>ACHATS DU MOIS</t>
        </is>
      </c>
      <c r="D5" s="32" t="inlineStr">
        <is>
          <t>RÉGLÉ EN
ESPÈCE</t>
        </is>
      </c>
      <c r="E5" s="32" t="inlineStr">
        <is>
          <t>RÉGLÉ PAR
CHÈQUE</t>
        </is>
      </c>
      <c r="F5" s="32" t="inlineStr">
        <is>
          <t>RÉGLÉ PAR
EFFET</t>
        </is>
      </c>
      <c r="G5" s="32" t="inlineStr">
        <is>
          <t>TOTAL RÉGLÉ</t>
        </is>
      </c>
      <c r="H5" s="32" t="inlineStr">
        <is>
          <t>RESTE DÛ</t>
        </is>
      </c>
      <c r="I5" s="32" t="inlineStr">
        <is>
          <t>PART DES
ACHATS</t>
        </is>
      </c>
      <c r="L5" t="inlineStr">
        <is>
          <t>Fournisseur</t>
        </is>
      </c>
      <c r="M5" t="inlineStr">
        <is>
          <t>Achats du mois</t>
        </is>
      </c>
    </row>
    <row r="6" ht="17" customHeight="1">
      <c r="B6" s="25" t="inlineStr">
        <is>
          <t>ALUMINIUM ELMARWA</t>
        </is>
      </c>
      <c r="C6" s="39">
        <f>SUMIF('01'!$C$8:$C$27,$B6,'01'!$D$8:$D$27)+SUMIF('02'!$C$8:$C$27,$B6,'02'!$D$8:$D$27)+SUMIF('03'!$C$8:$C$27,$B6,'03'!$D$8:$D$27)+SUMIF('04'!$C$8:$C$27,$B6,'04'!$D$8:$D$27)+SUMIF('05'!$C$8:$C$27,$B6,'05'!$D$8:$D$27)+SUMIF('06'!$C$8:$C$27,$B6,'06'!$D$8:$D$27)+SUMIF('07'!$C$8:$C$27,$B6,'07'!$D$8:$D$27)+SUMIF('08'!$C$8:$C$27,$B6,'08'!$D$8:$D$27)+SUMIF('09'!$C$8:$C$27,$B6,'09'!$D$8:$D$27)+SUMIF('10'!$C$8:$C$27,$B6,'10'!$D$8:$D$27)+SUMIF('11'!$C$8:$C$27,$B6,'11'!$D$8:$D$27)+SUMIF('12'!$C$8:$C$27,$B6,'12'!$D$8:$D$27)+SUMIF('13'!$C$8:$C$27,$B6,'13'!$D$8:$D$27)+SUMIF('14'!$C$8:$C$27,$B6,'14'!$D$8:$D$27)+SUMIF('15'!$C$8:$C$27,$B6,'15'!$D$8:$D$27)+SUMIF('16'!$C$8:$C$27,$B6,'16'!$D$8:$D$27)+SUMIF('17'!$C$8:$C$27,$B6,'17'!$D$8:$D$27)+SUMIF('18'!$C$8:$C$27,$B6,'18'!$D$8:$D$27)+SUMIF('19'!$C$8:$C$27,$B6,'19'!$D$8:$D$27)+SUMIF('20'!$C$8:$C$27,$B6,'20'!$D$8:$D$27)+SUMIF('21'!$C$8:$C$27,$B6,'21'!$D$8:$D$27)+SUMIF('22'!$C$8:$C$27,$B6,'22'!$D$8:$D$27)+SUMIF('23'!$C$8:$C$27,$B6,'23'!$D$8:$D$27)+SUMIF('24'!$C$8:$C$27,$B6,'24'!$D$8:$D$27)+SUMIF('25'!$C$8:$C$27,$B6,'25'!$D$8:$D$27)+SUMIF('26'!$C$8:$C$27,$B6,'26'!$D$8:$D$27)+SUMIF('27'!$C$8:$C$27,$B6,'27'!$D$8:$D$27)+SUMIF('28'!$C$8:$C$27,$B6,'28'!$D$8:$D$27)+SUMIF('29'!$C$8:$C$27,$B6,'29'!$D$8:$D$27)+SUMIF('30'!$C$8:$C$27,$B6,'30'!$D$8:$D$27)+SUMIF('31'!$C$8:$C$27,$B6,'31'!$D$8:$D$27)</f>
        <v/>
      </c>
      <c r="D6" s="39">
        <f>SUMIF('01'!$C$8:$C$27,$B6,'01'!$E$8:$E$27)+SUMIF('02'!$C$8:$C$27,$B6,'02'!$E$8:$E$27)+SUMIF('03'!$C$8:$C$27,$B6,'03'!$E$8:$E$27)+SUMIF('04'!$C$8:$C$27,$B6,'04'!$E$8:$E$27)+SUMIF('05'!$C$8:$C$27,$B6,'05'!$E$8:$E$27)+SUMIF('06'!$C$8:$C$27,$B6,'06'!$E$8:$E$27)+SUMIF('07'!$C$8:$C$27,$B6,'07'!$E$8:$E$27)+SUMIF('08'!$C$8:$C$27,$B6,'08'!$E$8:$E$27)+SUMIF('09'!$C$8:$C$27,$B6,'09'!$E$8:$E$27)+SUMIF('10'!$C$8:$C$27,$B6,'10'!$E$8:$E$27)+SUMIF('11'!$C$8:$C$27,$B6,'11'!$E$8:$E$27)+SUMIF('12'!$C$8:$C$27,$B6,'12'!$E$8:$E$27)+SUMIF('13'!$C$8:$C$27,$B6,'13'!$E$8:$E$27)+SUMIF('14'!$C$8:$C$27,$B6,'14'!$E$8:$E$27)+SUMIF('15'!$C$8:$C$27,$B6,'15'!$E$8:$E$27)+SUMIF('16'!$C$8:$C$27,$B6,'16'!$E$8:$E$27)+SUMIF('17'!$C$8:$C$27,$B6,'17'!$E$8:$E$27)+SUMIF('18'!$C$8:$C$27,$B6,'18'!$E$8:$E$27)+SUMIF('19'!$C$8:$C$27,$B6,'19'!$E$8:$E$27)+SUMIF('20'!$C$8:$C$27,$B6,'20'!$E$8:$E$27)+SUMIF('21'!$C$8:$C$27,$B6,'21'!$E$8:$E$27)+SUMIF('22'!$C$8:$C$27,$B6,'22'!$E$8:$E$27)+SUMIF('23'!$C$8:$C$27,$B6,'23'!$E$8:$E$27)+SUMIF('24'!$C$8:$C$27,$B6,'24'!$E$8:$E$27)+SUMIF('25'!$C$8:$C$27,$B6,'25'!$E$8:$E$27)+SUMIF('26'!$C$8:$C$27,$B6,'26'!$E$8:$E$27)+SUMIF('27'!$C$8:$C$27,$B6,'27'!$E$8:$E$27)+SUMIF('28'!$C$8:$C$27,$B6,'28'!$E$8:$E$27)+SUMIF('29'!$C$8:$C$27,$B6,'29'!$E$8:$E$27)+SUMIF('30'!$C$8:$C$27,$B6,'30'!$E$8:$E$27)+SUMIF('31'!$C$8:$C$27,$B6,'31'!$E$8:$E$27)</f>
        <v/>
      </c>
      <c r="E6" s="39">
        <f>SUMIF('01'!$C$8:$C$27,$B6,'01'!$F$8:$F$27)+SUMIF('02'!$C$8:$C$27,$B6,'02'!$F$8:$F$27)+SUMIF('03'!$C$8:$C$27,$B6,'03'!$F$8:$F$27)+SUMIF('04'!$C$8:$C$27,$B6,'04'!$F$8:$F$27)+SUMIF('05'!$C$8:$C$27,$B6,'05'!$F$8:$F$27)+SUMIF('06'!$C$8:$C$27,$B6,'06'!$F$8:$F$27)+SUMIF('07'!$C$8:$C$27,$B6,'07'!$F$8:$F$27)+SUMIF('08'!$C$8:$C$27,$B6,'08'!$F$8:$F$27)+SUMIF('09'!$C$8:$C$27,$B6,'09'!$F$8:$F$27)+SUMIF('10'!$C$8:$C$27,$B6,'10'!$F$8:$F$27)+SUMIF('11'!$C$8:$C$27,$B6,'11'!$F$8:$F$27)+SUMIF('12'!$C$8:$C$27,$B6,'12'!$F$8:$F$27)+SUMIF('13'!$C$8:$C$27,$B6,'13'!$F$8:$F$27)+SUMIF('14'!$C$8:$C$27,$B6,'14'!$F$8:$F$27)+SUMIF('15'!$C$8:$C$27,$B6,'15'!$F$8:$F$27)+SUMIF('16'!$C$8:$C$27,$B6,'16'!$F$8:$F$27)+SUMIF('17'!$C$8:$C$27,$B6,'17'!$F$8:$F$27)+SUMIF('18'!$C$8:$C$27,$B6,'18'!$F$8:$F$27)+SUMIF('19'!$C$8:$C$27,$B6,'19'!$F$8:$F$27)+SUMIF('20'!$C$8:$C$27,$B6,'20'!$F$8:$F$27)+SUMIF('21'!$C$8:$C$27,$B6,'21'!$F$8:$F$27)+SUMIF('22'!$C$8:$C$27,$B6,'22'!$F$8:$F$27)+SUMIF('23'!$C$8:$C$27,$B6,'23'!$F$8:$F$27)+SUMIF('24'!$C$8:$C$27,$B6,'24'!$F$8:$F$27)+SUMIF('25'!$C$8:$C$27,$B6,'25'!$F$8:$F$27)+SUMIF('26'!$C$8:$C$27,$B6,'26'!$F$8:$F$27)+SUMIF('27'!$C$8:$C$27,$B6,'27'!$F$8:$F$27)+SUMIF('28'!$C$8:$C$27,$B6,'28'!$F$8:$F$27)+SUMIF('29'!$C$8:$C$27,$B6,'29'!$F$8:$F$27)+SUMIF('30'!$C$8:$C$27,$B6,'30'!$F$8:$F$27)+SUMIF('31'!$C$8:$C$27,$B6,'31'!$F$8:$F$27)</f>
        <v/>
      </c>
      <c r="F6" s="39">
        <f>SUMIF('01'!$C$8:$C$27,$B6,'01'!$H$8:$H$27)+SUMIF('02'!$C$8:$C$27,$B6,'02'!$H$8:$H$27)+SUMIF('03'!$C$8:$C$27,$B6,'03'!$H$8:$H$27)+SUMIF('04'!$C$8:$C$27,$B6,'04'!$H$8:$H$27)+SUMIF('05'!$C$8:$C$27,$B6,'05'!$H$8:$H$27)+SUMIF('06'!$C$8:$C$27,$B6,'06'!$H$8:$H$27)+SUMIF('07'!$C$8:$C$27,$B6,'07'!$H$8:$H$27)+SUMIF('08'!$C$8:$C$27,$B6,'08'!$H$8:$H$27)+SUMIF('09'!$C$8:$C$27,$B6,'09'!$H$8:$H$27)+SUMIF('10'!$C$8:$C$27,$B6,'10'!$H$8:$H$27)+SUMIF('11'!$C$8:$C$27,$B6,'11'!$H$8:$H$27)+SUMIF('12'!$C$8:$C$27,$B6,'12'!$H$8:$H$27)+SUMIF('13'!$C$8:$C$27,$B6,'13'!$H$8:$H$27)+SUMIF('14'!$C$8:$C$27,$B6,'14'!$H$8:$H$27)+SUMIF('15'!$C$8:$C$27,$B6,'15'!$H$8:$H$27)+SUMIF('16'!$C$8:$C$27,$B6,'16'!$H$8:$H$27)+SUMIF('17'!$C$8:$C$27,$B6,'17'!$H$8:$H$27)+SUMIF('18'!$C$8:$C$27,$B6,'18'!$H$8:$H$27)+SUMIF('19'!$C$8:$C$27,$B6,'19'!$H$8:$H$27)+SUMIF('20'!$C$8:$C$27,$B6,'20'!$H$8:$H$27)+SUMIF('21'!$C$8:$C$27,$B6,'21'!$H$8:$H$27)+SUMIF('22'!$C$8:$C$27,$B6,'22'!$H$8:$H$27)+SUMIF('23'!$C$8:$C$27,$B6,'23'!$H$8:$H$27)+SUMIF('24'!$C$8:$C$27,$B6,'24'!$H$8:$H$27)+SUMIF('25'!$C$8:$C$27,$B6,'25'!$H$8:$H$27)+SUMIF('26'!$C$8:$C$27,$B6,'26'!$H$8:$H$27)+SUMIF('27'!$C$8:$C$27,$B6,'27'!$H$8:$H$27)+SUMIF('28'!$C$8:$C$27,$B6,'28'!$H$8:$H$27)+SUMIF('29'!$C$8:$C$27,$B6,'29'!$H$8:$H$27)+SUMIF('30'!$C$8:$C$27,$B6,'30'!$H$8:$H$27)+SUMIF('31'!$C$8:$C$27,$B6,'31'!$H$8:$H$27)</f>
        <v/>
      </c>
      <c r="G6" s="76">
        <f>D6+E6+F6</f>
        <v/>
      </c>
      <c r="H6" s="76">
        <f>C6-G6</f>
        <v/>
      </c>
      <c r="I6" s="77">
        <f>IF($C$26=0,0,C6/$C$26)</f>
        <v/>
      </c>
      <c r="J6">
        <f>$C6-ROW()/1000000</f>
        <v/>
      </c>
      <c r="L6">
        <f>INDEX($B$6:$B$25,MATCH(LARGE($J$6:$J$25,10),$J$6:$J$25,0))</f>
        <v/>
      </c>
      <c r="M6">
        <f>INDEX($C$6:$C$25,MATCH(LARGE($J$6:$J$25,10),$J$6:$J$25,0))</f>
        <v/>
      </c>
    </row>
    <row r="7" ht="17" customHeight="1">
      <c r="B7" s="78" t="inlineStr">
        <is>
          <t>FOMALU</t>
        </is>
      </c>
      <c r="C7" s="35">
        <f>SUMIF('01'!$C$8:$C$27,$B7,'01'!$D$8:$D$27)+SUMIF('02'!$C$8:$C$27,$B7,'02'!$D$8:$D$27)+SUMIF('03'!$C$8:$C$27,$B7,'03'!$D$8:$D$27)+SUMIF('04'!$C$8:$C$27,$B7,'04'!$D$8:$D$27)+SUMIF('05'!$C$8:$C$27,$B7,'05'!$D$8:$D$27)+SUMIF('06'!$C$8:$C$27,$B7,'06'!$D$8:$D$27)+SUMIF('07'!$C$8:$C$27,$B7,'07'!$D$8:$D$27)+SUMIF('08'!$C$8:$C$27,$B7,'08'!$D$8:$D$27)+SUMIF('09'!$C$8:$C$27,$B7,'09'!$D$8:$D$27)+SUMIF('10'!$C$8:$C$27,$B7,'10'!$D$8:$D$27)+SUMIF('11'!$C$8:$C$27,$B7,'11'!$D$8:$D$27)+SUMIF('12'!$C$8:$C$27,$B7,'12'!$D$8:$D$27)+SUMIF('13'!$C$8:$C$27,$B7,'13'!$D$8:$D$27)+SUMIF('14'!$C$8:$C$27,$B7,'14'!$D$8:$D$27)+SUMIF('15'!$C$8:$C$27,$B7,'15'!$D$8:$D$27)+SUMIF('16'!$C$8:$C$27,$B7,'16'!$D$8:$D$27)+SUMIF('17'!$C$8:$C$27,$B7,'17'!$D$8:$D$27)+SUMIF('18'!$C$8:$C$27,$B7,'18'!$D$8:$D$27)+SUMIF('19'!$C$8:$C$27,$B7,'19'!$D$8:$D$27)+SUMIF('20'!$C$8:$C$27,$B7,'20'!$D$8:$D$27)+SUMIF('21'!$C$8:$C$27,$B7,'21'!$D$8:$D$27)+SUMIF('22'!$C$8:$C$27,$B7,'22'!$D$8:$D$27)+SUMIF('23'!$C$8:$C$27,$B7,'23'!$D$8:$D$27)+SUMIF('24'!$C$8:$C$27,$B7,'24'!$D$8:$D$27)+SUMIF('25'!$C$8:$C$27,$B7,'25'!$D$8:$D$27)+SUMIF('26'!$C$8:$C$27,$B7,'26'!$D$8:$D$27)+SUMIF('27'!$C$8:$C$27,$B7,'27'!$D$8:$D$27)+SUMIF('28'!$C$8:$C$27,$B7,'28'!$D$8:$D$27)+SUMIF('29'!$C$8:$C$27,$B7,'29'!$D$8:$D$27)+SUMIF('30'!$C$8:$C$27,$B7,'30'!$D$8:$D$27)+SUMIF('31'!$C$8:$C$27,$B7,'31'!$D$8:$D$27)</f>
        <v/>
      </c>
      <c r="D7" s="35">
        <f>SUMIF('01'!$C$8:$C$27,$B7,'01'!$E$8:$E$27)+SUMIF('02'!$C$8:$C$27,$B7,'02'!$E$8:$E$27)+SUMIF('03'!$C$8:$C$27,$B7,'03'!$E$8:$E$27)+SUMIF('04'!$C$8:$C$27,$B7,'04'!$E$8:$E$27)+SUMIF('05'!$C$8:$C$27,$B7,'05'!$E$8:$E$27)+SUMIF('06'!$C$8:$C$27,$B7,'06'!$E$8:$E$27)+SUMIF('07'!$C$8:$C$27,$B7,'07'!$E$8:$E$27)+SUMIF('08'!$C$8:$C$27,$B7,'08'!$E$8:$E$27)+SUMIF('09'!$C$8:$C$27,$B7,'09'!$E$8:$E$27)+SUMIF('10'!$C$8:$C$27,$B7,'10'!$E$8:$E$27)+SUMIF('11'!$C$8:$C$27,$B7,'11'!$E$8:$E$27)+SUMIF('12'!$C$8:$C$27,$B7,'12'!$E$8:$E$27)+SUMIF('13'!$C$8:$C$27,$B7,'13'!$E$8:$E$27)+SUMIF('14'!$C$8:$C$27,$B7,'14'!$E$8:$E$27)+SUMIF('15'!$C$8:$C$27,$B7,'15'!$E$8:$E$27)+SUMIF('16'!$C$8:$C$27,$B7,'16'!$E$8:$E$27)+SUMIF('17'!$C$8:$C$27,$B7,'17'!$E$8:$E$27)+SUMIF('18'!$C$8:$C$27,$B7,'18'!$E$8:$E$27)+SUMIF('19'!$C$8:$C$27,$B7,'19'!$E$8:$E$27)+SUMIF('20'!$C$8:$C$27,$B7,'20'!$E$8:$E$27)+SUMIF('21'!$C$8:$C$27,$B7,'21'!$E$8:$E$27)+SUMIF('22'!$C$8:$C$27,$B7,'22'!$E$8:$E$27)+SUMIF('23'!$C$8:$C$27,$B7,'23'!$E$8:$E$27)+SUMIF('24'!$C$8:$C$27,$B7,'24'!$E$8:$E$27)+SUMIF('25'!$C$8:$C$27,$B7,'25'!$E$8:$E$27)+SUMIF('26'!$C$8:$C$27,$B7,'26'!$E$8:$E$27)+SUMIF('27'!$C$8:$C$27,$B7,'27'!$E$8:$E$27)+SUMIF('28'!$C$8:$C$27,$B7,'28'!$E$8:$E$27)+SUMIF('29'!$C$8:$C$27,$B7,'29'!$E$8:$E$27)+SUMIF('30'!$C$8:$C$27,$B7,'30'!$E$8:$E$27)+SUMIF('31'!$C$8:$C$27,$B7,'31'!$E$8:$E$27)</f>
        <v/>
      </c>
      <c r="E7" s="35">
        <f>SUMIF('01'!$C$8:$C$27,$B7,'01'!$F$8:$F$27)+SUMIF('02'!$C$8:$C$27,$B7,'02'!$F$8:$F$27)+SUMIF('03'!$C$8:$C$27,$B7,'03'!$F$8:$F$27)+SUMIF('04'!$C$8:$C$27,$B7,'04'!$F$8:$F$27)+SUMIF('05'!$C$8:$C$27,$B7,'05'!$F$8:$F$27)+SUMIF('06'!$C$8:$C$27,$B7,'06'!$F$8:$F$27)+SUMIF('07'!$C$8:$C$27,$B7,'07'!$F$8:$F$27)+SUMIF('08'!$C$8:$C$27,$B7,'08'!$F$8:$F$27)+SUMIF('09'!$C$8:$C$27,$B7,'09'!$F$8:$F$27)+SUMIF('10'!$C$8:$C$27,$B7,'10'!$F$8:$F$27)+SUMIF('11'!$C$8:$C$27,$B7,'11'!$F$8:$F$27)+SUMIF('12'!$C$8:$C$27,$B7,'12'!$F$8:$F$27)+SUMIF('13'!$C$8:$C$27,$B7,'13'!$F$8:$F$27)+SUMIF('14'!$C$8:$C$27,$B7,'14'!$F$8:$F$27)+SUMIF('15'!$C$8:$C$27,$B7,'15'!$F$8:$F$27)+SUMIF('16'!$C$8:$C$27,$B7,'16'!$F$8:$F$27)+SUMIF('17'!$C$8:$C$27,$B7,'17'!$F$8:$F$27)+SUMIF('18'!$C$8:$C$27,$B7,'18'!$F$8:$F$27)+SUMIF('19'!$C$8:$C$27,$B7,'19'!$F$8:$F$27)+SUMIF('20'!$C$8:$C$27,$B7,'20'!$F$8:$F$27)+SUMIF('21'!$C$8:$C$27,$B7,'21'!$F$8:$F$27)+SUMIF('22'!$C$8:$C$27,$B7,'22'!$F$8:$F$27)+SUMIF('23'!$C$8:$C$27,$B7,'23'!$F$8:$F$27)+SUMIF('24'!$C$8:$C$27,$B7,'24'!$F$8:$F$27)+SUMIF('25'!$C$8:$C$27,$B7,'25'!$F$8:$F$27)+SUMIF('26'!$C$8:$C$27,$B7,'26'!$F$8:$F$27)+SUMIF('27'!$C$8:$C$27,$B7,'27'!$F$8:$F$27)+SUMIF('28'!$C$8:$C$27,$B7,'28'!$F$8:$F$27)+SUMIF('29'!$C$8:$C$27,$B7,'29'!$F$8:$F$27)+SUMIF('30'!$C$8:$C$27,$B7,'30'!$F$8:$F$27)+SUMIF('31'!$C$8:$C$27,$B7,'31'!$F$8:$F$27)</f>
        <v/>
      </c>
      <c r="F7" s="35">
        <f>SUMIF('01'!$C$8:$C$27,$B7,'01'!$H$8:$H$27)+SUMIF('02'!$C$8:$C$27,$B7,'02'!$H$8:$H$27)+SUMIF('03'!$C$8:$C$27,$B7,'03'!$H$8:$H$27)+SUMIF('04'!$C$8:$C$27,$B7,'04'!$H$8:$H$27)+SUMIF('05'!$C$8:$C$27,$B7,'05'!$H$8:$H$27)+SUMIF('06'!$C$8:$C$27,$B7,'06'!$H$8:$H$27)+SUMIF('07'!$C$8:$C$27,$B7,'07'!$H$8:$H$27)+SUMIF('08'!$C$8:$C$27,$B7,'08'!$H$8:$H$27)+SUMIF('09'!$C$8:$C$27,$B7,'09'!$H$8:$H$27)+SUMIF('10'!$C$8:$C$27,$B7,'10'!$H$8:$H$27)+SUMIF('11'!$C$8:$C$27,$B7,'11'!$H$8:$H$27)+SUMIF('12'!$C$8:$C$27,$B7,'12'!$H$8:$H$27)+SUMIF('13'!$C$8:$C$27,$B7,'13'!$H$8:$H$27)+SUMIF('14'!$C$8:$C$27,$B7,'14'!$H$8:$H$27)+SUMIF('15'!$C$8:$C$27,$B7,'15'!$H$8:$H$27)+SUMIF('16'!$C$8:$C$27,$B7,'16'!$H$8:$H$27)+SUMIF('17'!$C$8:$C$27,$B7,'17'!$H$8:$H$27)+SUMIF('18'!$C$8:$C$27,$B7,'18'!$H$8:$H$27)+SUMIF('19'!$C$8:$C$27,$B7,'19'!$H$8:$H$27)+SUMIF('20'!$C$8:$C$27,$B7,'20'!$H$8:$H$27)+SUMIF('21'!$C$8:$C$27,$B7,'21'!$H$8:$H$27)+SUMIF('22'!$C$8:$C$27,$B7,'22'!$H$8:$H$27)+SUMIF('23'!$C$8:$C$27,$B7,'23'!$H$8:$H$27)+SUMIF('24'!$C$8:$C$27,$B7,'24'!$H$8:$H$27)+SUMIF('25'!$C$8:$C$27,$B7,'25'!$H$8:$H$27)+SUMIF('26'!$C$8:$C$27,$B7,'26'!$H$8:$H$27)+SUMIF('27'!$C$8:$C$27,$B7,'27'!$H$8:$H$27)+SUMIF('28'!$C$8:$C$27,$B7,'28'!$H$8:$H$27)+SUMIF('29'!$C$8:$C$27,$B7,'29'!$H$8:$H$27)+SUMIF('30'!$C$8:$C$27,$B7,'30'!$H$8:$H$27)+SUMIF('31'!$C$8:$C$27,$B7,'31'!$H$8:$H$27)</f>
        <v/>
      </c>
      <c r="G7" s="60">
        <f>D7+E7+F7</f>
        <v/>
      </c>
      <c r="H7" s="60">
        <f>C7-G7</f>
        <v/>
      </c>
      <c r="I7" s="79">
        <f>IF($C$26=0,0,C7/$C$26)</f>
        <v/>
      </c>
      <c r="J7">
        <f>$C7-ROW()/1000000</f>
        <v/>
      </c>
      <c r="L7">
        <f>INDEX($B$6:$B$25,MATCH(LARGE($J$6:$J$25,9),$J$6:$J$25,0))</f>
        <v/>
      </c>
      <c r="M7">
        <f>INDEX($C$6:$C$25,MATCH(LARGE($J$6:$J$25,9),$J$6:$J$25,0))</f>
        <v/>
      </c>
    </row>
    <row r="8" ht="17" customHeight="1">
      <c r="B8" s="25" t="inlineStr">
        <is>
          <t>LAMASTORE</t>
        </is>
      </c>
      <c r="C8" s="39">
        <f>SUMIF('01'!$C$8:$C$27,$B8,'01'!$D$8:$D$27)+SUMIF('02'!$C$8:$C$27,$B8,'02'!$D$8:$D$27)+SUMIF('03'!$C$8:$C$27,$B8,'03'!$D$8:$D$27)+SUMIF('04'!$C$8:$C$27,$B8,'04'!$D$8:$D$27)+SUMIF('05'!$C$8:$C$27,$B8,'05'!$D$8:$D$27)+SUMIF('06'!$C$8:$C$27,$B8,'06'!$D$8:$D$27)+SUMIF('07'!$C$8:$C$27,$B8,'07'!$D$8:$D$27)+SUMIF('08'!$C$8:$C$27,$B8,'08'!$D$8:$D$27)+SUMIF('09'!$C$8:$C$27,$B8,'09'!$D$8:$D$27)+SUMIF('10'!$C$8:$C$27,$B8,'10'!$D$8:$D$27)+SUMIF('11'!$C$8:$C$27,$B8,'11'!$D$8:$D$27)+SUMIF('12'!$C$8:$C$27,$B8,'12'!$D$8:$D$27)+SUMIF('13'!$C$8:$C$27,$B8,'13'!$D$8:$D$27)+SUMIF('14'!$C$8:$C$27,$B8,'14'!$D$8:$D$27)+SUMIF('15'!$C$8:$C$27,$B8,'15'!$D$8:$D$27)+SUMIF('16'!$C$8:$C$27,$B8,'16'!$D$8:$D$27)+SUMIF('17'!$C$8:$C$27,$B8,'17'!$D$8:$D$27)+SUMIF('18'!$C$8:$C$27,$B8,'18'!$D$8:$D$27)+SUMIF('19'!$C$8:$C$27,$B8,'19'!$D$8:$D$27)+SUMIF('20'!$C$8:$C$27,$B8,'20'!$D$8:$D$27)+SUMIF('21'!$C$8:$C$27,$B8,'21'!$D$8:$D$27)+SUMIF('22'!$C$8:$C$27,$B8,'22'!$D$8:$D$27)+SUMIF('23'!$C$8:$C$27,$B8,'23'!$D$8:$D$27)+SUMIF('24'!$C$8:$C$27,$B8,'24'!$D$8:$D$27)+SUMIF('25'!$C$8:$C$27,$B8,'25'!$D$8:$D$27)+SUMIF('26'!$C$8:$C$27,$B8,'26'!$D$8:$D$27)+SUMIF('27'!$C$8:$C$27,$B8,'27'!$D$8:$D$27)+SUMIF('28'!$C$8:$C$27,$B8,'28'!$D$8:$D$27)+SUMIF('29'!$C$8:$C$27,$B8,'29'!$D$8:$D$27)+SUMIF('30'!$C$8:$C$27,$B8,'30'!$D$8:$D$27)+SUMIF('31'!$C$8:$C$27,$B8,'31'!$D$8:$D$27)</f>
        <v/>
      </c>
      <c r="D8" s="39">
        <f>SUMIF('01'!$C$8:$C$27,$B8,'01'!$E$8:$E$27)+SUMIF('02'!$C$8:$C$27,$B8,'02'!$E$8:$E$27)+SUMIF('03'!$C$8:$C$27,$B8,'03'!$E$8:$E$27)+SUMIF('04'!$C$8:$C$27,$B8,'04'!$E$8:$E$27)+SUMIF('05'!$C$8:$C$27,$B8,'05'!$E$8:$E$27)+SUMIF('06'!$C$8:$C$27,$B8,'06'!$E$8:$E$27)+SUMIF('07'!$C$8:$C$27,$B8,'07'!$E$8:$E$27)+SUMIF('08'!$C$8:$C$27,$B8,'08'!$E$8:$E$27)+SUMIF('09'!$C$8:$C$27,$B8,'09'!$E$8:$E$27)+SUMIF('10'!$C$8:$C$27,$B8,'10'!$E$8:$E$27)+SUMIF('11'!$C$8:$C$27,$B8,'11'!$E$8:$E$27)+SUMIF('12'!$C$8:$C$27,$B8,'12'!$E$8:$E$27)+SUMIF('13'!$C$8:$C$27,$B8,'13'!$E$8:$E$27)+SUMIF('14'!$C$8:$C$27,$B8,'14'!$E$8:$E$27)+SUMIF('15'!$C$8:$C$27,$B8,'15'!$E$8:$E$27)+SUMIF('16'!$C$8:$C$27,$B8,'16'!$E$8:$E$27)+SUMIF('17'!$C$8:$C$27,$B8,'17'!$E$8:$E$27)+SUMIF('18'!$C$8:$C$27,$B8,'18'!$E$8:$E$27)+SUMIF('19'!$C$8:$C$27,$B8,'19'!$E$8:$E$27)+SUMIF('20'!$C$8:$C$27,$B8,'20'!$E$8:$E$27)+SUMIF('21'!$C$8:$C$27,$B8,'21'!$E$8:$E$27)+SUMIF('22'!$C$8:$C$27,$B8,'22'!$E$8:$E$27)+SUMIF('23'!$C$8:$C$27,$B8,'23'!$E$8:$E$27)+SUMIF('24'!$C$8:$C$27,$B8,'24'!$E$8:$E$27)+SUMIF('25'!$C$8:$C$27,$B8,'25'!$E$8:$E$27)+SUMIF('26'!$C$8:$C$27,$B8,'26'!$E$8:$E$27)+SUMIF('27'!$C$8:$C$27,$B8,'27'!$E$8:$E$27)+SUMIF('28'!$C$8:$C$27,$B8,'28'!$E$8:$E$27)+SUMIF('29'!$C$8:$C$27,$B8,'29'!$E$8:$E$27)+SUMIF('30'!$C$8:$C$27,$B8,'30'!$E$8:$E$27)+SUMIF('31'!$C$8:$C$27,$B8,'31'!$E$8:$E$27)</f>
        <v/>
      </c>
      <c r="E8" s="39">
        <f>SUMIF('01'!$C$8:$C$27,$B8,'01'!$F$8:$F$27)+SUMIF('02'!$C$8:$C$27,$B8,'02'!$F$8:$F$27)+SUMIF('03'!$C$8:$C$27,$B8,'03'!$F$8:$F$27)+SUMIF('04'!$C$8:$C$27,$B8,'04'!$F$8:$F$27)+SUMIF('05'!$C$8:$C$27,$B8,'05'!$F$8:$F$27)+SUMIF('06'!$C$8:$C$27,$B8,'06'!$F$8:$F$27)+SUMIF('07'!$C$8:$C$27,$B8,'07'!$F$8:$F$27)+SUMIF('08'!$C$8:$C$27,$B8,'08'!$F$8:$F$27)+SUMIF('09'!$C$8:$C$27,$B8,'09'!$F$8:$F$27)+SUMIF('10'!$C$8:$C$27,$B8,'10'!$F$8:$F$27)+SUMIF('11'!$C$8:$C$27,$B8,'11'!$F$8:$F$27)+SUMIF('12'!$C$8:$C$27,$B8,'12'!$F$8:$F$27)+SUMIF('13'!$C$8:$C$27,$B8,'13'!$F$8:$F$27)+SUMIF('14'!$C$8:$C$27,$B8,'14'!$F$8:$F$27)+SUMIF('15'!$C$8:$C$27,$B8,'15'!$F$8:$F$27)+SUMIF('16'!$C$8:$C$27,$B8,'16'!$F$8:$F$27)+SUMIF('17'!$C$8:$C$27,$B8,'17'!$F$8:$F$27)+SUMIF('18'!$C$8:$C$27,$B8,'18'!$F$8:$F$27)+SUMIF('19'!$C$8:$C$27,$B8,'19'!$F$8:$F$27)+SUMIF('20'!$C$8:$C$27,$B8,'20'!$F$8:$F$27)+SUMIF('21'!$C$8:$C$27,$B8,'21'!$F$8:$F$27)+SUMIF('22'!$C$8:$C$27,$B8,'22'!$F$8:$F$27)+SUMIF('23'!$C$8:$C$27,$B8,'23'!$F$8:$F$27)+SUMIF('24'!$C$8:$C$27,$B8,'24'!$F$8:$F$27)+SUMIF('25'!$C$8:$C$27,$B8,'25'!$F$8:$F$27)+SUMIF('26'!$C$8:$C$27,$B8,'26'!$F$8:$F$27)+SUMIF('27'!$C$8:$C$27,$B8,'27'!$F$8:$F$27)+SUMIF('28'!$C$8:$C$27,$B8,'28'!$F$8:$F$27)+SUMIF('29'!$C$8:$C$27,$B8,'29'!$F$8:$F$27)+SUMIF('30'!$C$8:$C$27,$B8,'30'!$F$8:$F$27)+SUMIF('31'!$C$8:$C$27,$B8,'31'!$F$8:$F$27)</f>
        <v/>
      </c>
      <c r="F8" s="39">
        <f>SUMIF('01'!$C$8:$C$27,$B8,'01'!$H$8:$H$27)+SUMIF('02'!$C$8:$C$27,$B8,'02'!$H$8:$H$27)+SUMIF('03'!$C$8:$C$27,$B8,'03'!$H$8:$H$27)+SUMIF('04'!$C$8:$C$27,$B8,'04'!$H$8:$H$27)+SUMIF('05'!$C$8:$C$27,$B8,'05'!$H$8:$H$27)+SUMIF('06'!$C$8:$C$27,$B8,'06'!$H$8:$H$27)+SUMIF('07'!$C$8:$C$27,$B8,'07'!$H$8:$H$27)+SUMIF('08'!$C$8:$C$27,$B8,'08'!$H$8:$H$27)+SUMIF('09'!$C$8:$C$27,$B8,'09'!$H$8:$H$27)+SUMIF('10'!$C$8:$C$27,$B8,'10'!$H$8:$H$27)+SUMIF('11'!$C$8:$C$27,$B8,'11'!$H$8:$H$27)+SUMIF('12'!$C$8:$C$27,$B8,'12'!$H$8:$H$27)+SUMIF('13'!$C$8:$C$27,$B8,'13'!$H$8:$H$27)+SUMIF('14'!$C$8:$C$27,$B8,'14'!$H$8:$H$27)+SUMIF('15'!$C$8:$C$27,$B8,'15'!$H$8:$H$27)+SUMIF('16'!$C$8:$C$27,$B8,'16'!$H$8:$H$27)+SUMIF('17'!$C$8:$C$27,$B8,'17'!$H$8:$H$27)+SUMIF('18'!$C$8:$C$27,$B8,'18'!$H$8:$H$27)+SUMIF('19'!$C$8:$C$27,$B8,'19'!$H$8:$H$27)+SUMIF('20'!$C$8:$C$27,$B8,'20'!$H$8:$H$27)+SUMIF('21'!$C$8:$C$27,$B8,'21'!$H$8:$H$27)+SUMIF('22'!$C$8:$C$27,$B8,'22'!$H$8:$H$27)+SUMIF('23'!$C$8:$C$27,$B8,'23'!$H$8:$H$27)+SUMIF('24'!$C$8:$C$27,$B8,'24'!$H$8:$H$27)+SUMIF('25'!$C$8:$C$27,$B8,'25'!$H$8:$H$27)+SUMIF('26'!$C$8:$C$27,$B8,'26'!$H$8:$H$27)+SUMIF('27'!$C$8:$C$27,$B8,'27'!$H$8:$H$27)+SUMIF('28'!$C$8:$C$27,$B8,'28'!$H$8:$H$27)+SUMIF('29'!$C$8:$C$27,$B8,'29'!$H$8:$H$27)+SUMIF('30'!$C$8:$C$27,$B8,'30'!$H$8:$H$27)+SUMIF('31'!$C$8:$C$27,$B8,'31'!$H$8:$H$27)</f>
        <v/>
      </c>
      <c r="G8" s="76">
        <f>D8+E8+F8</f>
        <v/>
      </c>
      <c r="H8" s="76">
        <f>C8-G8</f>
        <v/>
      </c>
      <c r="I8" s="77">
        <f>IF($C$26=0,0,C8/$C$26)</f>
        <v/>
      </c>
      <c r="J8">
        <f>$C8-ROW()/1000000</f>
        <v/>
      </c>
      <c r="L8">
        <f>INDEX($B$6:$B$25,MATCH(LARGE($J$6:$J$25,8),$J$6:$J$25,0))</f>
        <v/>
      </c>
      <c r="M8">
        <f>INDEX($C$6:$C$25,MATCH(LARGE($J$6:$J$25,8),$J$6:$J$25,0))</f>
        <v/>
      </c>
    </row>
    <row r="9" ht="17" customHeight="1">
      <c r="B9" s="78" t="inlineStr">
        <is>
          <t>FATALUM</t>
        </is>
      </c>
      <c r="C9" s="35">
        <f>SUMIF('01'!$C$8:$C$27,$B9,'01'!$D$8:$D$27)+SUMIF('02'!$C$8:$C$27,$B9,'02'!$D$8:$D$27)+SUMIF('03'!$C$8:$C$27,$B9,'03'!$D$8:$D$27)+SUMIF('04'!$C$8:$C$27,$B9,'04'!$D$8:$D$27)+SUMIF('05'!$C$8:$C$27,$B9,'05'!$D$8:$D$27)+SUMIF('06'!$C$8:$C$27,$B9,'06'!$D$8:$D$27)+SUMIF('07'!$C$8:$C$27,$B9,'07'!$D$8:$D$27)+SUMIF('08'!$C$8:$C$27,$B9,'08'!$D$8:$D$27)+SUMIF('09'!$C$8:$C$27,$B9,'09'!$D$8:$D$27)+SUMIF('10'!$C$8:$C$27,$B9,'10'!$D$8:$D$27)+SUMIF('11'!$C$8:$C$27,$B9,'11'!$D$8:$D$27)+SUMIF('12'!$C$8:$C$27,$B9,'12'!$D$8:$D$27)+SUMIF('13'!$C$8:$C$27,$B9,'13'!$D$8:$D$27)+SUMIF('14'!$C$8:$C$27,$B9,'14'!$D$8:$D$27)+SUMIF('15'!$C$8:$C$27,$B9,'15'!$D$8:$D$27)+SUMIF('16'!$C$8:$C$27,$B9,'16'!$D$8:$D$27)+SUMIF('17'!$C$8:$C$27,$B9,'17'!$D$8:$D$27)+SUMIF('18'!$C$8:$C$27,$B9,'18'!$D$8:$D$27)+SUMIF('19'!$C$8:$C$27,$B9,'19'!$D$8:$D$27)+SUMIF('20'!$C$8:$C$27,$B9,'20'!$D$8:$D$27)+SUMIF('21'!$C$8:$C$27,$B9,'21'!$D$8:$D$27)+SUMIF('22'!$C$8:$C$27,$B9,'22'!$D$8:$D$27)+SUMIF('23'!$C$8:$C$27,$B9,'23'!$D$8:$D$27)+SUMIF('24'!$C$8:$C$27,$B9,'24'!$D$8:$D$27)+SUMIF('25'!$C$8:$C$27,$B9,'25'!$D$8:$D$27)+SUMIF('26'!$C$8:$C$27,$B9,'26'!$D$8:$D$27)+SUMIF('27'!$C$8:$C$27,$B9,'27'!$D$8:$D$27)+SUMIF('28'!$C$8:$C$27,$B9,'28'!$D$8:$D$27)+SUMIF('29'!$C$8:$C$27,$B9,'29'!$D$8:$D$27)+SUMIF('30'!$C$8:$C$27,$B9,'30'!$D$8:$D$27)+SUMIF('31'!$C$8:$C$27,$B9,'31'!$D$8:$D$27)</f>
        <v/>
      </c>
      <c r="D9" s="35">
        <f>SUMIF('01'!$C$8:$C$27,$B9,'01'!$E$8:$E$27)+SUMIF('02'!$C$8:$C$27,$B9,'02'!$E$8:$E$27)+SUMIF('03'!$C$8:$C$27,$B9,'03'!$E$8:$E$27)+SUMIF('04'!$C$8:$C$27,$B9,'04'!$E$8:$E$27)+SUMIF('05'!$C$8:$C$27,$B9,'05'!$E$8:$E$27)+SUMIF('06'!$C$8:$C$27,$B9,'06'!$E$8:$E$27)+SUMIF('07'!$C$8:$C$27,$B9,'07'!$E$8:$E$27)+SUMIF('08'!$C$8:$C$27,$B9,'08'!$E$8:$E$27)+SUMIF('09'!$C$8:$C$27,$B9,'09'!$E$8:$E$27)+SUMIF('10'!$C$8:$C$27,$B9,'10'!$E$8:$E$27)+SUMIF('11'!$C$8:$C$27,$B9,'11'!$E$8:$E$27)+SUMIF('12'!$C$8:$C$27,$B9,'12'!$E$8:$E$27)+SUMIF('13'!$C$8:$C$27,$B9,'13'!$E$8:$E$27)+SUMIF('14'!$C$8:$C$27,$B9,'14'!$E$8:$E$27)+SUMIF('15'!$C$8:$C$27,$B9,'15'!$E$8:$E$27)+SUMIF('16'!$C$8:$C$27,$B9,'16'!$E$8:$E$27)+SUMIF('17'!$C$8:$C$27,$B9,'17'!$E$8:$E$27)+SUMIF('18'!$C$8:$C$27,$B9,'18'!$E$8:$E$27)+SUMIF('19'!$C$8:$C$27,$B9,'19'!$E$8:$E$27)+SUMIF('20'!$C$8:$C$27,$B9,'20'!$E$8:$E$27)+SUMIF('21'!$C$8:$C$27,$B9,'21'!$E$8:$E$27)+SUMIF('22'!$C$8:$C$27,$B9,'22'!$E$8:$E$27)+SUMIF('23'!$C$8:$C$27,$B9,'23'!$E$8:$E$27)+SUMIF('24'!$C$8:$C$27,$B9,'24'!$E$8:$E$27)+SUMIF('25'!$C$8:$C$27,$B9,'25'!$E$8:$E$27)+SUMIF('26'!$C$8:$C$27,$B9,'26'!$E$8:$E$27)+SUMIF('27'!$C$8:$C$27,$B9,'27'!$E$8:$E$27)+SUMIF('28'!$C$8:$C$27,$B9,'28'!$E$8:$E$27)+SUMIF('29'!$C$8:$C$27,$B9,'29'!$E$8:$E$27)+SUMIF('30'!$C$8:$C$27,$B9,'30'!$E$8:$E$27)+SUMIF('31'!$C$8:$C$27,$B9,'31'!$E$8:$E$27)</f>
        <v/>
      </c>
      <c r="E9" s="35">
        <f>SUMIF('01'!$C$8:$C$27,$B9,'01'!$F$8:$F$27)+SUMIF('02'!$C$8:$C$27,$B9,'02'!$F$8:$F$27)+SUMIF('03'!$C$8:$C$27,$B9,'03'!$F$8:$F$27)+SUMIF('04'!$C$8:$C$27,$B9,'04'!$F$8:$F$27)+SUMIF('05'!$C$8:$C$27,$B9,'05'!$F$8:$F$27)+SUMIF('06'!$C$8:$C$27,$B9,'06'!$F$8:$F$27)+SUMIF('07'!$C$8:$C$27,$B9,'07'!$F$8:$F$27)+SUMIF('08'!$C$8:$C$27,$B9,'08'!$F$8:$F$27)+SUMIF('09'!$C$8:$C$27,$B9,'09'!$F$8:$F$27)+SUMIF('10'!$C$8:$C$27,$B9,'10'!$F$8:$F$27)+SUMIF('11'!$C$8:$C$27,$B9,'11'!$F$8:$F$27)+SUMIF('12'!$C$8:$C$27,$B9,'12'!$F$8:$F$27)+SUMIF('13'!$C$8:$C$27,$B9,'13'!$F$8:$F$27)+SUMIF('14'!$C$8:$C$27,$B9,'14'!$F$8:$F$27)+SUMIF('15'!$C$8:$C$27,$B9,'15'!$F$8:$F$27)+SUMIF('16'!$C$8:$C$27,$B9,'16'!$F$8:$F$27)+SUMIF('17'!$C$8:$C$27,$B9,'17'!$F$8:$F$27)+SUMIF('18'!$C$8:$C$27,$B9,'18'!$F$8:$F$27)+SUMIF('19'!$C$8:$C$27,$B9,'19'!$F$8:$F$27)+SUMIF('20'!$C$8:$C$27,$B9,'20'!$F$8:$F$27)+SUMIF('21'!$C$8:$C$27,$B9,'21'!$F$8:$F$27)+SUMIF('22'!$C$8:$C$27,$B9,'22'!$F$8:$F$27)+SUMIF('23'!$C$8:$C$27,$B9,'23'!$F$8:$F$27)+SUMIF('24'!$C$8:$C$27,$B9,'24'!$F$8:$F$27)+SUMIF('25'!$C$8:$C$27,$B9,'25'!$F$8:$F$27)+SUMIF('26'!$C$8:$C$27,$B9,'26'!$F$8:$F$27)+SUMIF('27'!$C$8:$C$27,$B9,'27'!$F$8:$F$27)+SUMIF('28'!$C$8:$C$27,$B9,'28'!$F$8:$F$27)+SUMIF('29'!$C$8:$C$27,$B9,'29'!$F$8:$F$27)+SUMIF('30'!$C$8:$C$27,$B9,'30'!$F$8:$F$27)+SUMIF('31'!$C$8:$C$27,$B9,'31'!$F$8:$F$27)</f>
        <v/>
      </c>
      <c r="F9" s="35">
        <f>SUMIF('01'!$C$8:$C$27,$B9,'01'!$H$8:$H$27)+SUMIF('02'!$C$8:$C$27,$B9,'02'!$H$8:$H$27)+SUMIF('03'!$C$8:$C$27,$B9,'03'!$H$8:$H$27)+SUMIF('04'!$C$8:$C$27,$B9,'04'!$H$8:$H$27)+SUMIF('05'!$C$8:$C$27,$B9,'05'!$H$8:$H$27)+SUMIF('06'!$C$8:$C$27,$B9,'06'!$H$8:$H$27)+SUMIF('07'!$C$8:$C$27,$B9,'07'!$H$8:$H$27)+SUMIF('08'!$C$8:$C$27,$B9,'08'!$H$8:$H$27)+SUMIF('09'!$C$8:$C$27,$B9,'09'!$H$8:$H$27)+SUMIF('10'!$C$8:$C$27,$B9,'10'!$H$8:$H$27)+SUMIF('11'!$C$8:$C$27,$B9,'11'!$H$8:$H$27)+SUMIF('12'!$C$8:$C$27,$B9,'12'!$H$8:$H$27)+SUMIF('13'!$C$8:$C$27,$B9,'13'!$H$8:$H$27)+SUMIF('14'!$C$8:$C$27,$B9,'14'!$H$8:$H$27)+SUMIF('15'!$C$8:$C$27,$B9,'15'!$H$8:$H$27)+SUMIF('16'!$C$8:$C$27,$B9,'16'!$H$8:$H$27)+SUMIF('17'!$C$8:$C$27,$B9,'17'!$H$8:$H$27)+SUMIF('18'!$C$8:$C$27,$B9,'18'!$H$8:$H$27)+SUMIF('19'!$C$8:$C$27,$B9,'19'!$H$8:$H$27)+SUMIF('20'!$C$8:$C$27,$B9,'20'!$H$8:$H$27)+SUMIF('21'!$C$8:$C$27,$B9,'21'!$H$8:$H$27)+SUMIF('22'!$C$8:$C$27,$B9,'22'!$H$8:$H$27)+SUMIF('23'!$C$8:$C$27,$B9,'23'!$H$8:$H$27)+SUMIF('24'!$C$8:$C$27,$B9,'24'!$H$8:$H$27)+SUMIF('25'!$C$8:$C$27,$B9,'25'!$H$8:$H$27)+SUMIF('26'!$C$8:$C$27,$B9,'26'!$H$8:$H$27)+SUMIF('27'!$C$8:$C$27,$B9,'27'!$H$8:$H$27)+SUMIF('28'!$C$8:$C$27,$B9,'28'!$H$8:$H$27)+SUMIF('29'!$C$8:$C$27,$B9,'29'!$H$8:$H$27)+SUMIF('30'!$C$8:$C$27,$B9,'30'!$H$8:$H$27)+SUMIF('31'!$C$8:$C$27,$B9,'31'!$H$8:$H$27)</f>
        <v/>
      </c>
      <c r="G9" s="60">
        <f>D9+E9+F9</f>
        <v/>
      </c>
      <c r="H9" s="60">
        <f>C9-G9</f>
        <v/>
      </c>
      <c r="I9" s="79">
        <f>IF($C$26=0,0,C9/$C$26)</f>
        <v/>
      </c>
      <c r="J9">
        <f>$C9-ROW()/1000000</f>
        <v/>
      </c>
      <c r="L9">
        <f>INDEX($B$6:$B$25,MATCH(LARGE($J$6:$J$25,7),$J$6:$J$25,0))</f>
        <v/>
      </c>
      <c r="M9">
        <f>INDEX($C$6:$C$25,MATCH(LARGE($J$6:$J$25,7),$J$6:$J$25,0))</f>
        <v/>
      </c>
    </row>
    <row r="10" ht="17" customHeight="1">
      <c r="B10" s="25" t="inlineStr">
        <is>
          <t>IDRALUM</t>
        </is>
      </c>
      <c r="C10" s="39">
        <f>SUMIF('01'!$C$8:$C$27,$B10,'01'!$D$8:$D$27)+SUMIF('02'!$C$8:$C$27,$B10,'02'!$D$8:$D$27)+SUMIF('03'!$C$8:$C$27,$B10,'03'!$D$8:$D$27)+SUMIF('04'!$C$8:$C$27,$B10,'04'!$D$8:$D$27)+SUMIF('05'!$C$8:$C$27,$B10,'05'!$D$8:$D$27)+SUMIF('06'!$C$8:$C$27,$B10,'06'!$D$8:$D$27)+SUMIF('07'!$C$8:$C$27,$B10,'07'!$D$8:$D$27)+SUMIF('08'!$C$8:$C$27,$B10,'08'!$D$8:$D$27)+SUMIF('09'!$C$8:$C$27,$B10,'09'!$D$8:$D$27)+SUMIF('10'!$C$8:$C$27,$B10,'10'!$D$8:$D$27)+SUMIF('11'!$C$8:$C$27,$B10,'11'!$D$8:$D$27)+SUMIF('12'!$C$8:$C$27,$B10,'12'!$D$8:$D$27)+SUMIF('13'!$C$8:$C$27,$B10,'13'!$D$8:$D$27)+SUMIF('14'!$C$8:$C$27,$B10,'14'!$D$8:$D$27)+SUMIF('15'!$C$8:$C$27,$B10,'15'!$D$8:$D$27)+SUMIF('16'!$C$8:$C$27,$B10,'16'!$D$8:$D$27)+SUMIF('17'!$C$8:$C$27,$B10,'17'!$D$8:$D$27)+SUMIF('18'!$C$8:$C$27,$B10,'18'!$D$8:$D$27)+SUMIF('19'!$C$8:$C$27,$B10,'19'!$D$8:$D$27)+SUMIF('20'!$C$8:$C$27,$B10,'20'!$D$8:$D$27)+SUMIF('21'!$C$8:$C$27,$B10,'21'!$D$8:$D$27)+SUMIF('22'!$C$8:$C$27,$B10,'22'!$D$8:$D$27)+SUMIF('23'!$C$8:$C$27,$B10,'23'!$D$8:$D$27)+SUMIF('24'!$C$8:$C$27,$B10,'24'!$D$8:$D$27)+SUMIF('25'!$C$8:$C$27,$B10,'25'!$D$8:$D$27)+SUMIF('26'!$C$8:$C$27,$B10,'26'!$D$8:$D$27)+SUMIF('27'!$C$8:$C$27,$B10,'27'!$D$8:$D$27)+SUMIF('28'!$C$8:$C$27,$B10,'28'!$D$8:$D$27)+SUMIF('29'!$C$8:$C$27,$B10,'29'!$D$8:$D$27)+SUMIF('30'!$C$8:$C$27,$B10,'30'!$D$8:$D$27)+SUMIF('31'!$C$8:$C$27,$B10,'31'!$D$8:$D$27)</f>
        <v/>
      </c>
      <c r="D10" s="39">
        <f>SUMIF('01'!$C$8:$C$27,$B10,'01'!$E$8:$E$27)+SUMIF('02'!$C$8:$C$27,$B10,'02'!$E$8:$E$27)+SUMIF('03'!$C$8:$C$27,$B10,'03'!$E$8:$E$27)+SUMIF('04'!$C$8:$C$27,$B10,'04'!$E$8:$E$27)+SUMIF('05'!$C$8:$C$27,$B10,'05'!$E$8:$E$27)+SUMIF('06'!$C$8:$C$27,$B10,'06'!$E$8:$E$27)+SUMIF('07'!$C$8:$C$27,$B10,'07'!$E$8:$E$27)+SUMIF('08'!$C$8:$C$27,$B10,'08'!$E$8:$E$27)+SUMIF('09'!$C$8:$C$27,$B10,'09'!$E$8:$E$27)+SUMIF('10'!$C$8:$C$27,$B10,'10'!$E$8:$E$27)+SUMIF('11'!$C$8:$C$27,$B10,'11'!$E$8:$E$27)+SUMIF('12'!$C$8:$C$27,$B10,'12'!$E$8:$E$27)+SUMIF('13'!$C$8:$C$27,$B10,'13'!$E$8:$E$27)+SUMIF('14'!$C$8:$C$27,$B10,'14'!$E$8:$E$27)+SUMIF('15'!$C$8:$C$27,$B10,'15'!$E$8:$E$27)+SUMIF('16'!$C$8:$C$27,$B10,'16'!$E$8:$E$27)+SUMIF('17'!$C$8:$C$27,$B10,'17'!$E$8:$E$27)+SUMIF('18'!$C$8:$C$27,$B10,'18'!$E$8:$E$27)+SUMIF('19'!$C$8:$C$27,$B10,'19'!$E$8:$E$27)+SUMIF('20'!$C$8:$C$27,$B10,'20'!$E$8:$E$27)+SUMIF('21'!$C$8:$C$27,$B10,'21'!$E$8:$E$27)+SUMIF('22'!$C$8:$C$27,$B10,'22'!$E$8:$E$27)+SUMIF('23'!$C$8:$C$27,$B10,'23'!$E$8:$E$27)+SUMIF('24'!$C$8:$C$27,$B10,'24'!$E$8:$E$27)+SUMIF('25'!$C$8:$C$27,$B10,'25'!$E$8:$E$27)+SUMIF('26'!$C$8:$C$27,$B10,'26'!$E$8:$E$27)+SUMIF('27'!$C$8:$C$27,$B10,'27'!$E$8:$E$27)+SUMIF('28'!$C$8:$C$27,$B10,'28'!$E$8:$E$27)+SUMIF('29'!$C$8:$C$27,$B10,'29'!$E$8:$E$27)+SUMIF('30'!$C$8:$C$27,$B10,'30'!$E$8:$E$27)+SUMIF('31'!$C$8:$C$27,$B10,'31'!$E$8:$E$27)</f>
        <v/>
      </c>
      <c r="E10" s="39">
        <f>SUMIF('01'!$C$8:$C$27,$B10,'01'!$F$8:$F$27)+SUMIF('02'!$C$8:$C$27,$B10,'02'!$F$8:$F$27)+SUMIF('03'!$C$8:$C$27,$B10,'03'!$F$8:$F$27)+SUMIF('04'!$C$8:$C$27,$B10,'04'!$F$8:$F$27)+SUMIF('05'!$C$8:$C$27,$B10,'05'!$F$8:$F$27)+SUMIF('06'!$C$8:$C$27,$B10,'06'!$F$8:$F$27)+SUMIF('07'!$C$8:$C$27,$B10,'07'!$F$8:$F$27)+SUMIF('08'!$C$8:$C$27,$B10,'08'!$F$8:$F$27)+SUMIF('09'!$C$8:$C$27,$B10,'09'!$F$8:$F$27)+SUMIF('10'!$C$8:$C$27,$B10,'10'!$F$8:$F$27)+SUMIF('11'!$C$8:$C$27,$B10,'11'!$F$8:$F$27)+SUMIF('12'!$C$8:$C$27,$B10,'12'!$F$8:$F$27)+SUMIF('13'!$C$8:$C$27,$B10,'13'!$F$8:$F$27)+SUMIF('14'!$C$8:$C$27,$B10,'14'!$F$8:$F$27)+SUMIF('15'!$C$8:$C$27,$B10,'15'!$F$8:$F$27)+SUMIF('16'!$C$8:$C$27,$B10,'16'!$F$8:$F$27)+SUMIF('17'!$C$8:$C$27,$B10,'17'!$F$8:$F$27)+SUMIF('18'!$C$8:$C$27,$B10,'18'!$F$8:$F$27)+SUMIF('19'!$C$8:$C$27,$B10,'19'!$F$8:$F$27)+SUMIF('20'!$C$8:$C$27,$B10,'20'!$F$8:$F$27)+SUMIF('21'!$C$8:$C$27,$B10,'21'!$F$8:$F$27)+SUMIF('22'!$C$8:$C$27,$B10,'22'!$F$8:$F$27)+SUMIF('23'!$C$8:$C$27,$B10,'23'!$F$8:$F$27)+SUMIF('24'!$C$8:$C$27,$B10,'24'!$F$8:$F$27)+SUMIF('25'!$C$8:$C$27,$B10,'25'!$F$8:$F$27)+SUMIF('26'!$C$8:$C$27,$B10,'26'!$F$8:$F$27)+SUMIF('27'!$C$8:$C$27,$B10,'27'!$F$8:$F$27)+SUMIF('28'!$C$8:$C$27,$B10,'28'!$F$8:$F$27)+SUMIF('29'!$C$8:$C$27,$B10,'29'!$F$8:$F$27)+SUMIF('30'!$C$8:$C$27,$B10,'30'!$F$8:$F$27)+SUMIF('31'!$C$8:$C$27,$B10,'31'!$F$8:$F$27)</f>
        <v/>
      </c>
      <c r="F10" s="39">
        <f>SUMIF('01'!$C$8:$C$27,$B10,'01'!$H$8:$H$27)+SUMIF('02'!$C$8:$C$27,$B10,'02'!$H$8:$H$27)+SUMIF('03'!$C$8:$C$27,$B10,'03'!$H$8:$H$27)+SUMIF('04'!$C$8:$C$27,$B10,'04'!$H$8:$H$27)+SUMIF('05'!$C$8:$C$27,$B10,'05'!$H$8:$H$27)+SUMIF('06'!$C$8:$C$27,$B10,'06'!$H$8:$H$27)+SUMIF('07'!$C$8:$C$27,$B10,'07'!$H$8:$H$27)+SUMIF('08'!$C$8:$C$27,$B10,'08'!$H$8:$H$27)+SUMIF('09'!$C$8:$C$27,$B10,'09'!$H$8:$H$27)+SUMIF('10'!$C$8:$C$27,$B10,'10'!$H$8:$H$27)+SUMIF('11'!$C$8:$C$27,$B10,'11'!$H$8:$H$27)+SUMIF('12'!$C$8:$C$27,$B10,'12'!$H$8:$H$27)+SUMIF('13'!$C$8:$C$27,$B10,'13'!$H$8:$H$27)+SUMIF('14'!$C$8:$C$27,$B10,'14'!$H$8:$H$27)+SUMIF('15'!$C$8:$C$27,$B10,'15'!$H$8:$H$27)+SUMIF('16'!$C$8:$C$27,$B10,'16'!$H$8:$H$27)+SUMIF('17'!$C$8:$C$27,$B10,'17'!$H$8:$H$27)+SUMIF('18'!$C$8:$C$27,$B10,'18'!$H$8:$H$27)+SUMIF('19'!$C$8:$C$27,$B10,'19'!$H$8:$H$27)+SUMIF('20'!$C$8:$C$27,$B10,'20'!$H$8:$H$27)+SUMIF('21'!$C$8:$C$27,$B10,'21'!$H$8:$H$27)+SUMIF('22'!$C$8:$C$27,$B10,'22'!$H$8:$H$27)+SUMIF('23'!$C$8:$C$27,$B10,'23'!$H$8:$H$27)+SUMIF('24'!$C$8:$C$27,$B10,'24'!$H$8:$H$27)+SUMIF('25'!$C$8:$C$27,$B10,'25'!$H$8:$H$27)+SUMIF('26'!$C$8:$C$27,$B10,'26'!$H$8:$H$27)+SUMIF('27'!$C$8:$C$27,$B10,'27'!$H$8:$H$27)+SUMIF('28'!$C$8:$C$27,$B10,'28'!$H$8:$H$27)+SUMIF('29'!$C$8:$C$27,$B10,'29'!$H$8:$H$27)+SUMIF('30'!$C$8:$C$27,$B10,'30'!$H$8:$H$27)+SUMIF('31'!$C$8:$C$27,$B10,'31'!$H$8:$H$27)</f>
        <v/>
      </c>
      <c r="G10" s="76">
        <f>D10+E10+F10</f>
        <v/>
      </c>
      <c r="H10" s="76">
        <f>C10-G10</f>
        <v/>
      </c>
      <c r="I10" s="77">
        <f>IF($C$26=0,0,C10/$C$26)</f>
        <v/>
      </c>
      <c r="J10">
        <f>$C10-ROW()/1000000</f>
        <v/>
      </c>
      <c r="L10">
        <f>INDEX($B$6:$B$25,MATCH(LARGE($J$6:$J$25,6),$J$6:$J$25,0))</f>
        <v/>
      </c>
      <c r="M10">
        <f>INDEX($C$6:$C$25,MATCH(LARGE($J$6:$J$25,6),$J$6:$J$25,0))</f>
        <v/>
      </c>
    </row>
    <row r="11" ht="17" customHeight="1">
      <c r="B11" s="78" t="inlineStr">
        <is>
          <t>INDEC</t>
        </is>
      </c>
      <c r="C11" s="35">
        <f>SUMIF('01'!$C$8:$C$27,$B11,'01'!$D$8:$D$27)+SUMIF('02'!$C$8:$C$27,$B11,'02'!$D$8:$D$27)+SUMIF('03'!$C$8:$C$27,$B11,'03'!$D$8:$D$27)+SUMIF('04'!$C$8:$C$27,$B11,'04'!$D$8:$D$27)+SUMIF('05'!$C$8:$C$27,$B11,'05'!$D$8:$D$27)+SUMIF('06'!$C$8:$C$27,$B11,'06'!$D$8:$D$27)+SUMIF('07'!$C$8:$C$27,$B11,'07'!$D$8:$D$27)+SUMIF('08'!$C$8:$C$27,$B11,'08'!$D$8:$D$27)+SUMIF('09'!$C$8:$C$27,$B11,'09'!$D$8:$D$27)+SUMIF('10'!$C$8:$C$27,$B11,'10'!$D$8:$D$27)+SUMIF('11'!$C$8:$C$27,$B11,'11'!$D$8:$D$27)+SUMIF('12'!$C$8:$C$27,$B11,'12'!$D$8:$D$27)+SUMIF('13'!$C$8:$C$27,$B11,'13'!$D$8:$D$27)+SUMIF('14'!$C$8:$C$27,$B11,'14'!$D$8:$D$27)+SUMIF('15'!$C$8:$C$27,$B11,'15'!$D$8:$D$27)+SUMIF('16'!$C$8:$C$27,$B11,'16'!$D$8:$D$27)+SUMIF('17'!$C$8:$C$27,$B11,'17'!$D$8:$D$27)+SUMIF('18'!$C$8:$C$27,$B11,'18'!$D$8:$D$27)+SUMIF('19'!$C$8:$C$27,$B11,'19'!$D$8:$D$27)+SUMIF('20'!$C$8:$C$27,$B11,'20'!$D$8:$D$27)+SUMIF('21'!$C$8:$C$27,$B11,'21'!$D$8:$D$27)+SUMIF('22'!$C$8:$C$27,$B11,'22'!$D$8:$D$27)+SUMIF('23'!$C$8:$C$27,$B11,'23'!$D$8:$D$27)+SUMIF('24'!$C$8:$C$27,$B11,'24'!$D$8:$D$27)+SUMIF('25'!$C$8:$C$27,$B11,'25'!$D$8:$D$27)+SUMIF('26'!$C$8:$C$27,$B11,'26'!$D$8:$D$27)+SUMIF('27'!$C$8:$C$27,$B11,'27'!$D$8:$D$27)+SUMIF('28'!$C$8:$C$27,$B11,'28'!$D$8:$D$27)+SUMIF('29'!$C$8:$C$27,$B11,'29'!$D$8:$D$27)+SUMIF('30'!$C$8:$C$27,$B11,'30'!$D$8:$D$27)+SUMIF('31'!$C$8:$C$27,$B11,'31'!$D$8:$D$27)</f>
        <v/>
      </c>
      <c r="D11" s="35">
        <f>SUMIF('01'!$C$8:$C$27,$B11,'01'!$E$8:$E$27)+SUMIF('02'!$C$8:$C$27,$B11,'02'!$E$8:$E$27)+SUMIF('03'!$C$8:$C$27,$B11,'03'!$E$8:$E$27)+SUMIF('04'!$C$8:$C$27,$B11,'04'!$E$8:$E$27)+SUMIF('05'!$C$8:$C$27,$B11,'05'!$E$8:$E$27)+SUMIF('06'!$C$8:$C$27,$B11,'06'!$E$8:$E$27)+SUMIF('07'!$C$8:$C$27,$B11,'07'!$E$8:$E$27)+SUMIF('08'!$C$8:$C$27,$B11,'08'!$E$8:$E$27)+SUMIF('09'!$C$8:$C$27,$B11,'09'!$E$8:$E$27)+SUMIF('10'!$C$8:$C$27,$B11,'10'!$E$8:$E$27)+SUMIF('11'!$C$8:$C$27,$B11,'11'!$E$8:$E$27)+SUMIF('12'!$C$8:$C$27,$B11,'12'!$E$8:$E$27)+SUMIF('13'!$C$8:$C$27,$B11,'13'!$E$8:$E$27)+SUMIF('14'!$C$8:$C$27,$B11,'14'!$E$8:$E$27)+SUMIF('15'!$C$8:$C$27,$B11,'15'!$E$8:$E$27)+SUMIF('16'!$C$8:$C$27,$B11,'16'!$E$8:$E$27)+SUMIF('17'!$C$8:$C$27,$B11,'17'!$E$8:$E$27)+SUMIF('18'!$C$8:$C$27,$B11,'18'!$E$8:$E$27)+SUMIF('19'!$C$8:$C$27,$B11,'19'!$E$8:$E$27)+SUMIF('20'!$C$8:$C$27,$B11,'20'!$E$8:$E$27)+SUMIF('21'!$C$8:$C$27,$B11,'21'!$E$8:$E$27)+SUMIF('22'!$C$8:$C$27,$B11,'22'!$E$8:$E$27)+SUMIF('23'!$C$8:$C$27,$B11,'23'!$E$8:$E$27)+SUMIF('24'!$C$8:$C$27,$B11,'24'!$E$8:$E$27)+SUMIF('25'!$C$8:$C$27,$B11,'25'!$E$8:$E$27)+SUMIF('26'!$C$8:$C$27,$B11,'26'!$E$8:$E$27)+SUMIF('27'!$C$8:$C$27,$B11,'27'!$E$8:$E$27)+SUMIF('28'!$C$8:$C$27,$B11,'28'!$E$8:$E$27)+SUMIF('29'!$C$8:$C$27,$B11,'29'!$E$8:$E$27)+SUMIF('30'!$C$8:$C$27,$B11,'30'!$E$8:$E$27)+SUMIF('31'!$C$8:$C$27,$B11,'31'!$E$8:$E$27)</f>
        <v/>
      </c>
      <c r="E11" s="35">
        <f>SUMIF('01'!$C$8:$C$27,$B11,'01'!$F$8:$F$27)+SUMIF('02'!$C$8:$C$27,$B11,'02'!$F$8:$F$27)+SUMIF('03'!$C$8:$C$27,$B11,'03'!$F$8:$F$27)+SUMIF('04'!$C$8:$C$27,$B11,'04'!$F$8:$F$27)+SUMIF('05'!$C$8:$C$27,$B11,'05'!$F$8:$F$27)+SUMIF('06'!$C$8:$C$27,$B11,'06'!$F$8:$F$27)+SUMIF('07'!$C$8:$C$27,$B11,'07'!$F$8:$F$27)+SUMIF('08'!$C$8:$C$27,$B11,'08'!$F$8:$F$27)+SUMIF('09'!$C$8:$C$27,$B11,'09'!$F$8:$F$27)+SUMIF('10'!$C$8:$C$27,$B11,'10'!$F$8:$F$27)+SUMIF('11'!$C$8:$C$27,$B11,'11'!$F$8:$F$27)+SUMIF('12'!$C$8:$C$27,$B11,'12'!$F$8:$F$27)+SUMIF('13'!$C$8:$C$27,$B11,'13'!$F$8:$F$27)+SUMIF('14'!$C$8:$C$27,$B11,'14'!$F$8:$F$27)+SUMIF('15'!$C$8:$C$27,$B11,'15'!$F$8:$F$27)+SUMIF('16'!$C$8:$C$27,$B11,'16'!$F$8:$F$27)+SUMIF('17'!$C$8:$C$27,$B11,'17'!$F$8:$F$27)+SUMIF('18'!$C$8:$C$27,$B11,'18'!$F$8:$F$27)+SUMIF('19'!$C$8:$C$27,$B11,'19'!$F$8:$F$27)+SUMIF('20'!$C$8:$C$27,$B11,'20'!$F$8:$F$27)+SUMIF('21'!$C$8:$C$27,$B11,'21'!$F$8:$F$27)+SUMIF('22'!$C$8:$C$27,$B11,'22'!$F$8:$F$27)+SUMIF('23'!$C$8:$C$27,$B11,'23'!$F$8:$F$27)+SUMIF('24'!$C$8:$C$27,$B11,'24'!$F$8:$F$27)+SUMIF('25'!$C$8:$C$27,$B11,'25'!$F$8:$F$27)+SUMIF('26'!$C$8:$C$27,$B11,'26'!$F$8:$F$27)+SUMIF('27'!$C$8:$C$27,$B11,'27'!$F$8:$F$27)+SUMIF('28'!$C$8:$C$27,$B11,'28'!$F$8:$F$27)+SUMIF('29'!$C$8:$C$27,$B11,'29'!$F$8:$F$27)+SUMIF('30'!$C$8:$C$27,$B11,'30'!$F$8:$F$27)+SUMIF('31'!$C$8:$C$27,$B11,'31'!$F$8:$F$27)</f>
        <v/>
      </c>
      <c r="F11" s="35">
        <f>SUMIF('01'!$C$8:$C$27,$B11,'01'!$H$8:$H$27)+SUMIF('02'!$C$8:$C$27,$B11,'02'!$H$8:$H$27)+SUMIF('03'!$C$8:$C$27,$B11,'03'!$H$8:$H$27)+SUMIF('04'!$C$8:$C$27,$B11,'04'!$H$8:$H$27)+SUMIF('05'!$C$8:$C$27,$B11,'05'!$H$8:$H$27)+SUMIF('06'!$C$8:$C$27,$B11,'06'!$H$8:$H$27)+SUMIF('07'!$C$8:$C$27,$B11,'07'!$H$8:$H$27)+SUMIF('08'!$C$8:$C$27,$B11,'08'!$H$8:$H$27)+SUMIF('09'!$C$8:$C$27,$B11,'09'!$H$8:$H$27)+SUMIF('10'!$C$8:$C$27,$B11,'10'!$H$8:$H$27)+SUMIF('11'!$C$8:$C$27,$B11,'11'!$H$8:$H$27)+SUMIF('12'!$C$8:$C$27,$B11,'12'!$H$8:$H$27)+SUMIF('13'!$C$8:$C$27,$B11,'13'!$H$8:$H$27)+SUMIF('14'!$C$8:$C$27,$B11,'14'!$H$8:$H$27)+SUMIF('15'!$C$8:$C$27,$B11,'15'!$H$8:$H$27)+SUMIF('16'!$C$8:$C$27,$B11,'16'!$H$8:$H$27)+SUMIF('17'!$C$8:$C$27,$B11,'17'!$H$8:$H$27)+SUMIF('18'!$C$8:$C$27,$B11,'18'!$H$8:$H$27)+SUMIF('19'!$C$8:$C$27,$B11,'19'!$H$8:$H$27)+SUMIF('20'!$C$8:$C$27,$B11,'20'!$H$8:$H$27)+SUMIF('21'!$C$8:$C$27,$B11,'21'!$H$8:$H$27)+SUMIF('22'!$C$8:$C$27,$B11,'22'!$H$8:$H$27)+SUMIF('23'!$C$8:$C$27,$B11,'23'!$H$8:$H$27)+SUMIF('24'!$C$8:$C$27,$B11,'24'!$H$8:$H$27)+SUMIF('25'!$C$8:$C$27,$B11,'25'!$H$8:$H$27)+SUMIF('26'!$C$8:$C$27,$B11,'26'!$H$8:$H$27)+SUMIF('27'!$C$8:$C$27,$B11,'27'!$H$8:$H$27)+SUMIF('28'!$C$8:$C$27,$B11,'28'!$H$8:$H$27)+SUMIF('29'!$C$8:$C$27,$B11,'29'!$H$8:$H$27)+SUMIF('30'!$C$8:$C$27,$B11,'30'!$H$8:$H$27)+SUMIF('31'!$C$8:$C$27,$B11,'31'!$H$8:$H$27)</f>
        <v/>
      </c>
      <c r="G11" s="60">
        <f>D11+E11+F11</f>
        <v/>
      </c>
      <c r="H11" s="60">
        <f>C11-G11</f>
        <v/>
      </c>
      <c r="I11" s="79">
        <f>IF($C$26=0,0,C11/$C$26)</f>
        <v/>
      </c>
      <c r="J11">
        <f>$C11-ROW()/1000000</f>
        <v/>
      </c>
      <c r="L11">
        <f>INDEX($B$6:$B$25,MATCH(LARGE($J$6:$J$25,5),$J$6:$J$25,0))</f>
        <v/>
      </c>
      <c r="M11">
        <f>INDEX($C$6:$C$25,MATCH(LARGE($J$6:$J$25,5),$J$6:$J$25,0))</f>
        <v/>
      </c>
    </row>
    <row r="12" ht="17" customHeight="1">
      <c r="B12" s="25" t="inlineStr">
        <is>
          <t>DIMA BOIS</t>
        </is>
      </c>
      <c r="C12" s="39">
        <f>SUMIF('01'!$C$8:$C$27,$B12,'01'!$D$8:$D$27)+SUMIF('02'!$C$8:$C$27,$B12,'02'!$D$8:$D$27)+SUMIF('03'!$C$8:$C$27,$B12,'03'!$D$8:$D$27)+SUMIF('04'!$C$8:$C$27,$B12,'04'!$D$8:$D$27)+SUMIF('05'!$C$8:$C$27,$B12,'05'!$D$8:$D$27)+SUMIF('06'!$C$8:$C$27,$B12,'06'!$D$8:$D$27)+SUMIF('07'!$C$8:$C$27,$B12,'07'!$D$8:$D$27)+SUMIF('08'!$C$8:$C$27,$B12,'08'!$D$8:$D$27)+SUMIF('09'!$C$8:$C$27,$B12,'09'!$D$8:$D$27)+SUMIF('10'!$C$8:$C$27,$B12,'10'!$D$8:$D$27)+SUMIF('11'!$C$8:$C$27,$B12,'11'!$D$8:$D$27)+SUMIF('12'!$C$8:$C$27,$B12,'12'!$D$8:$D$27)+SUMIF('13'!$C$8:$C$27,$B12,'13'!$D$8:$D$27)+SUMIF('14'!$C$8:$C$27,$B12,'14'!$D$8:$D$27)+SUMIF('15'!$C$8:$C$27,$B12,'15'!$D$8:$D$27)+SUMIF('16'!$C$8:$C$27,$B12,'16'!$D$8:$D$27)+SUMIF('17'!$C$8:$C$27,$B12,'17'!$D$8:$D$27)+SUMIF('18'!$C$8:$C$27,$B12,'18'!$D$8:$D$27)+SUMIF('19'!$C$8:$C$27,$B12,'19'!$D$8:$D$27)+SUMIF('20'!$C$8:$C$27,$B12,'20'!$D$8:$D$27)+SUMIF('21'!$C$8:$C$27,$B12,'21'!$D$8:$D$27)+SUMIF('22'!$C$8:$C$27,$B12,'22'!$D$8:$D$27)+SUMIF('23'!$C$8:$C$27,$B12,'23'!$D$8:$D$27)+SUMIF('24'!$C$8:$C$27,$B12,'24'!$D$8:$D$27)+SUMIF('25'!$C$8:$C$27,$B12,'25'!$D$8:$D$27)+SUMIF('26'!$C$8:$C$27,$B12,'26'!$D$8:$D$27)+SUMIF('27'!$C$8:$C$27,$B12,'27'!$D$8:$D$27)+SUMIF('28'!$C$8:$C$27,$B12,'28'!$D$8:$D$27)+SUMIF('29'!$C$8:$C$27,$B12,'29'!$D$8:$D$27)+SUMIF('30'!$C$8:$C$27,$B12,'30'!$D$8:$D$27)+SUMIF('31'!$C$8:$C$27,$B12,'31'!$D$8:$D$27)</f>
        <v/>
      </c>
      <c r="D12" s="39">
        <f>SUMIF('01'!$C$8:$C$27,$B12,'01'!$E$8:$E$27)+SUMIF('02'!$C$8:$C$27,$B12,'02'!$E$8:$E$27)+SUMIF('03'!$C$8:$C$27,$B12,'03'!$E$8:$E$27)+SUMIF('04'!$C$8:$C$27,$B12,'04'!$E$8:$E$27)+SUMIF('05'!$C$8:$C$27,$B12,'05'!$E$8:$E$27)+SUMIF('06'!$C$8:$C$27,$B12,'06'!$E$8:$E$27)+SUMIF('07'!$C$8:$C$27,$B12,'07'!$E$8:$E$27)+SUMIF('08'!$C$8:$C$27,$B12,'08'!$E$8:$E$27)+SUMIF('09'!$C$8:$C$27,$B12,'09'!$E$8:$E$27)+SUMIF('10'!$C$8:$C$27,$B12,'10'!$E$8:$E$27)+SUMIF('11'!$C$8:$C$27,$B12,'11'!$E$8:$E$27)+SUMIF('12'!$C$8:$C$27,$B12,'12'!$E$8:$E$27)+SUMIF('13'!$C$8:$C$27,$B12,'13'!$E$8:$E$27)+SUMIF('14'!$C$8:$C$27,$B12,'14'!$E$8:$E$27)+SUMIF('15'!$C$8:$C$27,$B12,'15'!$E$8:$E$27)+SUMIF('16'!$C$8:$C$27,$B12,'16'!$E$8:$E$27)+SUMIF('17'!$C$8:$C$27,$B12,'17'!$E$8:$E$27)+SUMIF('18'!$C$8:$C$27,$B12,'18'!$E$8:$E$27)+SUMIF('19'!$C$8:$C$27,$B12,'19'!$E$8:$E$27)+SUMIF('20'!$C$8:$C$27,$B12,'20'!$E$8:$E$27)+SUMIF('21'!$C$8:$C$27,$B12,'21'!$E$8:$E$27)+SUMIF('22'!$C$8:$C$27,$B12,'22'!$E$8:$E$27)+SUMIF('23'!$C$8:$C$27,$B12,'23'!$E$8:$E$27)+SUMIF('24'!$C$8:$C$27,$B12,'24'!$E$8:$E$27)+SUMIF('25'!$C$8:$C$27,$B12,'25'!$E$8:$E$27)+SUMIF('26'!$C$8:$C$27,$B12,'26'!$E$8:$E$27)+SUMIF('27'!$C$8:$C$27,$B12,'27'!$E$8:$E$27)+SUMIF('28'!$C$8:$C$27,$B12,'28'!$E$8:$E$27)+SUMIF('29'!$C$8:$C$27,$B12,'29'!$E$8:$E$27)+SUMIF('30'!$C$8:$C$27,$B12,'30'!$E$8:$E$27)+SUMIF('31'!$C$8:$C$27,$B12,'31'!$E$8:$E$27)</f>
        <v/>
      </c>
      <c r="E12" s="39">
        <f>SUMIF('01'!$C$8:$C$27,$B12,'01'!$F$8:$F$27)+SUMIF('02'!$C$8:$C$27,$B12,'02'!$F$8:$F$27)+SUMIF('03'!$C$8:$C$27,$B12,'03'!$F$8:$F$27)+SUMIF('04'!$C$8:$C$27,$B12,'04'!$F$8:$F$27)+SUMIF('05'!$C$8:$C$27,$B12,'05'!$F$8:$F$27)+SUMIF('06'!$C$8:$C$27,$B12,'06'!$F$8:$F$27)+SUMIF('07'!$C$8:$C$27,$B12,'07'!$F$8:$F$27)+SUMIF('08'!$C$8:$C$27,$B12,'08'!$F$8:$F$27)+SUMIF('09'!$C$8:$C$27,$B12,'09'!$F$8:$F$27)+SUMIF('10'!$C$8:$C$27,$B12,'10'!$F$8:$F$27)+SUMIF('11'!$C$8:$C$27,$B12,'11'!$F$8:$F$27)+SUMIF('12'!$C$8:$C$27,$B12,'12'!$F$8:$F$27)+SUMIF('13'!$C$8:$C$27,$B12,'13'!$F$8:$F$27)+SUMIF('14'!$C$8:$C$27,$B12,'14'!$F$8:$F$27)+SUMIF('15'!$C$8:$C$27,$B12,'15'!$F$8:$F$27)+SUMIF('16'!$C$8:$C$27,$B12,'16'!$F$8:$F$27)+SUMIF('17'!$C$8:$C$27,$B12,'17'!$F$8:$F$27)+SUMIF('18'!$C$8:$C$27,$B12,'18'!$F$8:$F$27)+SUMIF('19'!$C$8:$C$27,$B12,'19'!$F$8:$F$27)+SUMIF('20'!$C$8:$C$27,$B12,'20'!$F$8:$F$27)+SUMIF('21'!$C$8:$C$27,$B12,'21'!$F$8:$F$27)+SUMIF('22'!$C$8:$C$27,$B12,'22'!$F$8:$F$27)+SUMIF('23'!$C$8:$C$27,$B12,'23'!$F$8:$F$27)+SUMIF('24'!$C$8:$C$27,$B12,'24'!$F$8:$F$27)+SUMIF('25'!$C$8:$C$27,$B12,'25'!$F$8:$F$27)+SUMIF('26'!$C$8:$C$27,$B12,'26'!$F$8:$F$27)+SUMIF('27'!$C$8:$C$27,$B12,'27'!$F$8:$F$27)+SUMIF('28'!$C$8:$C$27,$B12,'28'!$F$8:$F$27)+SUMIF('29'!$C$8:$C$27,$B12,'29'!$F$8:$F$27)+SUMIF('30'!$C$8:$C$27,$B12,'30'!$F$8:$F$27)+SUMIF('31'!$C$8:$C$27,$B12,'31'!$F$8:$F$27)</f>
        <v/>
      </c>
      <c r="F12" s="39">
        <f>SUMIF('01'!$C$8:$C$27,$B12,'01'!$H$8:$H$27)+SUMIF('02'!$C$8:$C$27,$B12,'02'!$H$8:$H$27)+SUMIF('03'!$C$8:$C$27,$B12,'03'!$H$8:$H$27)+SUMIF('04'!$C$8:$C$27,$B12,'04'!$H$8:$H$27)+SUMIF('05'!$C$8:$C$27,$B12,'05'!$H$8:$H$27)+SUMIF('06'!$C$8:$C$27,$B12,'06'!$H$8:$H$27)+SUMIF('07'!$C$8:$C$27,$B12,'07'!$H$8:$H$27)+SUMIF('08'!$C$8:$C$27,$B12,'08'!$H$8:$H$27)+SUMIF('09'!$C$8:$C$27,$B12,'09'!$H$8:$H$27)+SUMIF('10'!$C$8:$C$27,$B12,'10'!$H$8:$H$27)+SUMIF('11'!$C$8:$C$27,$B12,'11'!$H$8:$H$27)+SUMIF('12'!$C$8:$C$27,$B12,'12'!$H$8:$H$27)+SUMIF('13'!$C$8:$C$27,$B12,'13'!$H$8:$H$27)+SUMIF('14'!$C$8:$C$27,$B12,'14'!$H$8:$H$27)+SUMIF('15'!$C$8:$C$27,$B12,'15'!$H$8:$H$27)+SUMIF('16'!$C$8:$C$27,$B12,'16'!$H$8:$H$27)+SUMIF('17'!$C$8:$C$27,$B12,'17'!$H$8:$H$27)+SUMIF('18'!$C$8:$C$27,$B12,'18'!$H$8:$H$27)+SUMIF('19'!$C$8:$C$27,$B12,'19'!$H$8:$H$27)+SUMIF('20'!$C$8:$C$27,$B12,'20'!$H$8:$H$27)+SUMIF('21'!$C$8:$C$27,$B12,'21'!$H$8:$H$27)+SUMIF('22'!$C$8:$C$27,$B12,'22'!$H$8:$H$27)+SUMIF('23'!$C$8:$C$27,$B12,'23'!$H$8:$H$27)+SUMIF('24'!$C$8:$C$27,$B12,'24'!$H$8:$H$27)+SUMIF('25'!$C$8:$C$27,$B12,'25'!$H$8:$H$27)+SUMIF('26'!$C$8:$C$27,$B12,'26'!$H$8:$H$27)+SUMIF('27'!$C$8:$C$27,$B12,'27'!$H$8:$H$27)+SUMIF('28'!$C$8:$C$27,$B12,'28'!$H$8:$H$27)+SUMIF('29'!$C$8:$C$27,$B12,'29'!$H$8:$H$27)+SUMIF('30'!$C$8:$C$27,$B12,'30'!$H$8:$H$27)+SUMIF('31'!$C$8:$C$27,$B12,'31'!$H$8:$H$27)</f>
        <v/>
      </c>
      <c r="G12" s="76">
        <f>D12+E12+F12</f>
        <v/>
      </c>
      <c r="H12" s="76">
        <f>C12-G12</f>
        <v/>
      </c>
      <c r="I12" s="77">
        <f>IF($C$26=0,0,C12/$C$26)</f>
        <v/>
      </c>
      <c r="J12">
        <f>$C12-ROW()/1000000</f>
        <v/>
      </c>
      <c r="L12">
        <f>INDEX($B$6:$B$25,MATCH(LARGE($J$6:$J$25,4),$J$6:$J$25,0))</f>
        <v/>
      </c>
      <c r="M12">
        <f>INDEX($C$6:$C$25,MATCH(LARGE($J$6:$J$25,4),$J$6:$J$25,0))</f>
        <v/>
      </c>
    </row>
    <row r="13" ht="17" customHeight="1">
      <c r="B13" s="78" t="inlineStr">
        <is>
          <t>CASAPRAL</t>
        </is>
      </c>
      <c r="C13" s="35">
        <f>SUMIF('01'!$C$8:$C$27,$B13,'01'!$D$8:$D$27)+SUMIF('02'!$C$8:$C$27,$B13,'02'!$D$8:$D$27)+SUMIF('03'!$C$8:$C$27,$B13,'03'!$D$8:$D$27)+SUMIF('04'!$C$8:$C$27,$B13,'04'!$D$8:$D$27)+SUMIF('05'!$C$8:$C$27,$B13,'05'!$D$8:$D$27)+SUMIF('06'!$C$8:$C$27,$B13,'06'!$D$8:$D$27)+SUMIF('07'!$C$8:$C$27,$B13,'07'!$D$8:$D$27)+SUMIF('08'!$C$8:$C$27,$B13,'08'!$D$8:$D$27)+SUMIF('09'!$C$8:$C$27,$B13,'09'!$D$8:$D$27)+SUMIF('10'!$C$8:$C$27,$B13,'10'!$D$8:$D$27)+SUMIF('11'!$C$8:$C$27,$B13,'11'!$D$8:$D$27)+SUMIF('12'!$C$8:$C$27,$B13,'12'!$D$8:$D$27)+SUMIF('13'!$C$8:$C$27,$B13,'13'!$D$8:$D$27)+SUMIF('14'!$C$8:$C$27,$B13,'14'!$D$8:$D$27)+SUMIF('15'!$C$8:$C$27,$B13,'15'!$D$8:$D$27)+SUMIF('16'!$C$8:$C$27,$B13,'16'!$D$8:$D$27)+SUMIF('17'!$C$8:$C$27,$B13,'17'!$D$8:$D$27)+SUMIF('18'!$C$8:$C$27,$B13,'18'!$D$8:$D$27)+SUMIF('19'!$C$8:$C$27,$B13,'19'!$D$8:$D$27)+SUMIF('20'!$C$8:$C$27,$B13,'20'!$D$8:$D$27)+SUMIF('21'!$C$8:$C$27,$B13,'21'!$D$8:$D$27)+SUMIF('22'!$C$8:$C$27,$B13,'22'!$D$8:$D$27)+SUMIF('23'!$C$8:$C$27,$B13,'23'!$D$8:$D$27)+SUMIF('24'!$C$8:$C$27,$B13,'24'!$D$8:$D$27)+SUMIF('25'!$C$8:$C$27,$B13,'25'!$D$8:$D$27)+SUMIF('26'!$C$8:$C$27,$B13,'26'!$D$8:$D$27)+SUMIF('27'!$C$8:$C$27,$B13,'27'!$D$8:$D$27)+SUMIF('28'!$C$8:$C$27,$B13,'28'!$D$8:$D$27)+SUMIF('29'!$C$8:$C$27,$B13,'29'!$D$8:$D$27)+SUMIF('30'!$C$8:$C$27,$B13,'30'!$D$8:$D$27)+SUMIF('31'!$C$8:$C$27,$B13,'31'!$D$8:$D$27)</f>
        <v/>
      </c>
      <c r="D13" s="35">
        <f>SUMIF('01'!$C$8:$C$27,$B13,'01'!$E$8:$E$27)+SUMIF('02'!$C$8:$C$27,$B13,'02'!$E$8:$E$27)+SUMIF('03'!$C$8:$C$27,$B13,'03'!$E$8:$E$27)+SUMIF('04'!$C$8:$C$27,$B13,'04'!$E$8:$E$27)+SUMIF('05'!$C$8:$C$27,$B13,'05'!$E$8:$E$27)+SUMIF('06'!$C$8:$C$27,$B13,'06'!$E$8:$E$27)+SUMIF('07'!$C$8:$C$27,$B13,'07'!$E$8:$E$27)+SUMIF('08'!$C$8:$C$27,$B13,'08'!$E$8:$E$27)+SUMIF('09'!$C$8:$C$27,$B13,'09'!$E$8:$E$27)+SUMIF('10'!$C$8:$C$27,$B13,'10'!$E$8:$E$27)+SUMIF('11'!$C$8:$C$27,$B13,'11'!$E$8:$E$27)+SUMIF('12'!$C$8:$C$27,$B13,'12'!$E$8:$E$27)+SUMIF('13'!$C$8:$C$27,$B13,'13'!$E$8:$E$27)+SUMIF('14'!$C$8:$C$27,$B13,'14'!$E$8:$E$27)+SUMIF('15'!$C$8:$C$27,$B13,'15'!$E$8:$E$27)+SUMIF('16'!$C$8:$C$27,$B13,'16'!$E$8:$E$27)+SUMIF('17'!$C$8:$C$27,$B13,'17'!$E$8:$E$27)+SUMIF('18'!$C$8:$C$27,$B13,'18'!$E$8:$E$27)+SUMIF('19'!$C$8:$C$27,$B13,'19'!$E$8:$E$27)+SUMIF('20'!$C$8:$C$27,$B13,'20'!$E$8:$E$27)+SUMIF('21'!$C$8:$C$27,$B13,'21'!$E$8:$E$27)+SUMIF('22'!$C$8:$C$27,$B13,'22'!$E$8:$E$27)+SUMIF('23'!$C$8:$C$27,$B13,'23'!$E$8:$E$27)+SUMIF('24'!$C$8:$C$27,$B13,'24'!$E$8:$E$27)+SUMIF('25'!$C$8:$C$27,$B13,'25'!$E$8:$E$27)+SUMIF('26'!$C$8:$C$27,$B13,'26'!$E$8:$E$27)+SUMIF('27'!$C$8:$C$27,$B13,'27'!$E$8:$E$27)+SUMIF('28'!$C$8:$C$27,$B13,'28'!$E$8:$E$27)+SUMIF('29'!$C$8:$C$27,$B13,'29'!$E$8:$E$27)+SUMIF('30'!$C$8:$C$27,$B13,'30'!$E$8:$E$27)+SUMIF('31'!$C$8:$C$27,$B13,'31'!$E$8:$E$27)</f>
        <v/>
      </c>
      <c r="E13" s="35">
        <f>SUMIF('01'!$C$8:$C$27,$B13,'01'!$F$8:$F$27)+SUMIF('02'!$C$8:$C$27,$B13,'02'!$F$8:$F$27)+SUMIF('03'!$C$8:$C$27,$B13,'03'!$F$8:$F$27)+SUMIF('04'!$C$8:$C$27,$B13,'04'!$F$8:$F$27)+SUMIF('05'!$C$8:$C$27,$B13,'05'!$F$8:$F$27)+SUMIF('06'!$C$8:$C$27,$B13,'06'!$F$8:$F$27)+SUMIF('07'!$C$8:$C$27,$B13,'07'!$F$8:$F$27)+SUMIF('08'!$C$8:$C$27,$B13,'08'!$F$8:$F$27)+SUMIF('09'!$C$8:$C$27,$B13,'09'!$F$8:$F$27)+SUMIF('10'!$C$8:$C$27,$B13,'10'!$F$8:$F$27)+SUMIF('11'!$C$8:$C$27,$B13,'11'!$F$8:$F$27)+SUMIF('12'!$C$8:$C$27,$B13,'12'!$F$8:$F$27)+SUMIF('13'!$C$8:$C$27,$B13,'13'!$F$8:$F$27)+SUMIF('14'!$C$8:$C$27,$B13,'14'!$F$8:$F$27)+SUMIF('15'!$C$8:$C$27,$B13,'15'!$F$8:$F$27)+SUMIF('16'!$C$8:$C$27,$B13,'16'!$F$8:$F$27)+SUMIF('17'!$C$8:$C$27,$B13,'17'!$F$8:$F$27)+SUMIF('18'!$C$8:$C$27,$B13,'18'!$F$8:$F$27)+SUMIF('19'!$C$8:$C$27,$B13,'19'!$F$8:$F$27)+SUMIF('20'!$C$8:$C$27,$B13,'20'!$F$8:$F$27)+SUMIF('21'!$C$8:$C$27,$B13,'21'!$F$8:$F$27)+SUMIF('22'!$C$8:$C$27,$B13,'22'!$F$8:$F$27)+SUMIF('23'!$C$8:$C$27,$B13,'23'!$F$8:$F$27)+SUMIF('24'!$C$8:$C$27,$B13,'24'!$F$8:$F$27)+SUMIF('25'!$C$8:$C$27,$B13,'25'!$F$8:$F$27)+SUMIF('26'!$C$8:$C$27,$B13,'26'!$F$8:$F$27)+SUMIF('27'!$C$8:$C$27,$B13,'27'!$F$8:$F$27)+SUMIF('28'!$C$8:$C$27,$B13,'28'!$F$8:$F$27)+SUMIF('29'!$C$8:$C$27,$B13,'29'!$F$8:$F$27)+SUMIF('30'!$C$8:$C$27,$B13,'30'!$F$8:$F$27)+SUMIF('31'!$C$8:$C$27,$B13,'31'!$F$8:$F$27)</f>
        <v/>
      </c>
      <c r="F13" s="35">
        <f>SUMIF('01'!$C$8:$C$27,$B13,'01'!$H$8:$H$27)+SUMIF('02'!$C$8:$C$27,$B13,'02'!$H$8:$H$27)+SUMIF('03'!$C$8:$C$27,$B13,'03'!$H$8:$H$27)+SUMIF('04'!$C$8:$C$27,$B13,'04'!$H$8:$H$27)+SUMIF('05'!$C$8:$C$27,$B13,'05'!$H$8:$H$27)+SUMIF('06'!$C$8:$C$27,$B13,'06'!$H$8:$H$27)+SUMIF('07'!$C$8:$C$27,$B13,'07'!$H$8:$H$27)+SUMIF('08'!$C$8:$C$27,$B13,'08'!$H$8:$H$27)+SUMIF('09'!$C$8:$C$27,$B13,'09'!$H$8:$H$27)+SUMIF('10'!$C$8:$C$27,$B13,'10'!$H$8:$H$27)+SUMIF('11'!$C$8:$C$27,$B13,'11'!$H$8:$H$27)+SUMIF('12'!$C$8:$C$27,$B13,'12'!$H$8:$H$27)+SUMIF('13'!$C$8:$C$27,$B13,'13'!$H$8:$H$27)+SUMIF('14'!$C$8:$C$27,$B13,'14'!$H$8:$H$27)+SUMIF('15'!$C$8:$C$27,$B13,'15'!$H$8:$H$27)+SUMIF('16'!$C$8:$C$27,$B13,'16'!$H$8:$H$27)+SUMIF('17'!$C$8:$C$27,$B13,'17'!$H$8:$H$27)+SUMIF('18'!$C$8:$C$27,$B13,'18'!$H$8:$H$27)+SUMIF('19'!$C$8:$C$27,$B13,'19'!$H$8:$H$27)+SUMIF('20'!$C$8:$C$27,$B13,'20'!$H$8:$H$27)+SUMIF('21'!$C$8:$C$27,$B13,'21'!$H$8:$H$27)+SUMIF('22'!$C$8:$C$27,$B13,'22'!$H$8:$H$27)+SUMIF('23'!$C$8:$C$27,$B13,'23'!$H$8:$H$27)+SUMIF('24'!$C$8:$C$27,$B13,'24'!$H$8:$H$27)+SUMIF('25'!$C$8:$C$27,$B13,'25'!$H$8:$H$27)+SUMIF('26'!$C$8:$C$27,$B13,'26'!$H$8:$H$27)+SUMIF('27'!$C$8:$C$27,$B13,'27'!$H$8:$H$27)+SUMIF('28'!$C$8:$C$27,$B13,'28'!$H$8:$H$27)+SUMIF('29'!$C$8:$C$27,$B13,'29'!$H$8:$H$27)+SUMIF('30'!$C$8:$C$27,$B13,'30'!$H$8:$H$27)+SUMIF('31'!$C$8:$C$27,$B13,'31'!$H$8:$H$27)</f>
        <v/>
      </c>
      <c r="G13" s="60">
        <f>D13+E13+F13</f>
        <v/>
      </c>
      <c r="H13" s="60">
        <f>C13-G13</f>
        <v/>
      </c>
      <c r="I13" s="79">
        <f>IF($C$26=0,0,C13/$C$26)</f>
        <v/>
      </c>
      <c r="J13">
        <f>$C13-ROW()/1000000</f>
        <v/>
      </c>
      <c r="L13">
        <f>INDEX($B$6:$B$25,MATCH(LARGE($J$6:$J$25,3),$J$6:$J$25,0))</f>
        <v/>
      </c>
      <c r="M13">
        <f>INDEX($C$6:$C$25,MATCH(LARGE($J$6:$J$25,3),$J$6:$J$25,0))</f>
        <v/>
      </c>
    </row>
    <row r="14" ht="17" customHeight="1">
      <c r="B14" s="25" t="inlineStr">
        <is>
          <t>LCVR</t>
        </is>
      </c>
      <c r="C14" s="39">
        <f>SUMIF('01'!$C$8:$C$27,$B14,'01'!$D$8:$D$27)+SUMIF('02'!$C$8:$C$27,$B14,'02'!$D$8:$D$27)+SUMIF('03'!$C$8:$C$27,$B14,'03'!$D$8:$D$27)+SUMIF('04'!$C$8:$C$27,$B14,'04'!$D$8:$D$27)+SUMIF('05'!$C$8:$C$27,$B14,'05'!$D$8:$D$27)+SUMIF('06'!$C$8:$C$27,$B14,'06'!$D$8:$D$27)+SUMIF('07'!$C$8:$C$27,$B14,'07'!$D$8:$D$27)+SUMIF('08'!$C$8:$C$27,$B14,'08'!$D$8:$D$27)+SUMIF('09'!$C$8:$C$27,$B14,'09'!$D$8:$D$27)+SUMIF('10'!$C$8:$C$27,$B14,'10'!$D$8:$D$27)+SUMIF('11'!$C$8:$C$27,$B14,'11'!$D$8:$D$27)+SUMIF('12'!$C$8:$C$27,$B14,'12'!$D$8:$D$27)+SUMIF('13'!$C$8:$C$27,$B14,'13'!$D$8:$D$27)+SUMIF('14'!$C$8:$C$27,$B14,'14'!$D$8:$D$27)+SUMIF('15'!$C$8:$C$27,$B14,'15'!$D$8:$D$27)+SUMIF('16'!$C$8:$C$27,$B14,'16'!$D$8:$D$27)+SUMIF('17'!$C$8:$C$27,$B14,'17'!$D$8:$D$27)+SUMIF('18'!$C$8:$C$27,$B14,'18'!$D$8:$D$27)+SUMIF('19'!$C$8:$C$27,$B14,'19'!$D$8:$D$27)+SUMIF('20'!$C$8:$C$27,$B14,'20'!$D$8:$D$27)+SUMIF('21'!$C$8:$C$27,$B14,'21'!$D$8:$D$27)+SUMIF('22'!$C$8:$C$27,$B14,'22'!$D$8:$D$27)+SUMIF('23'!$C$8:$C$27,$B14,'23'!$D$8:$D$27)+SUMIF('24'!$C$8:$C$27,$B14,'24'!$D$8:$D$27)+SUMIF('25'!$C$8:$C$27,$B14,'25'!$D$8:$D$27)+SUMIF('26'!$C$8:$C$27,$B14,'26'!$D$8:$D$27)+SUMIF('27'!$C$8:$C$27,$B14,'27'!$D$8:$D$27)+SUMIF('28'!$C$8:$C$27,$B14,'28'!$D$8:$D$27)+SUMIF('29'!$C$8:$C$27,$B14,'29'!$D$8:$D$27)+SUMIF('30'!$C$8:$C$27,$B14,'30'!$D$8:$D$27)+SUMIF('31'!$C$8:$C$27,$B14,'31'!$D$8:$D$27)</f>
        <v/>
      </c>
      <c r="D14" s="39">
        <f>SUMIF('01'!$C$8:$C$27,$B14,'01'!$E$8:$E$27)+SUMIF('02'!$C$8:$C$27,$B14,'02'!$E$8:$E$27)+SUMIF('03'!$C$8:$C$27,$B14,'03'!$E$8:$E$27)+SUMIF('04'!$C$8:$C$27,$B14,'04'!$E$8:$E$27)+SUMIF('05'!$C$8:$C$27,$B14,'05'!$E$8:$E$27)+SUMIF('06'!$C$8:$C$27,$B14,'06'!$E$8:$E$27)+SUMIF('07'!$C$8:$C$27,$B14,'07'!$E$8:$E$27)+SUMIF('08'!$C$8:$C$27,$B14,'08'!$E$8:$E$27)+SUMIF('09'!$C$8:$C$27,$B14,'09'!$E$8:$E$27)+SUMIF('10'!$C$8:$C$27,$B14,'10'!$E$8:$E$27)+SUMIF('11'!$C$8:$C$27,$B14,'11'!$E$8:$E$27)+SUMIF('12'!$C$8:$C$27,$B14,'12'!$E$8:$E$27)+SUMIF('13'!$C$8:$C$27,$B14,'13'!$E$8:$E$27)+SUMIF('14'!$C$8:$C$27,$B14,'14'!$E$8:$E$27)+SUMIF('15'!$C$8:$C$27,$B14,'15'!$E$8:$E$27)+SUMIF('16'!$C$8:$C$27,$B14,'16'!$E$8:$E$27)+SUMIF('17'!$C$8:$C$27,$B14,'17'!$E$8:$E$27)+SUMIF('18'!$C$8:$C$27,$B14,'18'!$E$8:$E$27)+SUMIF('19'!$C$8:$C$27,$B14,'19'!$E$8:$E$27)+SUMIF('20'!$C$8:$C$27,$B14,'20'!$E$8:$E$27)+SUMIF('21'!$C$8:$C$27,$B14,'21'!$E$8:$E$27)+SUMIF('22'!$C$8:$C$27,$B14,'22'!$E$8:$E$27)+SUMIF('23'!$C$8:$C$27,$B14,'23'!$E$8:$E$27)+SUMIF('24'!$C$8:$C$27,$B14,'24'!$E$8:$E$27)+SUMIF('25'!$C$8:$C$27,$B14,'25'!$E$8:$E$27)+SUMIF('26'!$C$8:$C$27,$B14,'26'!$E$8:$E$27)+SUMIF('27'!$C$8:$C$27,$B14,'27'!$E$8:$E$27)+SUMIF('28'!$C$8:$C$27,$B14,'28'!$E$8:$E$27)+SUMIF('29'!$C$8:$C$27,$B14,'29'!$E$8:$E$27)+SUMIF('30'!$C$8:$C$27,$B14,'30'!$E$8:$E$27)+SUMIF('31'!$C$8:$C$27,$B14,'31'!$E$8:$E$27)</f>
        <v/>
      </c>
      <c r="E14" s="39">
        <f>SUMIF('01'!$C$8:$C$27,$B14,'01'!$F$8:$F$27)+SUMIF('02'!$C$8:$C$27,$B14,'02'!$F$8:$F$27)+SUMIF('03'!$C$8:$C$27,$B14,'03'!$F$8:$F$27)+SUMIF('04'!$C$8:$C$27,$B14,'04'!$F$8:$F$27)+SUMIF('05'!$C$8:$C$27,$B14,'05'!$F$8:$F$27)+SUMIF('06'!$C$8:$C$27,$B14,'06'!$F$8:$F$27)+SUMIF('07'!$C$8:$C$27,$B14,'07'!$F$8:$F$27)+SUMIF('08'!$C$8:$C$27,$B14,'08'!$F$8:$F$27)+SUMIF('09'!$C$8:$C$27,$B14,'09'!$F$8:$F$27)+SUMIF('10'!$C$8:$C$27,$B14,'10'!$F$8:$F$27)+SUMIF('11'!$C$8:$C$27,$B14,'11'!$F$8:$F$27)+SUMIF('12'!$C$8:$C$27,$B14,'12'!$F$8:$F$27)+SUMIF('13'!$C$8:$C$27,$B14,'13'!$F$8:$F$27)+SUMIF('14'!$C$8:$C$27,$B14,'14'!$F$8:$F$27)+SUMIF('15'!$C$8:$C$27,$B14,'15'!$F$8:$F$27)+SUMIF('16'!$C$8:$C$27,$B14,'16'!$F$8:$F$27)+SUMIF('17'!$C$8:$C$27,$B14,'17'!$F$8:$F$27)+SUMIF('18'!$C$8:$C$27,$B14,'18'!$F$8:$F$27)+SUMIF('19'!$C$8:$C$27,$B14,'19'!$F$8:$F$27)+SUMIF('20'!$C$8:$C$27,$B14,'20'!$F$8:$F$27)+SUMIF('21'!$C$8:$C$27,$B14,'21'!$F$8:$F$27)+SUMIF('22'!$C$8:$C$27,$B14,'22'!$F$8:$F$27)+SUMIF('23'!$C$8:$C$27,$B14,'23'!$F$8:$F$27)+SUMIF('24'!$C$8:$C$27,$B14,'24'!$F$8:$F$27)+SUMIF('25'!$C$8:$C$27,$B14,'25'!$F$8:$F$27)+SUMIF('26'!$C$8:$C$27,$B14,'26'!$F$8:$F$27)+SUMIF('27'!$C$8:$C$27,$B14,'27'!$F$8:$F$27)+SUMIF('28'!$C$8:$C$27,$B14,'28'!$F$8:$F$27)+SUMIF('29'!$C$8:$C$27,$B14,'29'!$F$8:$F$27)+SUMIF('30'!$C$8:$C$27,$B14,'30'!$F$8:$F$27)+SUMIF('31'!$C$8:$C$27,$B14,'31'!$F$8:$F$27)</f>
        <v/>
      </c>
      <c r="F14" s="39">
        <f>SUMIF('01'!$C$8:$C$27,$B14,'01'!$H$8:$H$27)+SUMIF('02'!$C$8:$C$27,$B14,'02'!$H$8:$H$27)+SUMIF('03'!$C$8:$C$27,$B14,'03'!$H$8:$H$27)+SUMIF('04'!$C$8:$C$27,$B14,'04'!$H$8:$H$27)+SUMIF('05'!$C$8:$C$27,$B14,'05'!$H$8:$H$27)+SUMIF('06'!$C$8:$C$27,$B14,'06'!$H$8:$H$27)+SUMIF('07'!$C$8:$C$27,$B14,'07'!$H$8:$H$27)+SUMIF('08'!$C$8:$C$27,$B14,'08'!$H$8:$H$27)+SUMIF('09'!$C$8:$C$27,$B14,'09'!$H$8:$H$27)+SUMIF('10'!$C$8:$C$27,$B14,'10'!$H$8:$H$27)+SUMIF('11'!$C$8:$C$27,$B14,'11'!$H$8:$H$27)+SUMIF('12'!$C$8:$C$27,$B14,'12'!$H$8:$H$27)+SUMIF('13'!$C$8:$C$27,$B14,'13'!$H$8:$H$27)+SUMIF('14'!$C$8:$C$27,$B14,'14'!$H$8:$H$27)+SUMIF('15'!$C$8:$C$27,$B14,'15'!$H$8:$H$27)+SUMIF('16'!$C$8:$C$27,$B14,'16'!$H$8:$H$27)+SUMIF('17'!$C$8:$C$27,$B14,'17'!$H$8:$H$27)+SUMIF('18'!$C$8:$C$27,$B14,'18'!$H$8:$H$27)+SUMIF('19'!$C$8:$C$27,$B14,'19'!$H$8:$H$27)+SUMIF('20'!$C$8:$C$27,$B14,'20'!$H$8:$H$27)+SUMIF('21'!$C$8:$C$27,$B14,'21'!$H$8:$H$27)+SUMIF('22'!$C$8:$C$27,$B14,'22'!$H$8:$H$27)+SUMIF('23'!$C$8:$C$27,$B14,'23'!$H$8:$H$27)+SUMIF('24'!$C$8:$C$27,$B14,'24'!$H$8:$H$27)+SUMIF('25'!$C$8:$C$27,$B14,'25'!$H$8:$H$27)+SUMIF('26'!$C$8:$C$27,$B14,'26'!$H$8:$H$27)+SUMIF('27'!$C$8:$C$27,$B14,'27'!$H$8:$H$27)+SUMIF('28'!$C$8:$C$27,$B14,'28'!$H$8:$H$27)+SUMIF('29'!$C$8:$C$27,$B14,'29'!$H$8:$H$27)+SUMIF('30'!$C$8:$C$27,$B14,'30'!$H$8:$H$27)+SUMIF('31'!$C$8:$C$27,$B14,'31'!$H$8:$H$27)</f>
        <v/>
      </c>
      <c r="G14" s="76">
        <f>D14+E14+F14</f>
        <v/>
      </c>
      <c r="H14" s="76">
        <f>C14-G14</f>
        <v/>
      </c>
      <c r="I14" s="77">
        <f>IF($C$26=0,0,C14/$C$26)</f>
        <v/>
      </c>
      <c r="J14">
        <f>$C14-ROW()/1000000</f>
        <v/>
      </c>
      <c r="L14">
        <f>INDEX($B$6:$B$25,MATCH(LARGE($J$6:$J$25,2),$J$6:$J$25,0))</f>
        <v/>
      </c>
      <c r="M14">
        <f>INDEX($C$6:$C$25,MATCH(LARGE($J$6:$J$25,2),$J$6:$J$25,0))</f>
        <v/>
      </c>
    </row>
    <row r="15" ht="17" customHeight="1">
      <c r="B15" s="78" t="inlineStr">
        <is>
          <t>ALUMA</t>
        </is>
      </c>
      <c r="C15" s="35">
        <f>SUMIF('01'!$C$8:$C$27,$B15,'01'!$D$8:$D$27)+SUMIF('02'!$C$8:$C$27,$B15,'02'!$D$8:$D$27)+SUMIF('03'!$C$8:$C$27,$B15,'03'!$D$8:$D$27)+SUMIF('04'!$C$8:$C$27,$B15,'04'!$D$8:$D$27)+SUMIF('05'!$C$8:$C$27,$B15,'05'!$D$8:$D$27)+SUMIF('06'!$C$8:$C$27,$B15,'06'!$D$8:$D$27)+SUMIF('07'!$C$8:$C$27,$B15,'07'!$D$8:$D$27)+SUMIF('08'!$C$8:$C$27,$B15,'08'!$D$8:$D$27)+SUMIF('09'!$C$8:$C$27,$B15,'09'!$D$8:$D$27)+SUMIF('10'!$C$8:$C$27,$B15,'10'!$D$8:$D$27)+SUMIF('11'!$C$8:$C$27,$B15,'11'!$D$8:$D$27)+SUMIF('12'!$C$8:$C$27,$B15,'12'!$D$8:$D$27)+SUMIF('13'!$C$8:$C$27,$B15,'13'!$D$8:$D$27)+SUMIF('14'!$C$8:$C$27,$B15,'14'!$D$8:$D$27)+SUMIF('15'!$C$8:$C$27,$B15,'15'!$D$8:$D$27)+SUMIF('16'!$C$8:$C$27,$B15,'16'!$D$8:$D$27)+SUMIF('17'!$C$8:$C$27,$B15,'17'!$D$8:$D$27)+SUMIF('18'!$C$8:$C$27,$B15,'18'!$D$8:$D$27)+SUMIF('19'!$C$8:$C$27,$B15,'19'!$D$8:$D$27)+SUMIF('20'!$C$8:$C$27,$B15,'20'!$D$8:$D$27)+SUMIF('21'!$C$8:$C$27,$B15,'21'!$D$8:$D$27)+SUMIF('22'!$C$8:$C$27,$B15,'22'!$D$8:$D$27)+SUMIF('23'!$C$8:$C$27,$B15,'23'!$D$8:$D$27)+SUMIF('24'!$C$8:$C$27,$B15,'24'!$D$8:$D$27)+SUMIF('25'!$C$8:$C$27,$B15,'25'!$D$8:$D$27)+SUMIF('26'!$C$8:$C$27,$B15,'26'!$D$8:$D$27)+SUMIF('27'!$C$8:$C$27,$B15,'27'!$D$8:$D$27)+SUMIF('28'!$C$8:$C$27,$B15,'28'!$D$8:$D$27)+SUMIF('29'!$C$8:$C$27,$B15,'29'!$D$8:$D$27)+SUMIF('30'!$C$8:$C$27,$B15,'30'!$D$8:$D$27)+SUMIF('31'!$C$8:$C$27,$B15,'31'!$D$8:$D$27)</f>
        <v/>
      </c>
      <c r="D15" s="35">
        <f>SUMIF('01'!$C$8:$C$27,$B15,'01'!$E$8:$E$27)+SUMIF('02'!$C$8:$C$27,$B15,'02'!$E$8:$E$27)+SUMIF('03'!$C$8:$C$27,$B15,'03'!$E$8:$E$27)+SUMIF('04'!$C$8:$C$27,$B15,'04'!$E$8:$E$27)+SUMIF('05'!$C$8:$C$27,$B15,'05'!$E$8:$E$27)+SUMIF('06'!$C$8:$C$27,$B15,'06'!$E$8:$E$27)+SUMIF('07'!$C$8:$C$27,$B15,'07'!$E$8:$E$27)+SUMIF('08'!$C$8:$C$27,$B15,'08'!$E$8:$E$27)+SUMIF('09'!$C$8:$C$27,$B15,'09'!$E$8:$E$27)+SUMIF('10'!$C$8:$C$27,$B15,'10'!$E$8:$E$27)+SUMIF('11'!$C$8:$C$27,$B15,'11'!$E$8:$E$27)+SUMIF('12'!$C$8:$C$27,$B15,'12'!$E$8:$E$27)+SUMIF('13'!$C$8:$C$27,$B15,'13'!$E$8:$E$27)+SUMIF('14'!$C$8:$C$27,$B15,'14'!$E$8:$E$27)+SUMIF('15'!$C$8:$C$27,$B15,'15'!$E$8:$E$27)+SUMIF('16'!$C$8:$C$27,$B15,'16'!$E$8:$E$27)+SUMIF('17'!$C$8:$C$27,$B15,'17'!$E$8:$E$27)+SUMIF('18'!$C$8:$C$27,$B15,'18'!$E$8:$E$27)+SUMIF('19'!$C$8:$C$27,$B15,'19'!$E$8:$E$27)+SUMIF('20'!$C$8:$C$27,$B15,'20'!$E$8:$E$27)+SUMIF('21'!$C$8:$C$27,$B15,'21'!$E$8:$E$27)+SUMIF('22'!$C$8:$C$27,$B15,'22'!$E$8:$E$27)+SUMIF('23'!$C$8:$C$27,$B15,'23'!$E$8:$E$27)+SUMIF('24'!$C$8:$C$27,$B15,'24'!$E$8:$E$27)+SUMIF('25'!$C$8:$C$27,$B15,'25'!$E$8:$E$27)+SUMIF('26'!$C$8:$C$27,$B15,'26'!$E$8:$E$27)+SUMIF('27'!$C$8:$C$27,$B15,'27'!$E$8:$E$27)+SUMIF('28'!$C$8:$C$27,$B15,'28'!$E$8:$E$27)+SUMIF('29'!$C$8:$C$27,$B15,'29'!$E$8:$E$27)+SUMIF('30'!$C$8:$C$27,$B15,'30'!$E$8:$E$27)+SUMIF('31'!$C$8:$C$27,$B15,'31'!$E$8:$E$27)</f>
        <v/>
      </c>
      <c r="E15" s="35">
        <f>SUMIF('01'!$C$8:$C$27,$B15,'01'!$F$8:$F$27)+SUMIF('02'!$C$8:$C$27,$B15,'02'!$F$8:$F$27)+SUMIF('03'!$C$8:$C$27,$B15,'03'!$F$8:$F$27)+SUMIF('04'!$C$8:$C$27,$B15,'04'!$F$8:$F$27)+SUMIF('05'!$C$8:$C$27,$B15,'05'!$F$8:$F$27)+SUMIF('06'!$C$8:$C$27,$B15,'06'!$F$8:$F$27)+SUMIF('07'!$C$8:$C$27,$B15,'07'!$F$8:$F$27)+SUMIF('08'!$C$8:$C$27,$B15,'08'!$F$8:$F$27)+SUMIF('09'!$C$8:$C$27,$B15,'09'!$F$8:$F$27)+SUMIF('10'!$C$8:$C$27,$B15,'10'!$F$8:$F$27)+SUMIF('11'!$C$8:$C$27,$B15,'11'!$F$8:$F$27)+SUMIF('12'!$C$8:$C$27,$B15,'12'!$F$8:$F$27)+SUMIF('13'!$C$8:$C$27,$B15,'13'!$F$8:$F$27)+SUMIF('14'!$C$8:$C$27,$B15,'14'!$F$8:$F$27)+SUMIF('15'!$C$8:$C$27,$B15,'15'!$F$8:$F$27)+SUMIF('16'!$C$8:$C$27,$B15,'16'!$F$8:$F$27)+SUMIF('17'!$C$8:$C$27,$B15,'17'!$F$8:$F$27)+SUMIF('18'!$C$8:$C$27,$B15,'18'!$F$8:$F$27)+SUMIF('19'!$C$8:$C$27,$B15,'19'!$F$8:$F$27)+SUMIF('20'!$C$8:$C$27,$B15,'20'!$F$8:$F$27)+SUMIF('21'!$C$8:$C$27,$B15,'21'!$F$8:$F$27)+SUMIF('22'!$C$8:$C$27,$B15,'22'!$F$8:$F$27)+SUMIF('23'!$C$8:$C$27,$B15,'23'!$F$8:$F$27)+SUMIF('24'!$C$8:$C$27,$B15,'24'!$F$8:$F$27)+SUMIF('25'!$C$8:$C$27,$B15,'25'!$F$8:$F$27)+SUMIF('26'!$C$8:$C$27,$B15,'26'!$F$8:$F$27)+SUMIF('27'!$C$8:$C$27,$B15,'27'!$F$8:$F$27)+SUMIF('28'!$C$8:$C$27,$B15,'28'!$F$8:$F$27)+SUMIF('29'!$C$8:$C$27,$B15,'29'!$F$8:$F$27)+SUMIF('30'!$C$8:$C$27,$B15,'30'!$F$8:$F$27)+SUMIF('31'!$C$8:$C$27,$B15,'31'!$F$8:$F$27)</f>
        <v/>
      </c>
      <c r="F15" s="35">
        <f>SUMIF('01'!$C$8:$C$27,$B15,'01'!$H$8:$H$27)+SUMIF('02'!$C$8:$C$27,$B15,'02'!$H$8:$H$27)+SUMIF('03'!$C$8:$C$27,$B15,'03'!$H$8:$H$27)+SUMIF('04'!$C$8:$C$27,$B15,'04'!$H$8:$H$27)+SUMIF('05'!$C$8:$C$27,$B15,'05'!$H$8:$H$27)+SUMIF('06'!$C$8:$C$27,$B15,'06'!$H$8:$H$27)+SUMIF('07'!$C$8:$C$27,$B15,'07'!$H$8:$H$27)+SUMIF('08'!$C$8:$C$27,$B15,'08'!$H$8:$H$27)+SUMIF('09'!$C$8:$C$27,$B15,'09'!$H$8:$H$27)+SUMIF('10'!$C$8:$C$27,$B15,'10'!$H$8:$H$27)+SUMIF('11'!$C$8:$C$27,$B15,'11'!$H$8:$H$27)+SUMIF('12'!$C$8:$C$27,$B15,'12'!$H$8:$H$27)+SUMIF('13'!$C$8:$C$27,$B15,'13'!$H$8:$H$27)+SUMIF('14'!$C$8:$C$27,$B15,'14'!$H$8:$H$27)+SUMIF('15'!$C$8:$C$27,$B15,'15'!$H$8:$H$27)+SUMIF('16'!$C$8:$C$27,$B15,'16'!$H$8:$H$27)+SUMIF('17'!$C$8:$C$27,$B15,'17'!$H$8:$H$27)+SUMIF('18'!$C$8:$C$27,$B15,'18'!$H$8:$H$27)+SUMIF('19'!$C$8:$C$27,$B15,'19'!$H$8:$H$27)+SUMIF('20'!$C$8:$C$27,$B15,'20'!$H$8:$H$27)+SUMIF('21'!$C$8:$C$27,$B15,'21'!$H$8:$H$27)+SUMIF('22'!$C$8:$C$27,$B15,'22'!$H$8:$H$27)+SUMIF('23'!$C$8:$C$27,$B15,'23'!$H$8:$H$27)+SUMIF('24'!$C$8:$C$27,$B15,'24'!$H$8:$H$27)+SUMIF('25'!$C$8:$C$27,$B15,'25'!$H$8:$H$27)+SUMIF('26'!$C$8:$C$27,$B15,'26'!$H$8:$H$27)+SUMIF('27'!$C$8:$C$27,$B15,'27'!$H$8:$H$27)+SUMIF('28'!$C$8:$C$27,$B15,'28'!$H$8:$H$27)+SUMIF('29'!$C$8:$C$27,$B15,'29'!$H$8:$H$27)+SUMIF('30'!$C$8:$C$27,$B15,'30'!$H$8:$H$27)+SUMIF('31'!$C$8:$C$27,$B15,'31'!$H$8:$H$27)</f>
        <v/>
      </c>
      <c r="G15" s="60">
        <f>D15+E15+F15</f>
        <v/>
      </c>
      <c r="H15" s="60">
        <f>C15-G15</f>
        <v/>
      </c>
      <c r="I15" s="79">
        <f>IF($C$26=0,0,C15/$C$26)</f>
        <v/>
      </c>
      <c r="J15">
        <f>$C15-ROW()/1000000</f>
        <v/>
      </c>
      <c r="L15">
        <f>INDEX($B$6:$B$25,MATCH(LARGE($J$6:$J$25,1),$J$6:$J$25,0))</f>
        <v/>
      </c>
      <c r="M15">
        <f>INDEX($C$6:$C$25,MATCH(LARGE($J$6:$J$25,1),$J$6:$J$25,0))</f>
        <v/>
      </c>
    </row>
    <row r="16" ht="17" customHeight="1">
      <c r="B16" s="25" t="inlineStr">
        <is>
          <t>HAJ OMAR</t>
        </is>
      </c>
      <c r="C16" s="39">
        <f>SUMIF('01'!$C$8:$C$27,$B16,'01'!$D$8:$D$27)+SUMIF('02'!$C$8:$C$27,$B16,'02'!$D$8:$D$27)+SUMIF('03'!$C$8:$C$27,$B16,'03'!$D$8:$D$27)+SUMIF('04'!$C$8:$C$27,$B16,'04'!$D$8:$D$27)+SUMIF('05'!$C$8:$C$27,$B16,'05'!$D$8:$D$27)+SUMIF('06'!$C$8:$C$27,$B16,'06'!$D$8:$D$27)+SUMIF('07'!$C$8:$C$27,$B16,'07'!$D$8:$D$27)+SUMIF('08'!$C$8:$C$27,$B16,'08'!$D$8:$D$27)+SUMIF('09'!$C$8:$C$27,$B16,'09'!$D$8:$D$27)+SUMIF('10'!$C$8:$C$27,$B16,'10'!$D$8:$D$27)+SUMIF('11'!$C$8:$C$27,$B16,'11'!$D$8:$D$27)+SUMIF('12'!$C$8:$C$27,$B16,'12'!$D$8:$D$27)+SUMIF('13'!$C$8:$C$27,$B16,'13'!$D$8:$D$27)+SUMIF('14'!$C$8:$C$27,$B16,'14'!$D$8:$D$27)+SUMIF('15'!$C$8:$C$27,$B16,'15'!$D$8:$D$27)+SUMIF('16'!$C$8:$C$27,$B16,'16'!$D$8:$D$27)+SUMIF('17'!$C$8:$C$27,$B16,'17'!$D$8:$D$27)+SUMIF('18'!$C$8:$C$27,$B16,'18'!$D$8:$D$27)+SUMIF('19'!$C$8:$C$27,$B16,'19'!$D$8:$D$27)+SUMIF('20'!$C$8:$C$27,$B16,'20'!$D$8:$D$27)+SUMIF('21'!$C$8:$C$27,$B16,'21'!$D$8:$D$27)+SUMIF('22'!$C$8:$C$27,$B16,'22'!$D$8:$D$27)+SUMIF('23'!$C$8:$C$27,$B16,'23'!$D$8:$D$27)+SUMIF('24'!$C$8:$C$27,$B16,'24'!$D$8:$D$27)+SUMIF('25'!$C$8:$C$27,$B16,'25'!$D$8:$D$27)+SUMIF('26'!$C$8:$C$27,$B16,'26'!$D$8:$D$27)+SUMIF('27'!$C$8:$C$27,$B16,'27'!$D$8:$D$27)+SUMIF('28'!$C$8:$C$27,$B16,'28'!$D$8:$D$27)+SUMIF('29'!$C$8:$C$27,$B16,'29'!$D$8:$D$27)+SUMIF('30'!$C$8:$C$27,$B16,'30'!$D$8:$D$27)+SUMIF('31'!$C$8:$C$27,$B16,'31'!$D$8:$D$27)</f>
        <v/>
      </c>
      <c r="D16" s="39">
        <f>SUMIF('01'!$C$8:$C$27,$B16,'01'!$E$8:$E$27)+SUMIF('02'!$C$8:$C$27,$B16,'02'!$E$8:$E$27)+SUMIF('03'!$C$8:$C$27,$B16,'03'!$E$8:$E$27)+SUMIF('04'!$C$8:$C$27,$B16,'04'!$E$8:$E$27)+SUMIF('05'!$C$8:$C$27,$B16,'05'!$E$8:$E$27)+SUMIF('06'!$C$8:$C$27,$B16,'06'!$E$8:$E$27)+SUMIF('07'!$C$8:$C$27,$B16,'07'!$E$8:$E$27)+SUMIF('08'!$C$8:$C$27,$B16,'08'!$E$8:$E$27)+SUMIF('09'!$C$8:$C$27,$B16,'09'!$E$8:$E$27)+SUMIF('10'!$C$8:$C$27,$B16,'10'!$E$8:$E$27)+SUMIF('11'!$C$8:$C$27,$B16,'11'!$E$8:$E$27)+SUMIF('12'!$C$8:$C$27,$B16,'12'!$E$8:$E$27)+SUMIF('13'!$C$8:$C$27,$B16,'13'!$E$8:$E$27)+SUMIF('14'!$C$8:$C$27,$B16,'14'!$E$8:$E$27)+SUMIF('15'!$C$8:$C$27,$B16,'15'!$E$8:$E$27)+SUMIF('16'!$C$8:$C$27,$B16,'16'!$E$8:$E$27)+SUMIF('17'!$C$8:$C$27,$B16,'17'!$E$8:$E$27)+SUMIF('18'!$C$8:$C$27,$B16,'18'!$E$8:$E$27)+SUMIF('19'!$C$8:$C$27,$B16,'19'!$E$8:$E$27)+SUMIF('20'!$C$8:$C$27,$B16,'20'!$E$8:$E$27)+SUMIF('21'!$C$8:$C$27,$B16,'21'!$E$8:$E$27)+SUMIF('22'!$C$8:$C$27,$B16,'22'!$E$8:$E$27)+SUMIF('23'!$C$8:$C$27,$B16,'23'!$E$8:$E$27)+SUMIF('24'!$C$8:$C$27,$B16,'24'!$E$8:$E$27)+SUMIF('25'!$C$8:$C$27,$B16,'25'!$E$8:$E$27)+SUMIF('26'!$C$8:$C$27,$B16,'26'!$E$8:$E$27)+SUMIF('27'!$C$8:$C$27,$B16,'27'!$E$8:$E$27)+SUMIF('28'!$C$8:$C$27,$B16,'28'!$E$8:$E$27)+SUMIF('29'!$C$8:$C$27,$B16,'29'!$E$8:$E$27)+SUMIF('30'!$C$8:$C$27,$B16,'30'!$E$8:$E$27)+SUMIF('31'!$C$8:$C$27,$B16,'31'!$E$8:$E$27)</f>
        <v/>
      </c>
      <c r="E16" s="39">
        <f>SUMIF('01'!$C$8:$C$27,$B16,'01'!$F$8:$F$27)+SUMIF('02'!$C$8:$C$27,$B16,'02'!$F$8:$F$27)+SUMIF('03'!$C$8:$C$27,$B16,'03'!$F$8:$F$27)+SUMIF('04'!$C$8:$C$27,$B16,'04'!$F$8:$F$27)+SUMIF('05'!$C$8:$C$27,$B16,'05'!$F$8:$F$27)+SUMIF('06'!$C$8:$C$27,$B16,'06'!$F$8:$F$27)+SUMIF('07'!$C$8:$C$27,$B16,'07'!$F$8:$F$27)+SUMIF('08'!$C$8:$C$27,$B16,'08'!$F$8:$F$27)+SUMIF('09'!$C$8:$C$27,$B16,'09'!$F$8:$F$27)+SUMIF('10'!$C$8:$C$27,$B16,'10'!$F$8:$F$27)+SUMIF('11'!$C$8:$C$27,$B16,'11'!$F$8:$F$27)+SUMIF('12'!$C$8:$C$27,$B16,'12'!$F$8:$F$27)+SUMIF('13'!$C$8:$C$27,$B16,'13'!$F$8:$F$27)+SUMIF('14'!$C$8:$C$27,$B16,'14'!$F$8:$F$27)+SUMIF('15'!$C$8:$C$27,$B16,'15'!$F$8:$F$27)+SUMIF('16'!$C$8:$C$27,$B16,'16'!$F$8:$F$27)+SUMIF('17'!$C$8:$C$27,$B16,'17'!$F$8:$F$27)+SUMIF('18'!$C$8:$C$27,$B16,'18'!$F$8:$F$27)+SUMIF('19'!$C$8:$C$27,$B16,'19'!$F$8:$F$27)+SUMIF('20'!$C$8:$C$27,$B16,'20'!$F$8:$F$27)+SUMIF('21'!$C$8:$C$27,$B16,'21'!$F$8:$F$27)+SUMIF('22'!$C$8:$C$27,$B16,'22'!$F$8:$F$27)+SUMIF('23'!$C$8:$C$27,$B16,'23'!$F$8:$F$27)+SUMIF('24'!$C$8:$C$27,$B16,'24'!$F$8:$F$27)+SUMIF('25'!$C$8:$C$27,$B16,'25'!$F$8:$F$27)+SUMIF('26'!$C$8:$C$27,$B16,'26'!$F$8:$F$27)+SUMIF('27'!$C$8:$C$27,$B16,'27'!$F$8:$F$27)+SUMIF('28'!$C$8:$C$27,$B16,'28'!$F$8:$F$27)+SUMIF('29'!$C$8:$C$27,$B16,'29'!$F$8:$F$27)+SUMIF('30'!$C$8:$C$27,$B16,'30'!$F$8:$F$27)+SUMIF('31'!$C$8:$C$27,$B16,'31'!$F$8:$F$27)</f>
        <v/>
      </c>
      <c r="F16" s="39">
        <f>SUMIF('01'!$C$8:$C$27,$B16,'01'!$H$8:$H$27)+SUMIF('02'!$C$8:$C$27,$B16,'02'!$H$8:$H$27)+SUMIF('03'!$C$8:$C$27,$B16,'03'!$H$8:$H$27)+SUMIF('04'!$C$8:$C$27,$B16,'04'!$H$8:$H$27)+SUMIF('05'!$C$8:$C$27,$B16,'05'!$H$8:$H$27)+SUMIF('06'!$C$8:$C$27,$B16,'06'!$H$8:$H$27)+SUMIF('07'!$C$8:$C$27,$B16,'07'!$H$8:$H$27)+SUMIF('08'!$C$8:$C$27,$B16,'08'!$H$8:$H$27)+SUMIF('09'!$C$8:$C$27,$B16,'09'!$H$8:$H$27)+SUMIF('10'!$C$8:$C$27,$B16,'10'!$H$8:$H$27)+SUMIF('11'!$C$8:$C$27,$B16,'11'!$H$8:$H$27)+SUMIF('12'!$C$8:$C$27,$B16,'12'!$H$8:$H$27)+SUMIF('13'!$C$8:$C$27,$B16,'13'!$H$8:$H$27)+SUMIF('14'!$C$8:$C$27,$B16,'14'!$H$8:$H$27)+SUMIF('15'!$C$8:$C$27,$B16,'15'!$H$8:$H$27)+SUMIF('16'!$C$8:$C$27,$B16,'16'!$H$8:$H$27)+SUMIF('17'!$C$8:$C$27,$B16,'17'!$H$8:$H$27)+SUMIF('18'!$C$8:$C$27,$B16,'18'!$H$8:$H$27)+SUMIF('19'!$C$8:$C$27,$B16,'19'!$H$8:$H$27)+SUMIF('20'!$C$8:$C$27,$B16,'20'!$H$8:$H$27)+SUMIF('21'!$C$8:$C$27,$B16,'21'!$H$8:$H$27)+SUMIF('22'!$C$8:$C$27,$B16,'22'!$H$8:$H$27)+SUMIF('23'!$C$8:$C$27,$B16,'23'!$H$8:$H$27)+SUMIF('24'!$C$8:$C$27,$B16,'24'!$H$8:$H$27)+SUMIF('25'!$C$8:$C$27,$B16,'25'!$H$8:$H$27)+SUMIF('26'!$C$8:$C$27,$B16,'26'!$H$8:$H$27)+SUMIF('27'!$C$8:$C$27,$B16,'27'!$H$8:$H$27)+SUMIF('28'!$C$8:$C$27,$B16,'28'!$H$8:$H$27)+SUMIF('29'!$C$8:$C$27,$B16,'29'!$H$8:$H$27)+SUMIF('30'!$C$8:$C$27,$B16,'30'!$H$8:$H$27)+SUMIF('31'!$C$8:$C$27,$B16,'31'!$H$8:$H$27)</f>
        <v/>
      </c>
      <c r="G16" s="76">
        <f>D16+E16+F16</f>
        <v/>
      </c>
      <c r="H16" s="76">
        <f>C16-G16</f>
        <v/>
      </c>
      <c r="I16" s="77">
        <f>IF($C$26=0,0,C16/$C$26)</f>
        <v/>
      </c>
      <c r="J16">
        <f>$C16-ROW()/1000000</f>
        <v/>
      </c>
    </row>
    <row r="17" ht="17" customHeight="1">
      <c r="B17" s="78" t="inlineStr">
        <is>
          <t>GLOBALE VERRE</t>
        </is>
      </c>
      <c r="C17" s="35">
        <f>SUMIF('01'!$C$8:$C$27,$B17,'01'!$D$8:$D$27)+SUMIF('02'!$C$8:$C$27,$B17,'02'!$D$8:$D$27)+SUMIF('03'!$C$8:$C$27,$B17,'03'!$D$8:$D$27)+SUMIF('04'!$C$8:$C$27,$B17,'04'!$D$8:$D$27)+SUMIF('05'!$C$8:$C$27,$B17,'05'!$D$8:$D$27)+SUMIF('06'!$C$8:$C$27,$B17,'06'!$D$8:$D$27)+SUMIF('07'!$C$8:$C$27,$B17,'07'!$D$8:$D$27)+SUMIF('08'!$C$8:$C$27,$B17,'08'!$D$8:$D$27)+SUMIF('09'!$C$8:$C$27,$B17,'09'!$D$8:$D$27)+SUMIF('10'!$C$8:$C$27,$B17,'10'!$D$8:$D$27)+SUMIF('11'!$C$8:$C$27,$B17,'11'!$D$8:$D$27)+SUMIF('12'!$C$8:$C$27,$B17,'12'!$D$8:$D$27)+SUMIF('13'!$C$8:$C$27,$B17,'13'!$D$8:$D$27)+SUMIF('14'!$C$8:$C$27,$B17,'14'!$D$8:$D$27)+SUMIF('15'!$C$8:$C$27,$B17,'15'!$D$8:$D$27)+SUMIF('16'!$C$8:$C$27,$B17,'16'!$D$8:$D$27)+SUMIF('17'!$C$8:$C$27,$B17,'17'!$D$8:$D$27)+SUMIF('18'!$C$8:$C$27,$B17,'18'!$D$8:$D$27)+SUMIF('19'!$C$8:$C$27,$B17,'19'!$D$8:$D$27)+SUMIF('20'!$C$8:$C$27,$B17,'20'!$D$8:$D$27)+SUMIF('21'!$C$8:$C$27,$B17,'21'!$D$8:$D$27)+SUMIF('22'!$C$8:$C$27,$B17,'22'!$D$8:$D$27)+SUMIF('23'!$C$8:$C$27,$B17,'23'!$D$8:$D$27)+SUMIF('24'!$C$8:$C$27,$B17,'24'!$D$8:$D$27)+SUMIF('25'!$C$8:$C$27,$B17,'25'!$D$8:$D$27)+SUMIF('26'!$C$8:$C$27,$B17,'26'!$D$8:$D$27)+SUMIF('27'!$C$8:$C$27,$B17,'27'!$D$8:$D$27)+SUMIF('28'!$C$8:$C$27,$B17,'28'!$D$8:$D$27)+SUMIF('29'!$C$8:$C$27,$B17,'29'!$D$8:$D$27)+SUMIF('30'!$C$8:$C$27,$B17,'30'!$D$8:$D$27)+SUMIF('31'!$C$8:$C$27,$B17,'31'!$D$8:$D$27)</f>
        <v/>
      </c>
      <c r="D17" s="35">
        <f>SUMIF('01'!$C$8:$C$27,$B17,'01'!$E$8:$E$27)+SUMIF('02'!$C$8:$C$27,$B17,'02'!$E$8:$E$27)+SUMIF('03'!$C$8:$C$27,$B17,'03'!$E$8:$E$27)+SUMIF('04'!$C$8:$C$27,$B17,'04'!$E$8:$E$27)+SUMIF('05'!$C$8:$C$27,$B17,'05'!$E$8:$E$27)+SUMIF('06'!$C$8:$C$27,$B17,'06'!$E$8:$E$27)+SUMIF('07'!$C$8:$C$27,$B17,'07'!$E$8:$E$27)+SUMIF('08'!$C$8:$C$27,$B17,'08'!$E$8:$E$27)+SUMIF('09'!$C$8:$C$27,$B17,'09'!$E$8:$E$27)+SUMIF('10'!$C$8:$C$27,$B17,'10'!$E$8:$E$27)+SUMIF('11'!$C$8:$C$27,$B17,'11'!$E$8:$E$27)+SUMIF('12'!$C$8:$C$27,$B17,'12'!$E$8:$E$27)+SUMIF('13'!$C$8:$C$27,$B17,'13'!$E$8:$E$27)+SUMIF('14'!$C$8:$C$27,$B17,'14'!$E$8:$E$27)+SUMIF('15'!$C$8:$C$27,$B17,'15'!$E$8:$E$27)+SUMIF('16'!$C$8:$C$27,$B17,'16'!$E$8:$E$27)+SUMIF('17'!$C$8:$C$27,$B17,'17'!$E$8:$E$27)+SUMIF('18'!$C$8:$C$27,$B17,'18'!$E$8:$E$27)+SUMIF('19'!$C$8:$C$27,$B17,'19'!$E$8:$E$27)+SUMIF('20'!$C$8:$C$27,$B17,'20'!$E$8:$E$27)+SUMIF('21'!$C$8:$C$27,$B17,'21'!$E$8:$E$27)+SUMIF('22'!$C$8:$C$27,$B17,'22'!$E$8:$E$27)+SUMIF('23'!$C$8:$C$27,$B17,'23'!$E$8:$E$27)+SUMIF('24'!$C$8:$C$27,$B17,'24'!$E$8:$E$27)+SUMIF('25'!$C$8:$C$27,$B17,'25'!$E$8:$E$27)+SUMIF('26'!$C$8:$C$27,$B17,'26'!$E$8:$E$27)+SUMIF('27'!$C$8:$C$27,$B17,'27'!$E$8:$E$27)+SUMIF('28'!$C$8:$C$27,$B17,'28'!$E$8:$E$27)+SUMIF('29'!$C$8:$C$27,$B17,'29'!$E$8:$E$27)+SUMIF('30'!$C$8:$C$27,$B17,'30'!$E$8:$E$27)+SUMIF('31'!$C$8:$C$27,$B17,'31'!$E$8:$E$27)</f>
        <v/>
      </c>
      <c r="E17" s="35">
        <f>SUMIF('01'!$C$8:$C$27,$B17,'01'!$F$8:$F$27)+SUMIF('02'!$C$8:$C$27,$B17,'02'!$F$8:$F$27)+SUMIF('03'!$C$8:$C$27,$B17,'03'!$F$8:$F$27)+SUMIF('04'!$C$8:$C$27,$B17,'04'!$F$8:$F$27)+SUMIF('05'!$C$8:$C$27,$B17,'05'!$F$8:$F$27)+SUMIF('06'!$C$8:$C$27,$B17,'06'!$F$8:$F$27)+SUMIF('07'!$C$8:$C$27,$B17,'07'!$F$8:$F$27)+SUMIF('08'!$C$8:$C$27,$B17,'08'!$F$8:$F$27)+SUMIF('09'!$C$8:$C$27,$B17,'09'!$F$8:$F$27)+SUMIF('10'!$C$8:$C$27,$B17,'10'!$F$8:$F$27)+SUMIF('11'!$C$8:$C$27,$B17,'11'!$F$8:$F$27)+SUMIF('12'!$C$8:$C$27,$B17,'12'!$F$8:$F$27)+SUMIF('13'!$C$8:$C$27,$B17,'13'!$F$8:$F$27)+SUMIF('14'!$C$8:$C$27,$B17,'14'!$F$8:$F$27)+SUMIF('15'!$C$8:$C$27,$B17,'15'!$F$8:$F$27)+SUMIF('16'!$C$8:$C$27,$B17,'16'!$F$8:$F$27)+SUMIF('17'!$C$8:$C$27,$B17,'17'!$F$8:$F$27)+SUMIF('18'!$C$8:$C$27,$B17,'18'!$F$8:$F$27)+SUMIF('19'!$C$8:$C$27,$B17,'19'!$F$8:$F$27)+SUMIF('20'!$C$8:$C$27,$B17,'20'!$F$8:$F$27)+SUMIF('21'!$C$8:$C$27,$B17,'21'!$F$8:$F$27)+SUMIF('22'!$C$8:$C$27,$B17,'22'!$F$8:$F$27)+SUMIF('23'!$C$8:$C$27,$B17,'23'!$F$8:$F$27)+SUMIF('24'!$C$8:$C$27,$B17,'24'!$F$8:$F$27)+SUMIF('25'!$C$8:$C$27,$B17,'25'!$F$8:$F$27)+SUMIF('26'!$C$8:$C$27,$B17,'26'!$F$8:$F$27)+SUMIF('27'!$C$8:$C$27,$B17,'27'!$F$8:$F$27)+SUMIF('28'!$C$8:$C$27,$B17,'28'!$F$8:$F$27)+SUMIF('29'!$C$8:$C$27,$B17,'29'!$F$8:$F$27)+SUMIF('30'!$C$8:$C$27,$B17,'30'!$F$8:$F$27)+SUMIF('31'!$C$8:$C$27,$B17,'31'!$F$8:$F$27)</f>
        <v/>
      </c>
      <c r="F17" s="35">
        <f>SUMIF('01'!$C$8:$C$27,$B17,'01'!$H$8:$H$27)+SUMIF('02'!$C$8:$C$27,$B17,'02'!$H$8:$H$27)+SUMIF('03'!$C$8:$C$27,$B17,'03'!$H$8:$H$27)+SUMIF('04'!$C$8:$C$27,$B17,'04'!$H$8:$H$27)+SUMIF('05'!$C$8:$C$27,$B17,'05'!$H$8:$H$27)+SUMIF('06'!$C$8:$C$27,$B17,'06'!$H$8:$H$27)+SUMIF('07'!$C$8:$C$27,$B17,'07'!$H$8:$H$27)+SUMIF('08'!$C$8:$C$27,$B17,'08'!$H$8:$H$27)+SUMIF('09'!$C$8:$C$27,$B17,'09'!$H$8:$H$27)+SUMIF('10'!$C$8:$C$27,$B17,'10'!$H$8:$H$27)+SUMIF('11'!$C$8:$C$27,$B17,'11'!$H$8:$H$27)+SUMIF('12'!$C$8:$C$27,$B17,'12'!$H$8:$H$27)+SUMIF('13'!$C$8:$C$27,$B17,'13'!$H$8:$H$27)+SUMIF('14'!$C$8:$C$27,$B17,'14'!$H$8:$H$27)+SUMIF('15'!$C$8:$C$27,$B17,'15'!$H$8:$H$27)+SUMIF('16'!$C$8:$C$27,$B17,'16'!$H$8:$H$27)+SUMIF('17'!$C$8:$C$27,$B17,'17'!$H$8:$H$27)+SUMIF('18'!$C$8:$C$27,$B17,'18'!$H$8:$H$27)+SUMIF('19'!$C$8:$C$27,$B17,'19'!$H$8:$H$27)+SUMIF('20'!$C$8:$C$27,$B17,'20'!$H$8:$H$27)+SUMIF('21'!$C$8:$C$27,$B17,'21'!$H$8:$H$27)+SUMIF('22'!$C$8:$C$27,$B17,'22'!$H$8:$H$27)+SUMIF('23'!$C$8:$C$27,$B17,'23'!$H$8:$H$27)+SUMIF('24'!$C$8:$C$27,$B17,'24'!$H$8:$H$27)+SUMIF('25'!$C$8:$C$27,$B17,'25'!$H$8:$H$27)+SUMIF('26'!$C$8:$C$27,$B17,'26'!$H$8:$H$27)+SUMIF('27'!$C$8:$C$27,$B17,'27'!$H$8:$H$27)+SUMIF('28'!$C$8:$C$27,$B17,'28'!$H$8:$H$27)+SUMIF('29'!$C$8:$C$27,$B17,'29'!$H$8:$H$27)+SUMIF('30'!$C$8:$C$27,$B17,'30'!$H$8:$H$27)+SUMIF('31'!$C$8:$C$27,$B17,'31'!$H$8:$H$27)</f>
        <v/>
      </c>
      <c r="G17" s="60">
        <f>D17+E17+F17</f>
        <v/>
      </c>
      <c r="H17" s="60">
        <f>C17-G17</f>
        <v/>
      </c>
      <c r="I17" s="79">
        <f>IF($C$26=0,0,C17/$C$26)</f>
        <v/>
      </c>
      <c r="J17">
        <f>$C17-ROW()/1000000</f>
        <v/>
      </c>
    </row>
    <row r="18" ht="17" customHeight="1">
      <c r="B18" s="25" t="inlineStr">
        <is>
          <t>SAID PROFILE</t>
        </is>
      </c>
      <c r="C18" s="39">
        <f>SUMIF('01'!$C$8:$C$27,$B18,'01'!$D$8:$D$27)+SUMIF('02'!$C$8:$C$27,$B18,'02'!$D$8:$D$27)+SUMIF('03'!$C$8:$C$27,$B18,'03'!$D$8:$D$27)+SUMIF('04'!$C$8:$C$27,$B18,'04'!$D$8:$D$27)+SUMIF('05'!$C$8:$C$27,$B18,'05'!$D$8:$D$27)+SUMIF('06'!$C$8:$C$27,$B18,'06'!$D$8:$D$27)+SUMIF('07'!$C$8:$C$27,$B18,'07'!$D$8:$D$27)+SUMIF('08'!$C$8:$C$27,$B18,'08'!$D$8:$D$27)+SUMIF('09'!$C$8:$C$27,$B18,'09'!$D$8:$D$27)+SUMIF('10'!$C$8:$C$27,$B18,'10'!$D$8:$D$27)+SUMIF('11'!$C$8:$C$27,$B18,'11'!$D$8:$D$27)+SUMIF('12'!$C$8:$C$27,$B18,'12'!$D$8:$D$27)+SUMIF('13'!$C$8:$C$27,$B18,'13'!$D$8:$D$27)+SUMIF('14'!$C$8:$C$27,$B18,'14'!$D$8:$D$27)+SUMIF('15'!$C$8:$C$27,$B18,'15'!$D$8:$D$27)+SUMIF('16'!$C$8:$C$27,$B18,'16'!$D$8:$D$27)+SUMIF('17'!$C$8:$C$27,$B18,'17'!$D$8:$D$27)+SUMIF('18'!$C$8:$C$27,$B18,'18'!$D$8:$D$27)+SUMIF('19'!$C$8:$C$27,$B18,'19'!$D$8:$D$27)+SUMIF('20'!$C$8:$C$27,$B18,'20'!$D$8:$D$27)+SUMIF('21'!$C$8:$C$27,$B18,'21'!$D$8:$D$27)+SUMIF('22'!$C$8:$C$27,$B18,'22'!$D$8:$D$27)+SUMIF('23'!$C$8:$C$27,$B18,'23'!$D$8:$D$27)+SUMIF('24'!$C$8:$C$27,$B18,'24'!$D$8:$D$27)+SUMIF('25'!$C$8:$C$27,$B18,'25'!$D$8:$D$27)+SUMIF('26'!$C$8:$C$27,$B18,'26'!$D$8:$D$27)+SUMIF('27'!$C$8:$C$27,$B18,'27'!$D$8:$D$27)+SUMIF('28'!$C$8:$C$27,$B18,'28'!$D$8:$D$27)+SUMIF('29'!$C$8:$C$27,$B18,'29'!$D$8:$D$27)+SUMIF('30'!$C$8:$C$27,$B18,'30'!$D$8:$D$27)+SUMIF('31'!$C$8:$C$27,$B18,'31'!$D$8:$D$27)</f>
        <v/>
      </c>
      <c r="D18" s="39">
        <f>SUMIF('01'!$C$8:$C$27,$B18,'01'!$E$8:$E$27)+SUMIF('02'!$C$8:$C$27,$B18,'02'!$E$8:$E$27)+SUMIF('03'!$C$8:$C$27,$B18,'03'!$E$8:$E$27)+SUMIF('04'!$C$8:$C$27,$B18,'04'!$E$8:$E$27)+SUMIF('05'!$C$8:$C$27,$B18,'05'!$E$8:$E$27)+SUMIF('06'!$C$8:$C$27,$B18,'06'!$E$8:$E$27)+SUMIF('07'!$C$8:$C$27,$B18,'07'!$E$8:$E$27)+SUMIF('08'!$C$8:$C$27,$B18,'08'!$E$8:$E$27)+SUMIF('09'!$C$8:$C$27,$B18,'09'!$E$8:$E$27)+SUMIF('10'!$C$8:$C$27,$B18,'10'!$E$8:$E$27)+SUMIF('11'!$C$8:$C$27,$B18,'11'!$E$8:$E$27)+SUMIF('12'!$C$8:$C$27,$B18,'12'!$E$8:$E$27)+SUMIF('13'!$C$8:$C$27,$B18,'13'!$E$8:$E$27)+SUMIF('14'!$C$8:$C$27,$B18,'14'!$E$8:$E$27)+SUMIF('15'!$C$8:$C$27,$B18,'15'!$E$8:$E$27)+SUMIF('16'!$C$8:$C$27,$B18,'16'!$E$8:$E$27)+SUMIF('17'!$C$8:$C$27,$B18,'17'!$E$8:$E$27)+SUMIF('18'!$C$8:$C$27,$B18,'18'!$E$8:$E$27)+SUMIF('19'!$C$8:$C$27,$B18,'19'!$E$8:$E$27)+SUMIF('20'!$C$8:$C$27,$B18,'20'!$E$8:$E$27)+SUMIF('21'!$C$8:$C$27,$B18,'21'!$E$8:$E$27)+SUMIF('22'!$C$8:$C$27,$B18,'22'!$E$8:$E$27)+SUMIF('23'!$C$8:$C$27,$B18,'23'!$E$8:$E$27)+SUMIF('24'!$C$8:$C$27,$B18,'24'!$E$8:$E$27)+SUMIF('25'!$C$8:$C$27,$B18,'25'!$E$8:$E$27)+SUMIF('26'!$C$8:$C$27,$B18,'26'!$E$8:$E$27)+SUMIF('27'!$C$8:$C$27,$B18,'27'!$E$8:$E$27)+SUMIF('28'!$C$8:$C$27,$B18,'28'!$E$8:$E$27)+SUMIF('29'!$C$8:$C$27,$B18,'29'!$E$8:$E$27)+SUMIF('30'!$C$8:$C$27,$B18,'30'!$E$8:$E$27)+SUMIF('31'!$C$8:$C$27,$B18,'31'!$E$8:$E$27)</f>
        <v/>
      </c>
      <c r="E18" s="39">
        <f>SUMIF('01'!$C$8:$C$27,$B18,'01'!$F$8:$F$27)+SUMIF('02'!$C$8:$C$27,$B18,'02'!$F$8:$F$27)+SUMIF('03'!$C$8:$C$27,$B18,'03'!$F$8:$F$27)+SUMIF('04'!$C$8:$C$27,$B18,'04'!$F$8:$F$27)+SUMIF('05'!$C$8:$C$27,$B18,'05'!$F$8:$F$27)+SUMIF('06'!$C$8:$C$27,$B18,'06'!$F$8:$F$27)+SUMIF('07'!$C$8:$C$27,$B18,'07'!$F$8:$F$27)+SUMIF('08'!$C$8:$C$27,$B18,'08'!$F$8:$F$27)+SUMIF('09'!$C$8:$C$27,$B18,'09'!$F$8:$F$27)+SUMIF('10'!$C$8:$C$27,$B18,'10'!$F$8:$F$27)+SUMIF('11'!$C$8:$C$27,$B18,'11'!$F$8:$F$27)+SUMIF('12'!$C$8:$C$27,$B18,'12'!$F$8:$F$27)+SUMIF('13'!$C$8:$C$27,$B18,'13'!$F$8:$F$27)+SUMIF('14'!$C$8:$C$27,$B18,'14'!$F$8:$F$27)+SUMIF('15'!$C$8:$C$27,$B18,'15'!$F$8:$F$27)+SUMIF('16'!$C$8:$C$27,$B18,'16'!$F$8:$F$27)+SUMIF('17'!$C$8:$C$27,$B18,'17'!$F$8:$F$27)+SUMIF('18'!$C$8:$C$27,$B18,'18'!$F$8:$F$27)+SUMIF('19'!$C$8:$C$27,$B18,'19'!$F$8:$F$27)+SUMIF('20'!$C$8:$C$27,$B18,'20'!$F$8:$F$27)+SUMIF('21'!$C$8:$C$27,$B18,'21'!$F$8:$F$27)+SUMIF('22'!$C$8:$C$27,$B18,'22'!$F$8:$F$27)+SUMIF('23'!$C$8:$C$27,$B18,'23'!$F$8:$F$27)+SUMIF('24'!$C$8:$C$27,$B18,'24'!$F$8:$F$27)+SUMIF('25'!$C$8:$C$27,$B18,'25'!$F$8:$F$27)+SUMIF('26'!$C$8:$C$27,$B18,'26'!$F$8:$F$27)+SUMIF('27'!$C$8:$C$27,$B18,'27'!$F$8:$F$27)+SUMIF('28'!$C$8:$C$27,$B18,'28'!$F$8:$F$27)+SUMIF('29'!$C$8:$C$27,$B18,'29'!$F$8:$F$27)+SUMIF('30'!$C$8:$C$27,$B18,'30'!$F$8:$F$27)+SUMIF('31'!$C$8:$C$27,$B18,'31'!$F$8:$F$27)</f>
        <v/>
      </c>
      <c r="F18" s="39">
        <f>SUMIF('01'!$C$8:$C$27,$B18,'01'!$H$8:$H$27)+SUMIF('02'!$C$8:$C$27,$B18,'02'!$H$8:$H$27)+SUMIF('03'!$C$8:$C$27,$B18,'03'!$H$8:$H$27)+SUMIF('04'!$C$8:$C$27,$B18,'04'!$H$8:$H$27)+SUMIF('05'!$C$8:$C$27,$B18,'05'!$H$8:$H$27)+SUMIF('06'!$C$8:$C$27,$B18,'06'!$H$8:$H$27)+SUMIF('07'!$C$8:$C$27,$B18,'07'!$H$8:$H$27)+SUMIF('08'!$C$8:$C$27,$B18,'08'!$H$8:$H$27)+SUMIF('09'!$C$8:$C$27,$B18,'09'!$H$8:$H$27)+SUMIF('10'!$C$8:$C$27,$B18,'10'!$H$8:$H$27)+SUMIF('11'!$C$8:$C$27,$B18,'11'!$H$8:$H$27)+SUMIF('12'!$C$8:$C$27,$B18,'12'!$H$8:$H$27)+SUMIF('13'!$C$8:$C$27,$B18,'13'!$H$8:$H$27)+SUMIF('14'!$C$8:$C$27,$B18,'14'!$H$8:$H$27)+SUMIF('15'!$C$8:$C$27,$B18,'15'!$H$8:$H$27)+SUMIF('16'!$C$8:$C$27,$B18,'16'!$H$8:$H$27)+SUMIF('17'!$C$8:$C$27,$B18,'17'!$H$8:$H$27)+SUMIF('18'!$C$8:$C$27,$B18,'18'!$H$8:$H$27)+SUMIF('19'!$C$8:$C$27,$B18,'19'!$H$8:$H$27)+SUMIF('20'!$C$8:$C$27,$B18,'20'!$H$8:$H$27)+SUMIF('21'!$C$8:$C$27,$B18,'21'!$H$8:$H$27)+SUMIF('22'!$C$8:$C$27,$B18,'22'!$H$8:$H$27)+SUMIF('23'!$C$8:$C$27,$B18,'23'!$H$8:$H$27)+SUMIF('24'!$C$8:$C$27,$B18,'24'!$H$8:$H$27)+SUMIF('25'!$C$8:$C$27,$B18,'25'!$H$8:$H$27)+SUMIF('26'!$C$8:$C$27,$B18,'26'!$H$8:$H$27)+SUMIF('27'!$C$8:$C$27,$B18,'27'!$H$8:$H$27)+SUMIF('28'!$C$8:$C$27,$B18,'28'!$H$8:$H$27)+SUMIF('29'!$C$8:$C$27,$B18,'29'!$H$8:$H$27)+SUMIF('30'!$C$8:$C$27,$B18,'30'!$H$8:$H$27)+SUMIF('31'!$C$8:$C$27,$B18,'31'!$H$8:$H$27)</f>
        <v/>
      </c>
      <c r="G18" s="76">
        <f>D18+E18+F18</f>
        <v/>
      </c>
      <c r="H18" s="76">
        <f>C18-G18</f>
        <v/>
      </c>
      <c r="I18" s="77">
        <f>IF($C$26=0,0,C18/$C$26)</f>
        <v/>
      </c>
      <c r="J18">
        <f>$C18-ROW()/1000000</f>
        <v/>
      </c>
    </row>
    <row r="19" ht="17" customHeight="1">
      <c r="B19" s="78" t="inlineStr">
        <is>
          <t>ALUMINIUM DU MAROC</t>
        </is>
      </c>
      <c r="C19" s="35">
        <f>SUMIF('01'!$C$8:$C$27,$B19,'01'!$D$8:$D$27)+SUMIF('02'!$C$8:$C$27,$B19,'02'!$D$8:$D$27)+SUMIF('03'!$C$8:$C$27,$B19,'03'!$D$8:$D$27)+SUMIF('04'!$C$8:$C$27,$B19,'04'!$D$8:$D$27)+SUMIF('05'!$C$8:$C$27,$B19,'05'!$D$8:$D$27)+SUMIF('06'!$C$8:$C$27,$B19,'06'!$D$8:$D$27)+SUMIF('07'!$C$8:$C$27,$B19,'07'!$D$8:$D$27)+SUMIF('08'!$C$8:$C$27,$B19,'08'!$D$8:$D$27)+SUMIF('09'!$C$8:$C$27,$B19,'09'!$D$8:$D$27)+SUMIF('10'!$C$8:$C$27,$B19,'10'!$D$8:$D$27)+SUMIF('11'!$C$8:$C$27,$B19,'11'!$D$8:$D$27)+SUMIF('12'!$C$8:$C$27,$B19,'12'!$D$8:$D$27)+SUMIF('13'!$C$8:$C$27,$B19,'13'!$D$8:$D$27)+SUMIF('14'!$C$8:$C$27,$B19,'14'!$D$8:$D$27)+SUMIF('15'!$C$8:$C$27,$B19,'15'!$D$8:$D$27)+SUMIF('16'!$C$8:$C$27,$B19,'16'!$D$8:$D$27)+SUMIF('17'!$C$8:$C$27,$B19,'17'!$D$8:$D$27)+SUMIF('18'!$C$8:$C$27,$B19,'18'!$D$8:$D$27)+SUMIF('19'!$C$8:$C$27,$B19,'19'!$D$8:$D$27)+SUMIF('20'!$C$8:$C$27,$B19,'20'!$D$8:$D$27)+SUMIF('21'!$C$8:$C$27,$B19,'21'!$D$8:$D$27)+SUMIF('22'!$C$8:$C$27,$B19,'22'!$D$8:$D$27)+SUMIF('23'!$C$8:$C$27,$B19,'23'!$D$8:$D$27)+SUMIF('24'!$C$8:$C$27,$B19,'24'!$D$8:$D$27)+SUMIF('25'!$C$8:$C$27,$B19,'25'!$D$8:$D$27)+SUMIF('26'!$C$8:$C$27,$B19,'26'!$D$8:$D$27)+SUMIF('27'!$C$8:$C$27,$B19,'27'!$D$8:$D$27)+SUMIF('28'!$C$8:$C$27,$B19,'28'!$D$8:$D$27)+SUMIF('29'!$C$8:$C$27,$B19,'29'!$D$8:$D$27)+SUMIF('30'!$C$8:$C$27,$B19,'30'!$D$8:$D$27)+SUMIF('31'!$C$8:$C$27,$B19,'31'!$D$8:$D$27)</f>
        <v/>
      </c>
      <c r="D19" s="35">
        <f>SUMIF('01'!$C$8:$C$27,$B19,'01'!$E$8:$E$27)+SUMIF('02'!$C$8:$C$27,$B19,'02'!$E$8:$E$27)+SUMIF('03'!$C$8:$C$27,$B19,'03'!$E$8:$E$27)+SUMIF('04'!$C$8:$C$27,$B19,'04'!$E$8:$E$27)+SUMIF('05'!$C$8:$C$27,$B19,'05'!$E$8:$E$27)+SUMIF('06'!$C$8:$C$27,$B19,'06'!$E$8:$E$27)+SUMIF('07'!$C$8:$C$27,$B19,'07'!$E$8:$E$27)+SUMIF('08'!$C$8:$C$27,$B19,'08'!$E$8:$E$27)+SUMIF('09'!$C$8:$C$27,$B19,'09'!$E$8:$E$27)+SUMIF('10'!$C$8:$C$27,$B19,'10'!$E$8:$E$27)+SUMIF('11'!$C$8:$C$27,$B19,'11'!$E$8:$E$27)+SUMIF('12'!$C$8:$C$27,$B19,'12'!$E$8:$E$27)+SUMIF('13'!$C$8:$C$27,$B19,'13'!$E$8:$E$27)+SUMIF('14'!$C$8:$C$27,$B19,'14'!$E$8:$E$27)+SUMIF('15'!$C$8:$C$27,$B19,'15'!$E$8:$E$27)+SUMIF('16'!$C$8:$C$27,$B19,'16'!$E$8:$E$27)+SUMIF('17'!$C$8:$C$27,$B19,'17'!$E$8:$E$27)+SUMIF('18'!$C$8:$C$27,$B19,'18'!$E$8:$E$27)+SUMIF('19'!$C$8:$C$27,$B19,'19'!$E$8:$E$27)+SUMIF('20'!$C$8:$C$27,$B19,'20'!$E$8:$E$27)+SUMIF('21'!$C$8:$C$27,$B19,'21'!$E$8:$E$27)+SUMIF('22'!$C$8:$C$27,$B19,'22'!$E$8:$E$27)+SUMIF('23'!$C$8:$C$27,$B19,'23'!$E$8:$E$27)+SUMIF('24'!$C$8:$C$27,$B19,'24'!$E$8:$E$27)+SUMIF('25'!$C$8:$C$27,$B19,'25'!$E$8:$E$27)+SUMIF('26'!$C$8:$C$27,$B19,'26'!$E$8:$E$27)+SUMIF('27'!$C$8:$C$27,$B19,'27'!$E$8:$E$27)+SUMIF('28'!$C$8:$C$27,$B19,'28'!$E$8:$E$27)+SUMIF('29'!$C$8:$C$27,$B19,'29'!$E$8:$E$27)+SUMIF('30'!$C$8:$C$27,$B19,'30'!$E$8:$E$27)+SUMIF('31'!$C$8:$C$27,$B19,'31'!$E$8:$E$27)</f>
        <v/>
      </c>
      <c r="E19" s="35">
        <f>SUMIF('01'!$C$8:$C$27,$B19,'01'!$F$8:$F$27)+SUMIF('02'!$C$8:$C$27,$B19,'02'!$F$8:$F$27)+SUMIF('03'!$C$8:$C$27,$B19,'03'!$F$8:$F$27)+SUMIF('04'!$C$8:$C$27,$B19,'04'!$F$8:$F$27)+SUMIF('05'!$C$8:$C$27,$B19,'05'!$F$8:$F$27)+SUMIF('06'!$C$8:$C$27,$B19,'06'!$F$8:$F$27)+SUMIF('07'!$C$8:$C$27,$B19,'07'!$F$8:$F$27)+SUMIF('08'!$C$8:$C$27,$B19,'08'!$F$8:$F$27)+SUMIF('09'!$C$8:$C$27,$B19,'09'!$F$8:$F$27)+SUMIF('10'!$C$8:$C$27,$B19,'10'!$F$8:$F$27)+SUMIF('11'!$C$8:$C$27,$B19,'11'!$F$8:$F$27)+SUMIF('12'!$C$8:$C$27,$B19,'12'!$F$8:$F$27)+SUMIF('13'!$C$8:$C$27,$B19,'13'!$F$8:$F$27)+SUMIF('14'!$C$8:$C$27,$B19,'14'!$F$8:$F$27)+SUMIF('15'!$C$8:$C$27,$B19,'15'!$F$8:$F$27)+SUMIF('16'!$C$8:$C$27,$B19,'16'!$F$8:$F$27)+SUMIF('17'!$C$8:$C$27,$B19,'17'!$F$8:$F$27)+SUMIF('18'!$C$8:$C$27,$B19,'18'!$F$8:$F$27)+SUMIF('19'!$C$8:$C$27,$B19,'19'!$F$8:$F$27)+SUMIF('20'!$C$8:$C$27,$B19,'20'!$F$8:$F$27)+SUMIF('21'!$C$8:$C$27,$B19,'21'!$F$8:$F$27)+SUMIF('22'!$C$8:$C$27,$B19,'22'!$F$8:$F$27)+SUMIF('23'!$C$8:$C$27,$B19,'23'!$F$8:$F$27)+SUMIF('24'!$C$8:$C$27,$B19,'24'!$F$8:$F$27)+SUMIF('25'!$C$8:$C$27,$B19,'25'!$F$8:$F$27)+SUMIF('26'!$C$8:$C$27,$B19,'26'!$F$8:$F$27)+SUMIF('27'!$C$8:$C$27,$B19,'27'!$F$8:$F$27)+SUMIF('28'!$C$8:$C$27,$B19,'28'!$F$8:$F$27)+SUMIF('29'!$C$8:$C$27,$B19,'29'!$F$8:$F$27)+SUMIF('30'!$C$8:$C$27,$B19,'30'!$F$8:$F$27)+SUMIF('31'!$C$8:$C$27,$B19,'31'!$F$8:$F$27)</f>
        <v/>
      </c>
      <c r="F19" s="35">
        <f>SUMIF('01'!$C$8:$C$27,$B19,'01'!$H$8:$H$27)+SUMIF('02'!$C$8:$C$27,$B19,'02'!$H$8:$H$27)+SUMIF('03'!$C$8:$C$27,$B19,'03'!$H$8:$H$27)+SUMIF('04'!$C$8:$C$27,$B19,'04'!$H$8:$H$27)+SUMIF('05'!$C$8:$C$27,$B19,'05'!$H$8:$H$27)+SUMIF('06'!$C$8:$C$27,$B19,'06'!$H$8:$H$27)+SUMIF('07'!$C$8:$C$27,$B19,'07'!$H$8:$H$27)+SUMIF('08'!$C$8:$C$27,$B19,'08'!$H$8:$H$27)+SUMIF('09'!$C$8:$C$27,$B19,'09'!$H$8:$H$27)+SUMIF('10'!$C$8:$C$27,$B19,'10'!$H$8:$H$27)+SUMIF('11'!$C$8:$C$27,$B19,'11'!$H$8:$H$27)+SUMIF('12'!$C$8:$C$27,$B19,'12'!$H$8:$H$27)+SUMIF('13'!$C$8:$C$27,$B19,'13'!$H$8:$H$27)+SUMIF('14'!$C$8:$C$27,$B19,'14'!$H$8:$H$27)+SUMIF('15'!$C$8:$C$27,$B19,'15'!$H$8:$H$27)+SUMIF('16'!$C$8:$C$27,$B19,'16'!$H$8:$H$27)+SUMIF('17'!$C$8:$C$27,$B19,'17'!$H$8:$H$27)+SUMIF('18'!$C$8:$C$27,$B19,'18'!$H$8:$H$27)+SUMIF('19'!$C$8:$C$27,$B19,'19'!$H$8:$H$27)+SUMIF('20'!$C$8:$C$27,$B19,'20'!$H$8:$H$27)+SUMIF('21'!$C$8:$C$27,$B19,'21'!$H$8:$H$27)+SUMIF('22'!$C$8:$C$27,$B19,'22'!$H$8:$H$27)+SUMIF('23'!$C$8:$C$27,$B19,'23'!$H$8:$H$27)+SUMIF('24'!$C$8:$C$27,$B19,'24'!$H$8:$H$27)+SUMIF('25'!$C$8:$C$27,$B19,'25'!$H$8:$H$27)+SUMIF('26'!$C$8:$C$27,$B19,'26'!$H$8:$H$27)+SUMIF('27'!$C$8:$C$27,$B19,'27'!$H$8:$H$27)+SUMIF('28'!$C$8:$C$27,$B19,'28'!$H$8:$H$27)+SUMIF('29'!$C$8:$C$27,$B19,'29'!$H$8:$H$27)+SUMIF('30'!$C$8:$C$27,$B19,'30'!$H$8:$H$27)+SUMIF('31'!$C$8:$C$27,$B19,'31'!$H$8:$H$27)</f>
        <v/>
      </c>
      <c r="G19" s="60">
        <f>D19+E19+F19</f>
        <v/>
      </c>
      <c r="H19" s="60">
        <f>C19-G19</f>
        <v/>
      </c>
      <c r="I19" s="79">
        <f>IF($C$26=0,0,C19/$C$26)</f>
        <v/>
      </c>
      <c r="J19">
        <f>$C19-ROW()/1000000</f>
        <v/>
      </c>
    </row>
    <row r="20" ht="17" customHeight="1">
      <c r="B20" s="25" t="inlineStr">
        <is>
          <t>QUINCAILLERIE</t>
        </is>
      </c>
      <c r="C20" s="39">
        <f>SUMIF('01'!$C$8:$C$27,$B20,'01'!$D$8:$D$27)+SUMIF('02'!$C$8:$C$27,$B20,'02'!$D$8:$D$27)+SUMIF('03'!$C$8:$C$27,$B20,'03'!$D$8:$D$27)+SUMIF('04'!$C$8:$C$27,$B20,'04'!$D$8:$D$27)+SUMIF('05'!$C$8:$C$27,$B20,'05'!$D$8:$D$27)+SUMIF('06'!$C$8:$C$27,$B20,'06'!$D$8:$D$27)+SUMIF('07'!$C$8:$C$27,$B20,'07'!$D$8:$D$27)+SUMIF('08'!$C$8:$C$27,$B20,'08'!$D$8:$D$27)+SUMIF('09'!$C$8:$C$27,$B20,'09'!$D$8:$D$27)+SUMIF('10'!$C$8:$C$27,$B20,'10'!$D$8:$D$27)+SUMIF('11'!$C$8:$C$27,$B20,'11'!$D$8:$D$27)+SUMIF('12'!$C$8:$C$27,$B20,'12'!$D$8:$D$27)+SUMIF('13'!$C$8:$C$27,$B20,'13'!$D$8:$D$27)+SUMIF('14'!$C$8:$C$27,$B20,'14'!$D$8:$D$27)+SUMIF('15'!$C$8:$C$27,$B20,'15'!$D$8:$D$27)+SUMIF('16'!$C$8:$C$27,$B20,'16'!$D$8:$D$27)+SUMIF('17'!$C$8:$C$27,$B20,'17'!$D$8:$D$27)+SUMIF('18'!$C$8:$C$27,$B20,'18'!$D$8:$D$27)+SUMIF('19'!$C$8:$C$27,$B20,'19'!$D$8:$D$27)+SUMIF('20'!$C$8:$C$27,$B20,'20'!$D$8:$D$27)+SUMIF('21'!$C$8:$C$27,$B20,'21'!$D$8:$D$27)+SUMIF('22'!$C$8:$C$27,$B20,'22'!$D$8:$D$27)+SUMIF('23'!$C$8:$C$27,$B20,'23'!$D$8:$D$27)+SUMIF('24'!$C$8:$C$27,$B20,'24'!$D$8:$D$27)+SUMIF('25'!$C$8:$C$27,$B20,'25'!$D$8:$D$27)+SUMIF('26'!$C$8:$C$27,$B20,'26'!$D$8:$D$27)+SUMIF('27'!$C$8:$C$27,$B20,'27'!$D$8:$D$27)+SUMIF('28'!$C$8:$C$27,$B20,'28'!$D$8:$D$27)+SUMIF('29'!$C$8:$C$27,$B20,'29'!$D$8:$D$27)+SUMIF('30'!$C$8:$C$27,$B20,'30'!$D$8:$D$27)+SUMIF('31'!$C$8:$C$27,$B20,'31'!$D$8:$D$27)</f>
        <v/>
      </c>
      <c r="D20" s="39">
        <f>SUMIF('01'!$C$8:$C$27,$B20,'01'!$E$8:$E$27)+SUMIF('02'!$C$8:$C$27,$B20,'02'!$E$8:$E$27)+SUMIF('03'!$C$8:$C$27,$B20,'03'!$E$8:$E$27)+SUMIF('04'!$C$8:$C$27,$B20,'04'!$E$8:$E$27)+SUMIF('05'!$C$8:$C$27,$B20,'05'!$E$8:$E$27)+SUMIF('06'!$C$8:$C$27,$B20,'06'!$E$8:$E$27)+SUMIF('07'!$C$8:$C$27,$B20,'07'!$E$8:$E$27)+SUMIF('08'!$C$8:$C$27,$B20,'08'!$E$8:$E$27)+SUMIF('09'!$C$8:$C$27,$B20,'09'!$E$8:$E$27)+SUMIF('10'!$C$8:$C$27,$B20,'10'!$E$8:$E$27)+SUMIF('11'!$C$8:$C$27,$B20,'11'!$E$8:$E$27)+SUMIF('12'!$C$8:$C$27,$B20,'12'!$E$8:$E$27)+SUMIF('13'!$C$8:$C$27,$B20,'13'!$E$8:$E$27)+SUMIF('14'!$C$8:$C$27,$B20,'14'!$E$8:$E$27)+SUMIF('15'!$C$8:$C$27,$B20,'15'!$E$8:$E$27)+SUMIF('16'!$C$8:$C$27,$B20,'16'!$E$8:$E$27)+SUMIF('17'!$C$8:$C$27,$B20,'17'!$E$8:$E$27)+SUMIF('18'!$C$8:$C$27,$B20,'18'!$E$8:$E$27)+SUMIF('19'!$C$8:$C$27,$B20,'19'!$E$8:$E$27)+SUMIF('20'!$C$8:$C$27,$B20,'20'!$E$8:$E$27)+SUMIF('21'!$C$8:$C$27,$B20,'21'!$E$8:$E$27)+SUMIF('22'!$C$8:$C$27,$B20,'22'!$E$8:$E$27)+SUMIF('23'!$C$8:$C$27,$B20,'23'!$E$8:$E$27)+SUMIF('24'!$C$8:$C$27,$B20,'24'!$E$8:$E$27)+SUMIF('25'!$C$8:$C$27,$B20,'25'!$E$8:$E$27)+SUMIF('26'!$C$8:$C$27,$B20,'26'!$E$8:$E$27)+SUMIF('27'!$C$8:$C$27,$B20,'27'!$E$8:$E$27)+SUMIF('28'!$C$8:$C$27,$B20,'28'!$E$8:$E$27)+SUMIF('29'!$C$8:$C$27,$B20,'29'!$E$8:$E$27)+SUMIF('30'!$C$8:$C$27,$B20,'30'!$E$8:$E$27)+SUMIF('31'!$C$8:$C$27,$B20,'31'!$E$8:$E$27)</f>
        <v/>
      </c>
      <c r="E20" s="39">
        <f>SUMIF('01'!$C$8:$C$27,$B20,'01'!$F$8:$F$27)+SUMIF('02'!$C$8:$C$27,$B20,'02'!$F$8:$F$27)+SUMIF('03'!$C$8:$C$27,$B20,'03'!$F$8:$F$27)+SUMIF('04'!$C$8:$C$27,$B20,'04'!$F$8:$F$27)+SUMIF('05'!$C$8:$C$27,$B20,'05'!$F$8:$F$27)+SUMIF('06'!$C$8:$C$27,$B20,'06'!$F$8:$F$27)+SUMIF('07'!$C$8:$C$27,$B20,'07'!$F$8:$F$27)+SUMIF('08'!$C$8:$C$27,$B20,'08'!$F$8:$F$27)+SUMIF('09'!$C$8:$C$27,$B20,'09'!$F$8:$F$27)+SUMIF('10'!$C$8:$C$27,$B20,'10'!$F$8:$F$27)+SUMIF('11'!$C$8:$C$27,$B20,'11'!$F$8:$F$27)+SUMIF('12'!$C$8:$C$27,$B20,'12'!$F$8:$F$27)+SUMIF('13'!$C$8:$C$27,$B20,'13'!$F$8:$F$27)+SUMIF('14'!$C$8:$C$27,$B20,'14'!$F$8:$F$27)+SUMIF('15'!$C$8:$C$27,$B20,'15'!$F$8:$F$27)+SUMIF('16'!$C$8:$C$27,$B20,'16'!$F$8:$F$27)+SUMIF('17'!$C$8:$C$27,$B20,'17'!$F$8:$F$27)+SUMIF('18'!$C$8:$C$27,$B20,'18'!$F$8:$F$27)+SUMIF('19'!$C$8:$C$27,$B20,'19'!$F$8:$F$27)+SUMIF('20'!$C$8:$C$27,$B20,'20'!$F$8:$F$27)+SUMIF('21'!$C$8:$C$27,$B20,'21'!$F$8:$F$27)+SUMIF('22'!$C$8:$C$27,$B20,'22'!$F$8:$F$27)+SUMIF('23'!$C$8:$C$27,$B20,'23'!$F$8:$F$27)+SUMIF('24'!$C$8:$C$27,$B20,'24'!$F$8:$F$27)+SUMIF('25'!$C$8:$C$27,$B20,'25'!$F$8:$F$27)+SUMIF('26'!$C$8:$C$27,$B20,'26'!$F$8:$F$27)+SUMIF('27'!$C$8:$C$27,$B20,'27'!$F$8:$F$27)+SUMIF('28'!$C$8:$C$27,$B20,'28'!$F$8:$F$27)+SUMIF('29'!$C$8:$C$27,$B20,'29'!$F$8:$F$27)+SUMIF('30'!$C$8:$C$27,$B20,'30'!$F$8:$F$27)+SUMIF('31'!$C$8:$C$27,$B20,'31'!$F$8:$F$27)</f>
        <v/>
      </c>
      <c r="F20" s="39">
        <f>SUMIF('01'!$C$8:$C$27,$B20,'01'!$H$8:$H$27)+SUMIF('02'!$C$8:$C$27,$B20,'02'!$H$8:$H$27)+SUMIF('03'!$C$8:$C$27,$B20,'03'!$H$8:$H$27)+SUMIF('04'!$C$8:$C$27,$B20,'04'!$H$8:$H$27)+SUMIF('05'!$C$8:$C$27,$B20,'05'!$H$8:$H$27)+SUMIF('06'!$C$8:$C$27,$B20,'06'!$H$8:$H$27)+SUMIF('07'!$C$8:$C$27,$B20,'07'!$H$8:$H$27)+SUMIF('08'!$C$8:$C$27,$B20,'08'!$H$8:$H$27)+SUMIF('09'!$C$8:$C$27,$B20,'09'!$H$8:$H$27)+SUMIF('10'!$C$8:$C$27,$B20,'10'!$H$8:$H$27)+SUMIF('11'!$C$8:$C$27,$B20,'11'!$H$8:$H$27)+SUMIF('12'!$C$8:$C$27,$B20,'12'!$H$8:$H$27)+SUMIF('13'!$C$8:$C$27,$B20,'13'!$H$8:$H$27)+SUMIF('14'!$C$8:$C$27,$B20,'14'!$H$8:$H$27)+SUMIF('15'!$C$8:$C$27,$B20,'15'!$H$8:$H$27)+SUMIF('16'!$C$8:$C$27,$B20,'16'!$H$8:$H$27)+SUMIF('17'!$C$8:$C$27,$B20,'17'!$H$8:$H$27)+SUMIF('18'!$C$8:$C$27,$B20,'18'!$H$8:$H$27)+SUMIF('19'!$C$8:$C$27,$B20,'19'!$H$8:$H$27)+SUMIF('20'!$C$8:$C$27,$B20,'20'!$H$8:$H$27)+SUMIF('21'!$C$8:$C$27,$B20,'21'!$H$8:$H$27)+SUMIF('22'!$C$8:$C$27,$B20,'22'!$H$8:$H$27)+SUMIF('23'!$C$8:$C$27,$B20,'23'!$H$8:$H$27)+SUMIF('24'!$C$8:$C$27,$B20,'24'!$H$8:$H$27)+SUMIF('25'!$C$8:$C$27,$B20,'25'!$H$8:$H$27)+SUMIF('26'!$C$8:$C$27,$B20,'26'!$H$8:$H$27)+SUMIF('27'!$C$8:$C$27,$B20,'27'!$H$8:$H$27)+SUMIF('28'!$C$8:$C$27,$B20,'28'!$H$8:$H$27)+SUMIF('29'!$C$8:$C$27,$B20,'29'!$H$8:$H$27)+SUMIF('30'!$C$8:$C$27,$B20,'30'!$H$8:$H$27)+SUMIF('31'!$C$8:$C$27,$B20,'31'!$H$8:$H$27)</f>
        <v/>
      </c>
      <c r="G20" s="76">
        <f>D20+E20+F20</f>
        <v/>
      </c>
      <c r="H20" s="76">
        <f>C20-G20</f>
        <v/>
      </c>
      <c r="I20" s="77">
        <f>IF($C$26=0,0,C20/$C$26)</f>
        <v/>
      </c>
      <c r="J20">
        <f>$C20-ROW()/1000000</f>
        <v/>
      </c>
    </row>
    <row r="21" ht="17" customHeight="1">
      <c r="B21" s="78" t="inlineStr">
        <is>
          <t>VITRAGE</t>
        </is>
      </c>
      <c r="C21" s="35">
        <f>SUMIF('01'!$C$8:$C$27,$B21,'01'!$D$8:$D$27)+SUMIF('02'!$C$8:$C$27,$B21,'02'!$D$8:$D$27)+SUMIF('03'!$C$8:$C$27,$B21,'03'!$D$8:$D$27)+SUMIF('04'!$C$8:$C$27,$B21,'04'!$D$8:$D$27)+SUMIF('05'!$C$8:$C$27,$B21,'05'!$D$8:$D$27)+SUMIF('06'!$C$8:$C$27,$B21,'06'!$D$8:$D$27)+SUMIF('07'!$C$8:$C$27,$B21,'07'!$D$8:$D$27)+SUMIF('08'!$C$8:$C$27,$B21,'08'!$D$8:$D$27)+SUMIF('09'!$C$8:$C$27,$B21,'09'!$D$8:$D$27)+SUMIF('10'!$C$8:$C$27,$B21,'10'!$D$8:$D$27)+SUMIF('11'!$C$8:$C$27,$B21,'11'!$D$8:$D$27)+SUMIF('12'!$C$8:$C$27,$B21,'12'!$D$8:$D$27)+SUMIF('13'!$C$8:$C$27,$B21,'13'!$D$8:$D$27)+SUMIF('14'!$C$8:$C$27,$B21,'14'!$D$8:$D$27)+SUMIF('15'!$C$8:$C$27,$B21,'15'!$D$8:$D$27)+SUMIF('16'!$C$8:$C$27,$B21,'16'!$D$8:$D$27)+SUMIF('17'!$C$8:$C$27,$B21,'17'!$D$8:$D$27)+SUMIF('18'!$C$8:$C$27,$B21,'18'!$D$8:$D$27)+SUMIF('19'!$C$8:$C$27,$B21,'19'!$D$8:$D$27)+SUMIF('20'!$C$8:$C$27,$B21,'20'!$D$8:$D$27)+SUMIF('21'!$C$8:$C$27,$B21,'21'!$D$8:$D$27)+SUMIF('22'!$C$8:$C$27,$B21,'22'!$D$8:$D$27)+SUMIF('23'!$C$8:$C$27,$B21,'23'!$D$8:$D$27)+SUMIF('24'!$C$8:$C$27,$B21,'24'!$D$8:$D$27)+SUMIF('25'!$C$8:$C$27,$B21,'25'!$D$8:$D$27)+SUMIF('26'!$C$8:$C$27,$B21,'26'!$D$8:$D$27)+SUMIF('27'!$C$8:$C$27,$B21,'27'!$D$8:$D$27)+SUMIF('28'!$C$8:$C$27,$B21,'28'!$D$8:$D$27)+SUMIF('29'!$C$8:$C$27,$B21,'29'!$D$8:$D$27)+SUMIF('30'!$C$8:$C$27,$B21,'30'!$D$8:$D$27)+SUMIF('31'!$C$8:$C$27,$B21,'31'!$D$8:$D$27)</f>
        <v/>
      </c>
      <c r="D21" s="35">
        <f>SUMIF('01'!$C$8:$C$27,$B21,'01'!$E$8:$E$27)+SUMIF('02'!$C$8:$C$27,$B21,'02'!$E$8:$E$27)+SUMIF('03'!$C$8:$C$27,$B21,'03'!$E$8:$E$27)+SUMIF('04'!$C$8:$C$27,$B21,'04'!$E$8:$E$27)+SUMIF('05'!$C$8:$C$27,$B21,'05'!$E$8:$E$27)+SUMIF('06'!$C$8:$C$27,$B21,'06'!$E$8:$E$27)+SUMIF('07'!$C$8:$C$27,$B21,'07'!$E$8:$E$27)+SUMIF('08'!$C$8:$C$27,$B21,'08'!$E$8:$E$27)+SUMIF('09'!$C$8:$C$27,$B21,'09'!$E$8:$E$27)+SUMIF('10'!$C$8:$C$27,$B21,'10'!$E$8:$E$27)+SUMIF('11'!$C$8:$C$27,$B21,'11'!$E$8:$E$27)+SUMIF('12'!$C$8:$C$27,$B21,'12'!$E$8:$E$27)+SUMIF('13'!$C$8:$C$27,$B21,'13'!$E$8:$E$27)+SUMIF('14'!$C$8:$C$27,$B21,'14'!$E$8:$E$27)+SUMIF('15'!$C$8:$C$27,$B21,'15'!$E$8:$E$27)+SUMIF('16'!$C$8:$C$27,$B21,'16'!$E$8:$E$27)+SUMIF('17'!$C$8:$C$27,$B21,'17'!$E$8:$E$27)+SUMIF('18'!$C$8:$C$27,$B21,'18'!$E$8:$E$27)+SUMIF('19'!$C$8:$C$27,$B21,'19'!$E$8:$E$27)+SUMIF('20'!$C$8:$C$27,$B21,'20'!$E$8:$E$27)+SUMIF('21'!$C$8:$C$27,$B21,'21'!$E$8:$E$27)+SUMIF('22'!$C$8:$C$27,$B21,'22'!$E$8:$E$27)+SUMIF('23'!$C$8:$C$27,$B21,'23'!$E$8:$E$27)+SUMIF('24'!$C$8:$C$27,$B21,'24'!$E$8:$E$27)+SUMIF('25'!$C$8:$C$27,$B21,'25'!$E$8:$E$27)+SUMIF('26'!$C$8:$C$27,$B21,'26'!$E$8:$E$27)+SUMIF('27'!$C$8:$C$27,$B21,'27'!$E$8:$E$27)+SUMIF('28'!$C$8:$C$27,$B21,'28'!$E$8:$E$27)+SUMIF('29'!$C$8:$C$27,$B21,'29'!$E$8:$E$27)+SUMIF('30'!$C$8:$C$27,$B21,'30'!$E$8:$E$27)+SUMIF('31'!$C$8:$C$27,$B21,'31'!$E$8:$E$27)</f>
        <v/>
      </c>
      <c r="E21" s="35">
        <f>SUMIF('01'!$C$8:$C$27,$B21,'01'!$F$8:$F$27)+SUMIF('02'!$C$8:$C$27,$B21,'02'!$F$8:$F$27)+SUMIF('03'!$C$8:$C$27,$B21,'03'!$F$8:$F$27)+SUMIF('04'!$C$8:$C$27,$B21,'04'!$F$8:$F$27)+SUMIF('05'!$C$8:$C$27,$B21,'05'!$F$8:$F$27)+SUMIF('06'!$C$8:$C$27,$B21,'06'!$F$8:$F$27)+SUMIF('07'!$C$8:$C$27,$B21,'07'!$F$8:$F$27)+SUMIF('08'!$C$8:$C$27,$B21,'08'!$F$8:$F$27)+SUMIF('09'!$C$8:$C$27,$B21,'09'!$F$8:$F$27)+SUMIF('10'!$C$8:$C$27,$B21,'10'!$F$8:$F$27)+SUMIF('11'!$C$8:$C$27,$B21,'11'!$F$8:$F$27)+SUMIF('12'!$C$8:$C$27,$B21,'12'!$F$8:$F$27)+SUMIF('13'!$C$8:$C$27,$B21,'13'!$F$8:$F$27)+SUMIF('14'!$C$8:$C$27,$B21,'14'!$F$8:$F$27)+SUMIF('15'!$C$8:$C$27,$B21,'15'!$F$8:$F$27)+SUMIF('16'!$C$8:$C$27,$B21,'16'!$F$8:$F$27)+SUMIF('17'!$C$8:$C$27,$B21,'17'!$F$8:$F$27)+SUMIF('18'!$C$8:$C$27,$B21,'18'!$F$8:$F$27)+SUMIF('19'!$C$8:$C$27,$B21,'19'!$F$8:$F$27)+SUMIF('20'!$C$8:$C$27,$B21,'20'!$F$8:$F$27)+SUMIF('21'!$C$8:$C$27,$B21,'21'!$F$8:$F$27)+SUMIF('22'!$C$8:$C$27,$B21,'22'!$F$8:$F$27)+SUMIF('23'!$C$8:$C$27,$B21,'23'!$F$8:$F$27)+SUMIF('24'!$C$8:$C$27,$B21,'24'!$F$8:$F$27)+SUMIF('25'!$C$8:$C$27,$B21,'25'!$F$8:$F$27)+SUMIF('26'!$C$8:$C$27,$B21,'26'!$F$8:$F$27)+SUMIF('27'!$C$8:$C$27,$B21,'27'!$F$8:$F$27)+SUMIF('28'!$C$8:$C$27,$B21,'28'!$F$8:$F$27)+SUMIF('29'!$C$8:$C$27,$B21,'29'!$F$8:$F$27)+SUMIF('30'!$C$8:$C$27,$B21,'30'!$F$8:$F$27)+SUMIF('31'!$C$8:$C$27,$B21,'31'!$F$8:$F$27)</f>
        <v/>
      </c>
      <c r="F21" s="35">
        <f>SUMIF('01'!$C$8:$C$27,$B21,'01'!$H$8:$H$27)+SUMIF('02'!$C$8:$C$27,$B21,'02'!$H$8:$H$27)+SUMIF('03'!$C$8:$C$27,$B21,'03'!$H$8:$H$27)+SUMIF('04'!$C$8:$C$27,$B21,'04'!$H$8:$H$27)+SUMIF('05'!$C$8:$C$27,$B21,'05'!$H$8:$H$27)+SUMIF('06'!$C$8:$C$27,$B21,'06'!$H$8:$H$27)+SUMIF('07'!$C$8:$C$27,$B21,'07'!$H$8:$H$27)+SUMIF('08'!$C$8:$C$27,$B21,'08'!$H$8:$H$27)+SUMIF('09'!$C$8:$C$27,$B21,'09'!$H$8:$H$27)+SUMIF('10'!$C$8:$C$27,$B21,'10'!$H$8:$H$27)+SUMIF('11'!$C$8:$C$27,$B21,'11'!$H$8:$H$27)+SUMIF('12'!$C$8:$C$27,$B21,'12'!$H$8:$H$27)+SUMIF('13'!$C$8:$C$27,$B21,'13'!$H$8:$H$27)+SUMIF('14'!$C$8:$C$27,$B21,'14'!$H$8:$H$27)+SUMIF('15'!$C$8:$C$27,$B21,'15'!$H$8:$H$27)+SUMIF('16'!$C$8:$C$27,$B21,'16'!$H$8:$H$27)+SUMIF('17'!$C$8:$C$27,$B21,'17'!$H$8:$H$27)+SUMIF('18'!$C$8:$C$27,$B21,'18'!$H$8:$H$27)+SUMIF('19'!$C$8:$C$27,$B21,'19'!$H$8:$H$27)+SUMIF('20'!$C$8:$C$27,$B21,'20'!$H$8:$H$27)+SUMIF('21'!$C$8:$C$27,$B21,'21'!$H$8:$H$27)+SUMIF('22'!$C$8:$C$27,$B21,'22'!$H$8:$H$27)+SUMIF('23'!$C$8:$C$27,$B21,'23'!$H$8:$H$27)+SUMIF('24'!$C$8:$C$27,$B21,'24'!$H$8:$H$27)+SUMIF('25'!$C$8:$C$27,$B21,'25'!$H$8:$H$27)+SUMIF('26'!$C$8:$C$27,$B21,'26'!$H$8:$H$27)+SUMIF('27'!$C$8:$C$27,$B21,'27'!$H$8:$H$27)+SUMIF('28'!$C$8:$C$27,$B21,'28'!$H$8:$H$27)+SUMIF('29'!$C$8:$C$27,$B21,'29'!$H$8:$H$27)+SUMIF('30'!$C$8:$C$27,$B21,'30'!$H$8:$H$27)+SUMIF('31'!$C$8:$C$27,$B21,'31'!$H$8:$H$27)</f>
        <v/>
      </c>
      <c r="G21" s="60">
        <f>D21+E21+F21</f>
        <v/>
      </c>
      <c r="H21" s="60">
        <f>C21-G21</f>
        <v/>
      </c>
      <c r="I21" s="79">
        <f>IF($C$26=0,0,C21/$C$26)</f>
        <v/>
      </c>
      <c r="J21">
        <f>$C21-ROW()/1000000</f>
        <v/>
      </c>
    </row>
    <row r="22" ht="17" customHeight="1">
      <c r="B22" s="25" t="inlineStr">
        <is>
          <t>PANNEAUX BOIS</t>
        </is>
      </c>
      <c r="C22" s="39">
        <f>SUMIF('01'!$C$8:$C$27,$B22,'01'!$D$8:$D$27)+SUMIF('02'!$C$8:$C$27,$B22,'02'!$D$8:$D$27)+SUMIF('03'!$C$8:$C$27,$B22,'03'!$D$8:$D$27)+SUMIF('04'!$C$8:$C$27,$B22,'04'!$D$8:$D$27)+SUMIF('05'!$C$8:$C$27,$B22,'05'!$D$8:$D$27)+SUMIF('06'!$C$8:$C$27,$B22,'06'!$D$8:$D$27)+SUMIF('07'!$C$8:$C$27,$B22,'07'!$D$8:$D$27)+SUMIF('08'!$C$8:$C$27,$B22,'08'!$D$8:$D$27)+SUMIF('09'!$C$8:$C$27,$B22,'09'!$D$8:$D$27)+SUMIF('10'!$C$8:$C$27,$B22,'10'!$D$8:$D$27)+SUMIF('11'!$C$8:$C$27,$B22,'11'!$D$8:$D$27)+SUMIF('12'!$C$8:$C$27,$B22,'12'!$D$8:$D$27)+SUMIF('13'!$C$8:$C$27,$B22,'13'!$D$8:$D$27)+SUMIF('14'!$C$8:$C$27,$B22,'14'!$D$8:$D$27)+SUMIF('15'!$C$8:$C$27,$B22,'15'!$D$8:$D$27)+SUMIF('16'!$C$8:$C$27,$B22,'16'!$D$8:$D$27)+SUMIF('17'!$C$8:$C$27,$B22,'17'!$D$8:$D$27)+SUMIF('18'!$C$8:$C$27,$B22,'18'!$D$8:$D$27)+SUMIF('19'!$C$8:$C$27,$B22,'19'!$D$8:$D$27)+SUMIF('20'!$C$8:$C$27,$B22,'20'!$D$8:$D$27)+SUMIF('21'!$C$8:$C$27,$B22,'21'!$D$8:$D$27)+SUMIF('22'!$C$8:$C$27,$B22,'22'!$D$8:$D$27)+SUMIF('23'!$C$8:$C$27,$B22,'23'!$D$8:$D$27)+SUMIF('24'!$C$8:$C$27,$B22,'24'!$D$8:$D$27)+SUMIF('25'!$C$8:$C$27,$B22,'25'!$D$8:$D$27)+SUMIF('26'!$C$8:$C$27,$B22,'26'!$D$8:$D$27)+SUMIF('27'!$C$8:$C$27,$B22,'27'!$D$8:$D$27)+SUMIF('28'!$C$8:$C$27,$B22,'28'!$D$8:$D$27)+SUMIF('29'!$C$8:$C$27,$B22,'29'!$D$8:$D$27)+SUMIF('30'!$C$8:$C$27,$B22,'30'!$D$8:$D$27)+SUMIF('31'!$C$8:$C$27,$B22,'31'!$D$8:$D$27)</f>
        <v/>
      </c>
      <c r="D22" s="39">
        <f>SUMIF('01'!$C$8:$C$27,$B22,'01'!$E$8:$E$27)+SUMIF('02'!$C$8:$C$27,$B22,'02'!$E$8:$E$27)+SUMIF('03'!$C$8:$C$27,$B22,'03'!$E$8:$E$27)+SUMIF('04'!$C$8:$C$27,$B22,'04'!$E$8:$E$27)+SUMIF('05'!$C$8:$C$27,$B22,'05'!$E$8:$E$27)+SUMIF('06'!$C$8:$C$27,$B22,'06'!$E$8:$E$27)+SUMIF('07'!$C$8:$C$27,$B22,'07'!$E$8:$E$27)+SUMIF('08'!$C$8:$C$27,$B22,'08'!$E$8:$E$27)+SUMIF('09'!$C$8:$C$27,$B22,'09'!$E$8:$E$27)+SUMIF('10'!$C$8:$C$27,$B22,'10'!$E$8:$E$27)+SUMIF('11'!$C$8:$C$27,$B22,'11'!$E$8:$E$27)+SUMIF('12'!$C$8:$C$27,$B22,'12'!$E$8:$E$27)+SUMIF('13'!$C$8:$C$27,$B22,'13'!$E$8:$E$27)+SUMIF('14'!$C$8:$C$27,$B22,'14'!$E$8:$E$27)+SUMIF('15'!$C$8:$C$27,$B22,'15'!$E$8:$E$27)+SUMIF('16'!$C$8:$C$27,$B22,'16'!$E$8:$E$27)+SUMIF('17'!$C$8:$C$27,$B22,'17'!$E$8:$E$27)+SUMIF('18'!$C$8:$C$27,$B22,'18'!$E$8:$E$27)+SUMIF('19'!$C$8:$C$27,$B22,'19'!$E$8:$E$27)+SUMIF('20'!$C$8:$C$27,$B22,'20'!$E$8:$E$27)+SUMIF('21'!$C$8:$C$27,$B22,'21'!$E$8:$E$27)+SUMIF('22'!$C$8:$C$27,$B22,'22'!$E$8:$E$27)+SUMIF('23'!$C$8:$C$27,$B22,'23'!$E$8:$E$27)+SUMIF('24'!$C$8:$C$27,$B22,'24'!$E$8:$E$27)+SUMIF('25'!$C$8:$C$27,$B22,'25'!$E$8:$E$27)+SUMIF('26'!$C$8:$C$27,$B22,'26'!$E$8:$E$27)+SUMIF('27'!$C$8:$C$27,$B22,'27'!$E$8:$E$27)+SUMIF('28'!$C$8:$C$27,$B22,'28'!$E$8:$E$27)+SUMIF('29'!$C$8:$C$27,$B22,'29'!$E$8:$E$27)+SUMIF('30'!$C$8:$C$27,$B22,'30'!$E$8:$E$27)+SUMIF('31'!$C$8:$C$27,$B22,'31'!$E$8:$E$27)</f>
        <v/>
      </c>
      <c r="E22" s="39">
        <f>SUMIF('01'!$C$8:$C$27,$B22,'01'!$F$8:$F$27)+SUMIF('02'!$C$8:$C$27,$B22,'02'!$F$8:$F$27)+SUMIF('03'!$C$8:$C$27,$B22,'03'!$F$8:$F$27)+SUMIF('04'!$C$8:$C$27,$B22,'04'!$F$8:$F$27)+SUMIF('05'!$C$8:$C$27,$B22,'05'!$F$8:$F$27)+SUMIF('06'!$C$8:$C$27,$B22,'06'!$F$8:$F$27)+SUMIF('07'!$C$8:$C$27,$B22,'07'!$F$8:$F$27)+SUMIF('08'!$C$8:$C$27,$B22,'08'!$F$8:$F$27)+SUMIF('09'!$C$8:$C$27,$B22,'09'!$F$8:$F$27)+SUMIF('10'!$C$8:$C$27,$B22,'10'!$F$8:$F$27)+SUMIF('11'!$C$8:$C$27,$B22,'11'!$F$8:$F$27)+SUMIF('12'!$C$8:$C$27,$B22,'12'!$F$8:$F$27)+SUMIF('13'!$C$8:$C$27,$B22,'13'!$F$8:$F$27)+SUMIF('14'!$C$8:$C$27,$B22,'14'!$F$8:$F$27)+SUMIF('15'!$C$8:$C$27,$B22,'15'!$F$8:$F$27)+SUMIF('16'!$C$8:$C$27,$B22,'16'!$F$8:$F$27)+SUMIF('17'!$C$8:$C$27,$B22,'17'!$F$8:$F$27)+SUMIF('18'!$C$8:$C$27,$B22,'18'!$F$8:$F$27)+SUMIF('19'!$C$8:$C$27,$B22,'19'!$F$8:$F$27)+SUMIF('20'!$C$8:$C$27,$B22,'20'!$F$8:$F$27)+SUMIF('21'!$C$8:$C$27,$B22,'21'!$F$8:$F$27)+SUMIF('22'!$C$8:$C$27,$B22,'22'!$F$8:$F$27)+SUMIF('23'!$C$8:$C$27,$B22,'23'!$F$8:$F$27)+SUMIF('24'!$C$8:$C$27,$B22,'24'!$F$8:$F$27)+SUMIF('25'!$C$8:$C$27,$B22,'25'!$F$8:$F$27)+SUMIF('26'!$C$8:$C$27,$B22,'26'!$F$8:$F$27)+SUMIF('27'!$C$8:$C$27,$B22,'27'!$F$8:$F$27)+SUMIF('28'!$C$8:$C$27,$B22,'28'!$F$8:$F$27)+SUMIF('29'!$C$8:$C$27,$B22,'29'!$F$8:$F$27)+SUMIF('30'!$C$8:$C$27,$B22,'30'!$F$8:$F$27)+SUMIF('31'!$C$8:$C$27,$B22,'31'!$F$8:$F$27)</f>
        <v/>
      </c>
      <c r="F22" s="39">
        <f>SUMIF('01'!$C$8:$C$27,$B22,'01'!$H$8:$H$27)+SUMIF('02'!$C$8:$C$27,$B22,'02'!$H$8:$H$27)+SUMIF('03'!$C$8:$C$27,$B22,'03'!$H$8:$H$27)+SUMIF('04'!$C$8:$C$27,$B22,'04'!$H$8:$H$27)+SUMIF('05'!$C$8:$C$27,$B22,'05'!$H$8:$H$27)+SUMIF('06'!$C$8:$C$27,$B22,'06'!$H$8:$H$27)+SUMIF('07'!$C$8:$C$27,$B22,'07'!$H$8:$H$27)+SUMIF('08'!$C$8:$C$27,$B22,'08'!$H$8:$H$27)+SUMIF('09'!$C$8:$C$27,$B22,'09'!$H$8:$H$27)+SUMIF('10'!$C$8:$C$27,$B22,'10'!$H$8:$H$27)+SUMIF('11'!$C$8:$C$27,$B22,'11'!$H$8:$H$27)+SUMIF('12'!$C$8:$C$27,$B22,'12'!$H$8:$H$27)+SUMIF('13'!$C$8:$C$27,$B22,'13'!$H$8:$H$27)+SUMIF('14'!$C$8:$C$27,$B22,'14'!$H$8:$H$27)+SUMIF('15'!$C$8:$C$27,$B22,'15'!$H$8:$H$27)+SUMIF('16'!$C$8:$C$27,$B22,'16'!$H$8:$H$27)+SUMIF('17'!$C$8:$C$27,$B22,'17'!$H$8:$H$27)+SUMIF('18'!$C$8:$C$27,$B22,'18'!$H$8:$H$27)+SUMIF('19'!$C$8:$C$27,$B22,'19'!$H$8:$H$27)+SUMIF('20'!$C$8:$C$27,$B22,'20'!$H$8:$H$27)+SUMIF('21'!$C$8:$C$27,$B22,'21'!$H$8:$H$27)+SUMIF('22'!$C$8:$C$27,$B22,'22'!$H$8:$H$27)+SUMIF('23'!$C$8:$C$27,$B22,'23'!$H$8:$H$27)+SUMIF('24'!$C$8:$C$27,$B22,'24'!$H$8:$H$27)+SUMIF('25'!$C$8:$C$27,$B22,'25'!$H$8:$H$27)+SUMIF('26'!$C$8:$C$27,$B22,'26'!$H$8:$H$27)+SUMIF('27'!$C$8:$C$27,$B22,'27'!$H$8:$H$27)+SUMIF('28'!$C$8:$C$27,$B22,'28'!$H$8:$H$27)+SUMIF('29'!$C$8:$C$27,$B22,'29'!$H$8:$H$27)+SUMIF('30'!$C$8:$C$27,$B22,'30'!$H$8:$H$27)+SUMIF('31'!$C$8:$C$27,$B22,'31'!$H$8:$H$27)</f>
        <v/>
      </c>
      <c r="G22" s="76">
        <f>D22+E22+F22</f>
        <v/>
      </c>
      <c r="H22" s="76">
        <f>C22-G22</f>
        <v/>
      </c>
      <c r="I22" s="77">
        <f>IF($C$26=0,0,C22/$C$26)</f>
        <v/>
      </c>
      <c r="J22">
        <f>$C22-ROW()/1000000</f>
        <v/>
      </c>
    </row>
    <row r="23" ht="17" customHeight="1">
      <c r="B23" s="78" t="inlineStr">
        <is>
          <t>TRANSPORT</t>
        </is>
      </c>
      <c r="C23" s="35">
        <f>SUMIF('01'!$C$8:$C$27,$B23,'01'!$D$8:$D$27)+SUMIF('02'!$C$8:$C$27,$B23,'02'!$D$8:$D$27)+SUMIF('03'!$C$8:$C$27,$B23,'03'!$D$8:$D$27)+SUMIF('04'!$C$8:$C$27,$B23,'04'!$D$8:$D$27)+SUMIF('05'!$C$8:$C$27,$B23,'05'!$D$8:$D$27)+SUMIF('06'!$C$8:$C$27,$B23,'06'!$D$8:$D$27)+SUMIF('07'!$C$8:$C$27,$B23,'07'!$D$8:$D$27)+SUMIF('08'!$C$8:$C$27,$B23,'08'!$D$8:$D$27)+SUMIF('09'!$C$8:$C$27,$B23,'09'!$D$8:$D$27)+SUMIF('10'!$C$8:$C$27,$B23,'10'!$D$8:$D$27)+SUMIF('11'!$C$8:$C$27,$B23,'11'!$D$8:$D$27)+SUMIF('12'!$C$8:$C$27,$B23,'12'!$D$8:$D$27)+SUMIF('13'!$C$8:$C$27,$B23,'13'!$D$8:$D$27)+SUMIF('14'!$C$8:$C$27,$B23,'14'!$D$8:$D$27)+SUMIF('15'!$C$8:$C$27,$B23,'15'!$D$8:$D$27)+SUMIF('16'!$C$8:$C$27,$B23,'16'!$D$8:$D$27)+SUMIF('17'!$C$8:$C$27,$B23,'17'!$D$8:$D$27)+SUMIF('18'!$C$8:$C$27,$B23,'18'!$D$8:$D$27)+SUMIF('19'!$C$8:$C$27,$B23,'19'!$D$8:$D$27)+SUMIF('20'!$C$8:$C$27,$B23,'20'!$D$8:$D$27)+SUMIF('21'!$C$8:$C$27,$B23,'21'!$D$8:$D$27)+SUMIF('22'!$C$8:$C$27,$B23,'22'!$D$8:$D$27)+SUMIF('23'!$C$8:$C$27,$B23,'23'!$D$8:$D$27)+SUMIF('24'!$C$8:$C$27,$B23,'24'!$D$8:$D$27)+SUMIF('25'!$C$8:$C$27,$B23,'25'!$D$8:$D$27)+SUMIF('26'!$C$8:$C$27,$B23,'26'!$D$8:$D$27)+SUMIF('27'!$C$8:$C$27,$B23,'27'!$D$8:$D$27)+SUMIF('28'!$C$8:$C$27,$B23,'28'!$D$8:$D$27)+SUMIF('29'!$C$8:$C$27,$B23,'29'!$D$8:$D$27)+SUMIF('30'!$C$8:$C$27,$B23,'30'!$D$8:$D$27)+SUMIF('31'!$C$8:$C$27,$B23,'31'!$D$8:$D$27)</f>
        <v/>
      </c>
      <c r="D23" s="35">
        <f>SUMIF('01'!$C$8:$C$27,$B23,'01'!$E$8:$E$27)+SUMIF('02'!$C$8:$C$27,$B23,'02'!$E$8:$E$27)+SUMIF('03'!$C$8:$C$27,$B23,'03'!$E$8:$E$27)+SUMIF('04'!$C$8:$C$27,$B23,'04'!$E$8:$E$27)+SUMIF('05'!$C$8:$C$27,$B23,'05'!$E$8:$E$27)+SUMIF('06'!$C$8:$C$27,$B23,'06'!$E$8:$E$27)+SUMIF('07'!$C$8:$C$27,$B23,'07'!$E$8:$E$27)+SUMIF('08'!$C$8:$C$27,$B23,'08'!$E$8:$E$27)+SUMIF('09'!$C$8:$C$27,$B23,'09'!$E$8:$E$27)+SUMIF('10'!$C$8:$C$27,$B23,'10'!$E$8:$E$27)+SUMIF('11'!$C$8:$C$27,$B23,'11'!$E$8:$E$27)+SUMIF('12'!$C$8:$C$27,$B23,'12'!$E$8:$E$27)+SUMIF('13'!$C$8:$C$27,$B23,'13'!$E$8:$E$27)+SUMIF('14'!$C$8:$C$27,$B23,'14'!$E$8:$E$27)+SUMIF('15'!$C$8:$C$27,$B23,'15'!$E$8:$E$27)+SUMIF('16'!$C$8:$C$27,$B23,'16'!$E$8:$E$27)+SUMIF('17'!$C$8:$C$27,$B23,'17'!$E$8:$E$27)+SUMIF('18'!$C$8:$C$27,$B23,'18'!$E$8:$E$27)+SUMIF('19'!$C$8:$C$27,$B23,'19'!$E$8:$E$27)+SUMIF('20'!$C$8:$C$27,$B23,'20'!$E$8:$E$27)+SUMIF('21'!$C$8:$C$27,$B23,'21'!$E$8:$E$27)+SUMIF('22'!$C$8:$C$27,$B23,'22'!$E$8:$E$27)+SUMIF('23'!$C$8:$C$27,$B23,'23'!$E$8:$E$27)+SUMIF('24'!$C$8:$C$27,$B23,'24'!$E$8:$E$27)+SUMIF('25'!$C$8:$C$27,$B23,'25'!$E$8:$E$27)+SUMIF('26'!$C$8:$C$27,$B23,'26'!$E$8:$E$27)+SUMIF('27'!$C$8:$C$27,$B23,'27'!$E$8:$E$27)+SUMIF('28'!$C$8:$C$27,$B23,'28'!$E$8:$E$27)+SUMIF('29'!$C$8:$C$27,$B23,'29'!$E$8:$E$27)+SUMIF('30'!$C$8:$C$27,$B23,'30'!$E$8:$E$27)+SUMIF('31'!$C$8:$C$27,$B23,'31'!$E$8:$E$27)</f>
        <v/>
      </c>
      <c r="E23" s="35">
        <f>SUMIF('01'!$C$8:$C$27,$B23,'01'!$F$8:$F$27)+SUMIF('02'!$C$8:$C$27,$B23,'02'!$F$8:$F$27)+SUMIF('03'!$C$8:$C$27,$B23,'03'!$F$8:$F$27)+SUMIF('04'!$C$8:$C$27,$B23,'04'!$F$8:$F$27)+SUMIF('05'!$C$8:$C$27,$B23,'05'!$F$8:$F$27)+SUMIF('06'!$C$8:$C$27,$B23,'06'!$F$8:$F$27)+SUMIF('07'!$C$8:$C$27,$B23,'07'!$F$8:$F$27)+SUMIF('08'!$C$8:$C$27,$B23,'08'!$F$8:$F$27)+SUMIF('09'!$C$8:$C$27,$B23,'09'!$F$8:$F$27)+SUMIF('10'!$C$8:$C$27,$B23,'10'!$F$8:$F$27)+SUMIF('11'!$C$8:$C$27,$B23,'11'!$F$8:$F$27)+SUMIF('12'!$C$8:$C$27,$B23,'12'!$F$8:$F$27)+SUMIF('13'!$C$8:$C$27,$B23,'13'!$F$8:$F$27)+SUMIF('14'!$C$8:$C$27,$B23,'14'!$F$8:$F$27)+SUMIF('15'!$C$8:$C$27,$B23,'15'!$F$8:$F$27)+SUMIF('16'!$C$8:$C$27,$B23,'16'!$F$8:$F$27)+SUMIF('17'!$C$8:$C$27,$B23,'17'!$F$8:$F$27)+SUMIF('18'!$C$8:$C$27,$B23,'18'!$F$8:$F$27)+SUMIF('19'!$C$8:$C$27,$B23,'19'!$F$8:$F$27)+SUMIF('20'!$C$8:$C$27,$B23,'20'!$F$8:$F$27)+SUMIF('21'!$C$8:$C$27,$B23,'21'!$F$8:$F$27)+SUMIF('22'!$C$8:$C$27,$B23,'22'!$F$8:$F$27)+SUMIF('23'!$C$8:$C$27,$B23,'23'!$F$8:$F$27)+SUMIF('24'!$C$8:$C$27,$B23,'24'!$F$8:$F$27)+SUMIF('25'!$C$8:$C$27,$B23,'25'!$F$8:$F$27)+SUMIF('26'!$C$8:$C$27,$B23,'26'!$F$8:$F$27)+SUMIF('27'!$C$8:$C$27,$B23,'27'!$F$8:$F$27)+SUMIF('28'!$C$8:$C$27,$B23,'28'!$F$8:$F$27)+SUMIF('29'!$C$8:$C$27,$B23,'29'!$F$8:$F$27)+SUMIF('30'!$C$8:$C$27,$B23,'30'!$F$8:$F$27)+SUMIF('31'!$C$8:$C$27,$B23,'31'!$F$8:$F$27)</f>
        <v/>
      </c>
      <c r="F23" s="35">
        <f>SUMIF('01'!$C$8:$C$27,$B23,'01'!$H$8:$H$27)+SUMIF('02'!$C$8:$C$27,$B23,'02'!$H$8:$H$27)+SUMIF('03'!$C$8:$C$27,$B23,'03'!$H$8:$H$27)+SUMIF('04'!$C$8:$C$27,$B23,'04'!$H$8:$H$27)+SUMIF('05'!$C$8:$C$27,$B23,'05'!$H$8:$H$27)+SUMIF('06'!$C$8:$C$27,$B23,'06'!$H$8:$H$27)+SUMIF('07'!$C$8:$C$27,$B23,'07'!$H$8:$H$27)+SUMIF('08'!$C$8:$C$27,$B23,'08'!$H$8:$H$27)+SUMIF('09'!$C$8:$C$27,$B23,'09'!$H$8:$H$27)+SUMIF('10'!$C$8:$C$27,$B23,'10'!$H$8:$H$27)+SUMIF('11'!$C$8:$C$27,$B23,'11'!$H$8:$H$27)+SUMIF('12'!$C$8:$C$27,$B23,'12'!$H$8:$H$27)+SUMIF('13'!$C$8:$C$27,$B23,'13'!$H$8:$H$27)+SUMIF('14'!$C$8:$C$27,$B23,'14'!$H$8:$H$27)+SUMIF('15'!$C$8:$C$27,$B23,'15'!$H$8:$H$27)+SUMIF('16'!$C$8:$C$27,$B23,'16'!$H$8:$H$27)+SUMIF('17'!$C$8:$C$27,$B23,'17'!$H$8:$H$27)+SUMIF('18'!$C$8:$C$27,$B23,'18'!$H$8:$H$27)+SUMIF('19'!$C$8:$C$27,$B23,'19'!$H$8:$H$27)+SUMIF('20'!$C$8:$C$27,$B23,'20'!$H$8:$H$27)+SUMIF('21'!$C$8:$C$27,$B23,'21'!$H$8:$H$27)+SUMIF('22'!$C$8:$C$27,$B23,'22'!$H$8:$H$27)+SUMIF('23'!$C$8:$C$27,$B23,'23'!$H$8:$H$27)+SUMIF('24'!$C$8:$C$27,$B23,'24'!$H$8:$H$27)+SUMIF('25'!$C$8:$C$27,$B23,'25'!$H$8:$H$27)+SUMIF('26'!$C$8:$C$27,$B23,'26'!$H$8:$H$27)+SUMIF('27'!$C$8:$C$27,$B23,'27'!$H$8:$H$27)+SUMIF('28'!$C$8:$C$27,$B23,'28'!$H$8:$H$27)+SUMIF('29'!$C$8:$C$27,$B23,'29'!$H$8:$H$27)+SUMIF('30'!$C$8:$C$27,$B23,'30'!$H$8:$H$27)+SUMIF('31'!$C$8:$C$27,$B23,'31'!$H$8:$H$27)</f>
        <v/>
      </c>
      <c r="G23" s="60">
        <f>D23+E23+F23</f>
        <v/>
      </c>
      <c r="H23" s="60">
        <f>C23-G23</f>
        <v/>
      </c>
      <c r="I23" s="79">
        <f>IF($C$26=0,0,C23/$C$26)</f>
        <v/>
      </c>
      <c r="J23">
        <f>$C23-ROW()/1000000</f>
        <v/>
      </c>
    </row>
    <row r="24" ht="17" customHeight="1">
      <c r="B24" s="25" t="inlineStr">
        <is>
          <t>CARBURANT</t>
        </is>
      </c>
      <c r="C24" s="39">
        <f>SUMIF('01'!$C$8:$C$27,$B24,'01'!$D$8:$D$27)+SUMIF('02'!$C$8:$C$27,$B24,'02'!$D$8:$D$27)+SUMIF('03'!$C$8:$C$27,$B24,'03'!$D$8:$D$27)+SUMIF('04'!$C$8:$C$27,$B24,'04'!$D$8:$D$27)+SUMIF('05'!$C$8:$C$27,$B24,'05'!$D$8:$D$27)+SUMIF('06'!$C$8:$C$27,$B24,'06'!$D$8:$D$27)+SUMIF('07'!$C$8:$C$27,$B24,'07'!$D$8:$D$27)+SUMIF('08'!$C$8:$C$27,$B24,'08'!$D$8:$D$27)+SUMIF('09'!$C$8:$C$27,$B24,'09'!$D$8:$D$27)+SUMIF('10'!$C$8:$C$27,$B24,'10'!$D$8:$D$27)+SUMIF('11'!$C$8:$C$27,$B24,'11'!$D$8:$D$27)+SUMIF('12'!$C$8:$C$27,$B24,'12'!$D$8:$D$27)+SUMIF('13'!$C$8:$C$27,$B24,'13'!$D$8:$D$27)+SUMIF('14'!$C$8:$C$27,$B24,'14'!$D$8:$D$27)+SUMIF('15'!$C$8:$C$27,$B24,'15'!$D$8:$D$27)+SUMIF('16'!$C$8:$C$27,$B24,'16'!$D$8:$D$27)+SUMIF('17'!$C$8:$C$27,$B24,'17'!$D$8:$D$27)+SUMIF('18'!$C$8:$C$27,$B24,'18'!$D$8:$D$27)+SUMIF('19'!$C$8:$C$27,$B24,'19'!$D$8:$D$27)+SUMIF('20'!$C$8:$C$27,$B24,'20'!$D$8:$D$27)+SUMIF('21'!$C$8:$C$27,$B24,'21'!$D$8:$D$27)+SUMIF('22'!$C$8:$C$27,$B24,'22'!$D$8:$D$27)+SUMIF('23'!$C$8:$C$27,$B24,'23'!$D$8:$D$27)+SUMIF('24'!$C$8:$C$27,$B24,'24'!$D$8:$D$27)+SUMIF('25'!$C$8:$C$27,$B24,'25'!$D$8:$D$27)+SUMIF('26'!$C$8:$C$27,$B24,'26'!$D$8:$D$27)+SUMIF('27'!$C$8:$C$27,$B24,'27'!$D$8:$D$27)+SUMIF('28'!$C$8:$C$27,$B24,'28'!$D$8:$D$27)+SUMIF('29'!$C$8:$C$27,$B24,'29'!$D$8:$D$27)+SUMIF('30'!$C$8:$C$27,$B24,'30'!$D$8:$D$27)+SUMIF('31'!$C$8:$C$27,$B24,'31'!$D$8:$D$27)</f>
        <v/>
      </c>
      <c r="D24" s="39">
        <f>SUMIF('01'!$C$8:$C$27,$B24,'01'!$E$8:$E$27)+SUMIF('02'!$C$8:$C$27,$B24,'02'!$E$8:$E$27)+SUMIF('03'!$C$8:$C$27,$B24,'03'!$E$8:$E$27)+SUMIF('04'!$C$8:$C$27,$B24,'04'!$E$8:$E$27)+SUMIF('05'!$C$8:$C$27,$B24,'05'!$E$8:$E$27)+SUMIF('06'!$C$8:$C$27,$B24,'06'!$E$8:$E$27)+SUMIF('07'!$C$8:$C$27,$B24,'07'!$E$8:$E$27)+SUMIF('08'!$C$8:$C$27,$B24,'08'!$E$8:$E$27)+SUMIF('09'!$C$8:$C$27,$B24,'09'!$E$8:$E$27)+SUMIF('10'!$C$8:$C$27,$B24,'10'!$E$8:$E$27)+SUMIF('11'!$C$8:$C$27,$B24,'11'!$E$8:$E$27)+SUMIF('12'!$C$8:$C$27,$B24,'12'!$E$8:$E$27)+SUMIF('13'!$C$8:$C$27,$B24,'13'!$E$8:$E$27)+SUMIF('14'!$C$8:$C$27,$B24,'14'!$E$8:$E$27)+SUMIF('15'!$C$8:$C$27,$B24,'15'!$E$8:$E$27)+SUMIF('16'!$C$8:$C$27,$B24,'16'!$E$8:$E$27)+SUMIF('17'!$C$8:$C$27,$B24,'17'!$E$8:$E$27)+SUMIF('18'!$C$8:$C$27,$B24,'18'!$E$8:$E$27)+SUMIF('19'!$C$8:$C$27,$B24,'19'!$E$8:$E$27)+SUMIF('20'!$C$8:$C$27,$B24,'20'!$E$8:$E$27)+SUMIF('21'!$C$8:$C$27,$B24,'21'!$E$8:$E$27)+SUMIF('22'!$C$8:$C$27,$B24,'22'!$E$8:$E$27)+SUMIF('23'!$C$8:$C$27,$B24,'23'!$E$8:$E$27)+SUMIF('24'!$C$8:$C$27,$B24,'24'!$E$8:$E$27)+SUMIF('25'!$C$8:$C$27,$B24,'25'!$E$8:$E$27)+SUMIF('26'!$C$8:$C$27,$B24,'26'!$E$8:$E$27)+SUMIF('27'!$C$8:$C$27,$B24,'27'!$E$8:$E$27)+SUMIF('28'!$C$8:$C$27,$B24,'28'!$E$8:$E$27)+SUMIF('29'!$C$8:$C$27,$B24,'29'!$E$8:$E$27)+SUMIF('30'!$C$8:$C$27,$B24,'30'!$E$8:$E$27)+SUMIF('31'!$C$8:$C$27,$B24,'31'!$E$8:$E$27)</f>
        <v/>
      </c>
      <c r="E24" s="39">
        <f>SUMIF('01'!$C$8:$C$27,$B24,'01'!$F$8:$F$27)+SUMIF('02'!$C$8:$C$27,$B24,'02'!$F$8:$F$27)+SUMIF('03'!$C$8:$C$27,$B24,'03'!$F$8:$F$27)+SUMIF('04'!$C$8:$C$27,$B24,'04'!$F$8:$F$27)+SUMIF('05'!$C$8:$C$27,$B24,'05'!$F$8:$F$27)+SUMIF('06'!$C$8:$C$27,$B24,'06'!$F$8:$F$27)+SUMIF('07'!$C$8:$C$27,$B24,'07'!$F$8:$F$27)+SUMIF('08'!$C$8:$C$27,$B24,'08'!$F$8:$F$27)+SUMIF('09'!$C$8:$C$27,$B24,'09'!$F$8:$F$27)+SUMIF('10'!$C$8:$C$27,$B24,'10'!$F$8:$F$27)+SUMIF('11'!$C$8:$C$27,$B24,'11'!$F$8:$F$27)+SUMIF('12'!$C$8:$C$27,$B24,'12'!$F$8:$F$27)+SUMIF('13'!$C$8:$C$27,$B24,'13'!$F$8:$F$27)+SUMIF('14'!$C$8:$C$27,$B24,'14'!$F$8:$F$27)+SUMIF('15'!$C$8:$C$27,$B24,'15'!$F$8:$F$27)+SUMIF('16'!$C$8:$C$27,$B24,'16'!$F$8:$F$27)+SUMIF('17'!$C$8:$C$27,$B24,'17'!$F$8:$F$27)+SUMIF('18'!$C$8:$C$27,$B24,'18'!$F$8:$F$27)+SUMIF('19'!$C$8:$C$27,$B24,'19'!$F$8:$F$27)+SUMIF('20'!$C$8:$C$27,$B24,'20'!$F$8:$F$27)+SUMIF('21'!$C$8:$C$27,$B24,'21'!$F$8:$F$27)+SUMIF('22'!$C$8:$C$27,$B24,'22'!$F$8:$F$27)+SUMIF('23'!$C$8:$C$27,$B24,'23'!$F$8:$F$27)+SUMIF('24'!$C$8:$C$27,$B24,'24'!$F$8:$F$27)+SUMIF('25'!$C$8:$C$27,$B24,'25'!$F$8:$F$27)+SUMIF('26'!$C$8:$C$27,$B24,'26'!$F$8:$F$27)+SUMIF('27'!$C$8:$C$27,$B24,'27'!$F$8:$F$27)+SUMIF('28'!$C$8:$C$27,$B24,'28'!$F$8:$F$27)+SUMIF('29'!$C$8:$C$27,$B24,'29'!$F$8:$F$27)+SUMIF('30'!$C$8:$C$27,$B24,'30'!$F$8:$F$27)+SUMIF('31'!$C$8:$C$27,$B24,'31'!$F$8:$F$27)</f>
        <v/>
      </c>
      <c r="F24" s="39">
        <f>SUMIF('01'!$C$8:$C$27,$B24,'01'!$H$8:$H$27)+SUMIF('02'!$C$8:$C$27,$B24,'02'!$H$8:$H$27)+SUMIF('03'!$C$8:$C$27,$B24,'03'!$H$8:$H$27)+SUMIF('04'!$C$8:$C$27,$B24,'04'!$H$8:$H$27)+SUMIF('05'!$C$8:$C$27,$B24,'05'!$H$8:$H$27)+SUMIF('06'!$C$8:$C$27,$B24,'06'!$H$8:$H$27)+SUMIF('07'!$C$8:$C$27,$B24,'07'!$H$8:$H$27)+SUMIF('08'!$C$8:$C$27,$B24,'08'!$H$8:$H$27)+SUMIF('09'!$C$8:$C$27,$B24,'09'!$H$8:$H$27)+SUMIF('10'!$C$8:$C$27,$B24,'10'!$H$8:$H$27)+SUMIF('11'!$C$8:$C$27,$B24,'11'!$H$8:$H$27)+SUMIF('12'!$C$8:$C$27,$B24,'12'!$H$8:$H$27)+SUMIF('13'!$C$8:$C$27,$B24,'13'!$H$8:$H$27)+SUMIF('14'!$C$8:$C$27,$B24,'14'!$H$8:$H$27)+SUMIF('15'!$C$8:$C$27,$B24,'15'!$H$8:$H$27)+SUMIF('16'!$C$8:$C$27,$B24,'16'!$H$8:$H$27)+SUMIF('17'!$C$8:$C$27,$B24,'17'!$H$8:$H$27)+SUMIF('18'!$C$8:$C$27,$B24,'18'!$H$8:$H$27)+SUMIF('19'!$C$8:$C$27,$B24,'19'!$H$8:$H$27)+SUMIF('20'!$C$8:$C$27,$B24,'20'!$H$8:$H$27)+SUMIF('21'!$C$8:$C$27,$B24,'21'!$H$8:$H$27)+SUMIF('22'!$C$8:$C$27,$B24,'22'!$H$8:$H$27)+SUMIF('23'!$C$8:$C$27,$B24,'23'!$H$8:$H$27)+SUMIF('24'!$C$8:$C$27,$B24,'24'!$H$8:$H$27)+SUMIF('25'!$C$8:$C$27,$B24,'25'!$H$8:$H$27)+SUMIF('26'!$C$8:$C$27,$B24,'26'!$H$8:$H$27)+SUMIF('27'!$C$8:$C$27,$B24,'27'!$H$8:$H$27)+SUMIF('28'!$C$8:$C$27,$B24,'28'!$H$8:$H$27)+SUMIF('29'!$C$8:$C$27,$B24,'29'!$H$8:$H$27)+SUMIF('30'!$C$8:$C$27,$B24,'30'!$H$8:$H$27)+SUMIF('31'!$C$8:$C$27,$B24,'31'!$H$8:$H$27)</f>
        <v/>
      </c>
      <c r="G24" s="76">
        <f>D24+E24+F24</f>
        <v/>
      </c>
      <c r="H24" s="76">
        <f>C24-G24</f>
        <v/>
      </c>
      <c r="I24" s="77">
        <f>IF($C$26=0,0,C24/$C$26)</f>
        <v/>
      </c>
      <c r="J24">
        <f>$C24-ROW()/1000000</f>
        <v/>
      </c>
    </row>
    <row r="25" ht="17" customHeight="1">
      <c r="B25" s="78" t="inlineStr">
        <is>
          <t>DIVERS</t>
        </is>
      </c>
      <c r="C25" s="35">
        <f>SUMIF('01'!$C$8:$C$27,$B25,'01'!$D$8:$D$27)+SUMIF('02'!$C$8:$C$27,$B25,'02'!$D$8:$D$27)+SUMIF('03'!$C$8:$C$27,$B25,'03'!$D$8:$D$27)+SUMIF('04'!$C$8:$C$27,$B25,'04'!$D$8:$D$27)+SUMIF('05'!$C$8:$C$27,$B25,'05'!$D$8:$D$27)+SUMIF('06'!$C$8:$C$27,$B25,'06'!$D$8:$D$27)+SUMIF('07'!$C$8:$C$27,$B25,'07'!$D$8:$D$27)+SUMIF('08'!$C$8:$C$27,$B25,'08'!$D$8:$D$27)+SUMIF('09'!$C$8:$C$27,$B25,'09'!$D$8:$D$27)+SUMIF('10'!$C$8:$C$27,$B25,'10'!$D$8:$D$27)+SUMIF('11'!$C$8:$C$27,$B25,'11'!$D$8:$D$27)+SUMIF('12'!$C$8:$C$27,$B25,'12'!$D$8:$D$27)+SUMIF('13'!$C$8:$C$27,$B25,'13'!$D$8:$D$27)+SUMIF('14'!$C$8:$C$27,$B25,'14'!$D$8:$D$27)+SUMIF('15'!$C$8:$C$27,$B25,'15'!$D$8:$D$27)+SUMIF('16'!$C$8:$C$27,$B25,'16'!$D$8:$D$27)+SUMIF('17'!$C$8:$C$27,$B25,'17'!$D$8:$D$27)+SUMIF('18'!$C$8:$C$27,$B25,'18'!$D$8:$D$27)+SUMIF('19'!$C$8:$C$27,$B25,'19'!$D$8:$D$27)+SUMIF('20'!$C$8:$C$27,$B25,'20'!$D$8:$D$27)+SUMIF('21'!$C$8:$C$27,$B25,'21'!$D$8:$D$27)+SUMIF('22'!$C$8:$C$27,$B25,'22'!$D$8:$D$27)+SUMIF('23'!$C$8:$C$27,$B25,'23'!$D$8:$D$27)+SUMIF('24'!$C$8:$C$27,$B25,'24'!$D$8:$D$27)+SUMIF('25'!$C$8:$C$27,$B25,'25'!$D$8:$D$27)+SUMIF('26'!$C$8:$C$27,$B25,'26'!$D$8:$D$27)+SUMIF('27'!$C$8:$C$27,$B25,'27'!$D$8:$D$27)+SUMIF('28'!$C$8:$C$27,$B25,'28'!$D$8:$D$27)+SUMIF('29'!$C$8:$C$27,$B25,'29'!$D$8:$D$27)+SUMIF('30'!$C$8:$C$27,$B25,'30'!$D$8:$D$27)+SUMIF('31'!$C$8:$C$27,$B25,'31'!$D$8:$D$27)</f>
        <v/>
      </c>
      <c r="D25" s="35">
        <f>SUMIF('01'!$C$8:$C$27,$B25,'01'!$E$8:$E$27)+SUMIF('02'!$C$8:$C$27,$B25,'02'!$E$8:$E$27)+SUMIF('03'!$C$8:$C$27,$B25,'03'!$E$8:$E$27)+SUMIF('04'!$C$8:$C$27,$B25,'04'!$E$8:$E$27)+SUMIF('05'!$C$8:$C$27,$B25,'05'!$E$8:$E$27)+SUMIF('06'!$C$8:$C$27,$B25,'06'!$E$8:$E$27)+SUMIF('07'!$C$8:$C$27,$B25,'07'!$E$8:$E$27)+SUMIF('08'!$C$8:$C$27,$B25,'08'!$E$8:$E$27)+SUMIF('09'!$C$8:$C$27,$B25,'09'!$E$8:$E$27)+SUMIF('10'!$C$8:$C$27,$B25,'10'!$E$8:$E$27)+SUMIF('11'!$C$8:$C$27,$B25,'11'!$E$8:$E$27)+SUMIF('12'!$C$8:$C$27,$B25,'12'!$E$8:$E$27)+SUMIF('13'!$C$8:$C$27,$B25,'13'!$E$8:$E$27)+SUMIF('14'!$C$8:$C$27,$B25,'14'!$E$8:$E$27)+SUMIF('15'!$C$8:$C$27,$B25,'15'!$E$8:$E$27)+SUMIF('16'!$C$8:$C$27,$B25,'16'!$E$8:$E$27)+SUMIF('17'!$C$8:$C$27,$B25,'17'!$E$8:$E$27)+SUMIF('18'!$C$8:$C$27,$B25,'18'!$E$8:$E$27)+SUMIF('19'!$C$8:$C$27,$B25,'19'!$E$8:$E$27)+SUMIF('20'!$C$8:$C$27,$B25,'20'!$E$8:$E$27)+SUMIF('21'!$C$8:$C$27,$B25,'21'!$E$8:$E$27)+SUMIF('22'!$C$8:$C$27,$B25,'22'!$E$8:$E$27)+SUMIF('23'!$C$8:$C$27,$B25,'23'!$E$8:$E$27)+SUMIF('24'!$C$8:$C$27,$B25,'24'!$E$8:$E$27)+SUMIF('25'!$C$8:$C$27,$B25,'25'!$E$8:$E$27)+SUMIF('26'!$C$8:$C$27,$B25,'26'!$E$8:$E$27)+SUMIF('27'!$C$8:$C$27,$B25,'27'!$E$8:$E$27)+SUMIF('28'!$C$8:$C$27,$B25,'28'!$E$8:$E$27)+SUMIF('29'!$C$8:$C$27,$B25,'29'!$E$8:$E$27)+SUMIF('30'!$C$8:$C$27,$B25,'30'!$E$8:$E$27)+SUMIF('31'!$C$8:$C$27,$B25,'31'!$E$8:$E$27)</f>
        <v/>
      </c>
      <c r="E25" s="35">
        <f>SUMIF('01'!$C$8:$C$27,$B25,'01'!$F$8:$F$27)+SUMIF('02'!$C$8:$C$27,$B25,'02'!$F$8:$F$27)+SUMIF('03'!$C$8:$C$27,$B25,'03'!$F$8:$F$27)+SUMIF('04'!$C$8:$C$27,$B25,'04'!$F$8:$F$27)+SUMIF('05'!$C$8:$C$27,$B25,'05'!$F$8:$F$27)+SUMIF('06'!$C$8:$C$27,$B25,'06'!$F$8:$F$27)+SUMIF('07'!$C$8:$C$27,$B25,'07'!$F$8:$F$27)+SUMIF('08'!$C$8:$C$27,$B25,'08'!$F$8:$F$27)+SUMIF('09'!$C$8:$C$27,$B25,'09'!$F$8:$F$27)+SUMIF('10'!$C$8:$C$27,$B25,'10'!$F$8:$F$27)+SUMIF('11'!$C$8:$C$27,$B25,'11'!$F$8:$F$27)+SUMIF('12'!$C$8:$C$27,$B25,'12'!$F$8:$F$27)+SUMIF('13'!$C$8:$C$27,$B25,'13'!$F$8:$F$27)+SUMIF('14'!$C$8:$C$27,$B25,'14'!$F$8:$F$27)+SUMIF('15'!$C$8:$C$27,$B25,'15'!$F$8:$F$27)+SUMIF('16'!$C$8:$C$27,$B25,'16'!$F$8:$F$27)+SUMIF('17'!$C$8:$C$27,$B25,'17'!$F$8:$F$27)+SUMIF('18'!$C$8:$C$27,$B25,'18'!$F$8:$F$27)+SUMIF('19'!$C$8:$C$27,$B25,'19'!$F$8:$F$27)+SUMIF('20'!$C$8:$C$27,$B25,'20'!$F$8:$F$27)+SUMIF('21'!$C$8:$C$27,$B25,'21'!$F$8:$F$27)+SUMIF('22'!$C$8:$C$27,$B25,'22'!$F$8:$F$27)+SUMIF('23'!$C$8:$C$27,$B25,'23'!$F$8:$F$27)+SUMIF('24'!$C$8:$C$27,$B25,'24'!$F$8:$F$27)+SUMIF('25'!$C$8:$C$27,$B25,'25'!$F$8:$F$27)+SUMIF('26'!$C$8:$C$27,$B25,'26'!$F$8:$F$27)+SUMIF('27'!$C$8:$C$27,$B25,'27'!$F$8:$F$27)+SUMIF('28'!$C$8:$C$27,$B25,'28'!$F$8:$F$27)+SUMIF('29'!$C$8:$C$27,$B25,'29'!$F$8:$F$27)+SUMIF('30'!$C$8:$C$27,$B25,'30'!$F$8:$F$27)+SUMIF('31'!$C$8:$C$27,$B25,'31'!$F$8:$F$27)</f>
        <v/>
      </c>
      <c r="F25" s="35">
        <f>SUMIF('01'!$C$8:$C$27,$B25,'01'!$H$8:$H$27)+SUMIF('02'!$C$8:$C$27,$B25,'02'!$H$8:$H$27)+SUMIF('03'!$C$8:$C$27,$B25,'03'!$H$8:$H$27)+SUMIF('04'!$C$8:$C$27,$B25,'04'!$H$8:$H$27)+SUMIF('05'!$C$8:$C$27,$B25,'05'!$H$8:$H$27)+SUMIF('06'!$C$8:$C$27,$B25,'06'!$H$8:$H$27)+SUMIF('07'!$C$8:$C$27,$B25,'07'!$H$8:$H$27)+SUMIF('08'!$C$8:$C$27,$B25,'08'!$H$8:$H$27)+SUMIF('09'!$C$8:$C$27,$B25,'09'!$H$8:$H$27)+SUMIF('10'!$C$8:$C$27,$B25,'10'!$H$8:$H$27)+SUMIF('11'!$C$8:$C$27,$B25,'11'!$H$8:$H$27)+SUMIF('12'!$C$8:$C$27,$B25,'12'!$H$8:$H$27)+SUMIF('13'!$C$8:$C$27,$B25,'13'!$H$8:$H$27)+SUMIF('14'!$C$8:$C$27,$B25,'14'!$H$8:$H$27)+SUMIF('15'!$C$8:$C$27,$B25,'15'!$H$8:$H$27)+SUMIF('16'!$C$8:$C$27,$B25,'16'!$H$8:$H$27)+SUMIF('17'!$C$8:$C$27,$B25,'17'!$H$8:$H$27)+SUMIF('18'!$C$8:$C$27,$B25,'18'!$H$8:$H$27)+SUMIF('19'!$C$8:$C$27,$B25,'19'!$H$8:$H$27)+SUMIF('20'!$C$8:$C$27,$B25,'20'!$H$8:$H$27)+SUMIF('21'!$C$8:$C$27,$B25,'21'!$H$8:$H$27)+SUMIF('22'!$C$8:$C$27,$B25,'22'!$H$8:$H$27)+SUMIF('23'!$C$8:$C$27,$B25,'23'!$H$8:$H$27)+SUMIF('24'!$C$8:$C$27,$B25,'24'!$H$8:$H$27)+SUMIF('25'!$C$8:$C$27,$B25,'25'!$H$8:$H$27)+SUMIF('26'!$C$8:$C$27,$B25,'26'!$H$8:$H$27)+SUMIF('27'!$C$8:$C$27,$B25,'27'!$H$8:$H$27)+SUMIF('28'!$C$8:$C$27,$B25,'28'!$H$8:$H$27)+SUMIF('29'!$C$8:$C$27,$B25,'29'!$H$8:$H$27)+SUMIF('30'!$C$8:$C$27,$B25,'30'!$H$8:$H$27)+SUMIF('31'!$C$8:$C$27,$B25,'31'!$H$8:$H$27)</f>
        <v/>
      </c>
      <c r="G25" s="60">
        <f>D25+E25+F25</f>
        <v/>
      </c>
      <c r="H25" s="60">
        <f>C25-G25</f>
        <v/>
      </c>
      <c r="I25" s="79">
        <f>IF($C$26=0,0,C25/$C$26)</f>
        <v/>
      </c>
      <c r="J25">
        <f>$C25-ROW()/1000000</f>
        <v/>
      </c>
    </row>
    <row r="26" ht="24" customHeight="1">
      <c r="B26" s="41" t="inlineStr">
        <is>
          <t>TOTAL FOURNISSEURS</t>
        </is>
      </c>
      <c r="C26" s="43">
        <f>SUM(C6:C25)</f>
        <v/>
      </c>
      <c r="D26" s="43">
        <f>SUM(D6:D25)</f>
        <v/>
      </c>
      <c r="E26" s="43">
        <f>SUM(E6:E25)</f>
        <v/>
      </c>
      <c r="F26" s="43">
        <f>SUM(F6:F25)</f>
        <v/>
      </c>
      <c r="G26" s="43">
        <f>SUM(G6:G25)</f>
        <v/>
      </c>
      <c r="H26" s="43">
        <f>SUM(H6:H25)</f>
        <v/>
      </c>
      <c r="I26" s="80">
        <f>IF($C$26=0,0,1)</f>
        <v/>
      </c>
    </row>
    <row r="28" ht="23" customHeight="1">
      <c r="B28" s="21" t="inlineStr">
        <is>
          <t>CONTRÔLE</t>
        </is>
      </c>
    </row>
    <row r="29" ht="18" customHeight="1">
      <c r="B29" s="52" t="inlineStr">
        <is>
          <t>Total des achats saisis sur les 31 feuilles jour</t>
        </is>
      </c>
      <c r="C29" s="26" t="n"/>
      <c r="D29" s="26" t="n"/>
      <c r="E29" s="26" t="n"/>
      <c r="F29" s="26" t="n"/>
      <c r="G29" s="35">
        <f>'01'!$D$28+'02'!$D$28+'03'!$D$28+'04'!$D$28+'05'!$D$28+'06'!$D$28+'07'!$D$28+'08'!$D$28+'09'!$D$28+'10'!$D$28+'11'!$D$28+'12'!$D$28+'13'!$D$28+'14'!$D$28+'15'!$D$28+'16'!$D$28+'17'!$D$28+'18'!$D$28+'19'!$D$28+'20'!$D$28+'21'!$D$28+'22'!$D$28+'23'!$D$28+'24'!$D$28+'25'!$D$28+'26'!$D$28+'27'!$D$28+'28'!$D$28+'29'!$D$28+'30'!$D$28+'31'!$D$28</f>
        <v/>
      </c>
    </row>
    <row r="30" ht="18" customHeight="1">
      <c r="B30" s="52" t="inlineStr">
        <is>
          <t>Total repris ci-dessus, fournisseur par fournisseur</t>
        </is>
      </c>
      <c r="C30" s="26" t="n"/>
      <c r="D30" s="26" t="n"/>
      <c r="E30" s="26" t="n"/>
      <c r="F30" s="26" t="n"/>
      <c r="G30" s="35">
        <f>C26</f>
        <v/>
      </c>
    </row>
    <row r="31" ht="18" customHeight="1">
      <c r="B31" s="25" t="inlineStr">
        <is>
          <t>ÉCART  —  doit rester à zéro</t>
        </is>
      </c>
      <c r="C31" s="26" t="n"/>
      <c r="D31" s="26" t="n"/>
      <c r="E31" s="26" t="n"/>
      <c r="F31" s="26" t="n"/>
      <c r="G31" s="62">
        <f>'01'!$D$28+'02'!$D$28+'03'!$D$28+'04'!$D$28+'05'!$D$28+'06'!$D$28+'07'!$D$28+'08'!$D$28+'09'!$D$28+'10'!$D$28+'11'!$D$28+'12'!$D$28+'13'!$D$28+'14'!$D$28+'15'!$D$28+'16'!$D$28+'17'!$D$28+'18'!$D$28+'19'!$D$28+'20'!$D$28+'21'!$D$28+'22'!$D$28+'23'!$D$28+'24'!$D$28+'25'!$D$28+'26'!$D$28+'27'!$D$28+'28'!$D$28+'29'!$D$28+'30'!$D$28+'31'!$D$28-C26</f>
        <v/>
      </c>
    </row>
    <row r="32" ht="30" customHeight="1">
      <c r="B32" s="22" t="inlineStr">
        <is>
          <t>Un écart non nul veut dire qu'un fournisseur a été écrit à la main sur une feuille jour sans figurer dans la liste ci-dessus. Ajoutez-le dans la feuille LISTES (colonne A), puis dans ce tableau.</t>
        </is>
      </c>
    </row>
  </sheetData>
  <mergeCells count="8">
    <mergeCell ref="B30:F30"/>
    <mergeCell ref="A1:J1"/>
    <mergeCell ref="B29:F29"/>
    <mergeCell ref="B28:I28"/>
    <mergeCell ref="B31:F31"/>
    <mergeCell ref="A2:J2"/>
    <mergeCell ref="B32:I32"/>
    <mergeCell ref="B4:I4"/>
  </mergeCells>
  <conditionalFormatting sqref="H6:H25">
    <cfRule type="cellIs" priority="1" operator="greaterThan" dxfId="1">
      <formula>0</formula>
    </cfRule>
  </conditionalFormatting>
  <conditionalFormatting sqref="C6:C25">
    <cfRule type="cellIs" priority="2" operator="greaterThan" dxfId="6">
      <formula>0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tabColor rgb="00A8231C"/>
    <outlinePr summaryBelow="1" summaryRight="1"/>
    <pageSetUpPr fitToPage="1"/>
  </sheetPr>
  <dimension ref="A1:J150"/>
  <sheetViews>
    <sheetView showGridLines="0" zoomScale="95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6" customWidth="1" min="1" max="1"/>
    <col width="13" customWidth="1" min="2" max="2"/>
    <col width="22" customWidth="1" min="3" max="3"/>
    <col width="30" customWidth="1" min="4" max="4"/>
    <col width="17" customWidth="1" min="5" max="5"/>
    <col width="15" customWidth="1" min="6" max="6"/>
    <col width="15" customWidth="1" min="7" max="7"/>
    <col width="18" customWidth="1" min="8" max="8"/>
    <col width="46" customWidth="1" min="9" max="9"/>
    <col width="2.6" customWidth="1" min="10" max="10"/>
  </cols>
  <sheetData>
    <row r="1" ht="38" customHeight="1">
      <c r="A1" s="23" t="inlineStr">
        <is>
          <t>ÉCHÉANCIER DES CHÈQUES ET DES EFFETS</t>
        </is>
      </c>
    </row>
    <row r="2" ht="18" customHeight="1">
      <c r="A2" s="24" t="inlineStr">
        <is>
          <t>Tout ce que la société doit encore régler, avec sa date d'échéance — l'état se met à jour tout seul à l'ouverture du classeur</t>
        </is>
      </c>
    </row>
    <row r="3" ht="23" customHeight="1">
      <c r="B3" s="21" t="inlineStr">
        <is>
          <t>OÙ NOUS EN SOMMES</t>
        </is>
      </c>
    </row>
    <row r="4" ht="18" customHeight="1">
      <c r="B4" s="5" t="inlineStr">
        <is>
          <t>TOTAL RESTANT DÛ</t>
        </is>
      </c>
      <c r="C4" s="1" t="n"/>
      <c r="D4" s="15" t="inlineStr">
        <is>
          <t>DONT EN RETARD</t>
        </is>
      </c>
      <c r="E4" s="16" t="n"/>
      <c r="F4" s="17" t="inlineStr">
        <is>
          <t>À ÉCHOIR SOUS 30 JOURS</t>
        </is>
      </c>
      <c r="G4" s="18" t="n"/>
      <c r="H4" s="6" t="inlineStr">
        <is>
          <t>DÉJÀ PAYÉ (cumul)</t>
        </is>
      </c>
      <c r="I4" s="7" t="n"/>
    </row>
    <row r="5" ht="26" customHeight="1">
      <c r="B5" s="81">
        <f>SUM($F$9:$F$148)</f>
        <v/>
      </c>
      <c r="C5" s="26" t="n"/>
      <c r="D5" s="82">
        <f>SUMIF($H$9:$H$148,"EN RETARD",$F$9:$F$148)</f>
        <v/>
      </c>
      <c r="E5" s="26" t="n"/>
      <c r="F5" s="83">
        <f>SUMIF($H$9:$H$148,"À ÉCHOIR SOUS 30 J",$F$9:$F$148)</f>
        <v/>
      </c>
      <c r="G5" s="26" t="n"/>
      <c r="H5" s="84">
        <f>SUM($G$9:$G$148)</f>
        <v/>
      </c>
      <c r="I5" s="26" t="n"/>
    </row>
    <row r="8" ht="32" customHeight="1">
      <c r="B8" s="32" t="inlineStr">
        <is>
          <t>DATE D'ÉCHÉANCE</t>
        </is>
      </c>
      <c r="C8" s="32" t="inlineStr">
        <is>
          <t>TYPE DE RÈGLEMENT</t>
        </is>
      </c>
      <c r="D8" s="32" t="inlineStr">
        <is>
          <t>BÉNÉFICIAIRE / OBJET</t>
        </is>
      </c>
      <c r="E8" s="32" t="inlineStr">
        <is>
          <t>N° DU CHÈQUE
OU DE L'EFFET</t>
        </is>
      </c>
      <c r="F8" s="32" t="inlineStr">
        <is>
          <t>MONTANT
RESTANT DÛ</t>
        </is>
      </c>
      <c r="G8" s="32" t="inlineStr">
        <is>
          <t>MONTANT
DÉJÀ PAYÉ</t>
        </is>
      </c>
      <c r="H8" s="32" t="inlineStr">
        <is>
          <t>ÉTAT</t>
        </is>
      </c>
      <c r="I8" s="32" t="inlineStr">
        <is>
          <t>OBSERVATIONS</t>
        </is>
      </c>
    </row>
    <row r="9" ht="16" customHeight="1">
      <c r="B9" s="85" t="n">
        <v>45295</v>
      </c>
      <c r="C9" s="51" t="inlineStr">
        <is>
          <t>MOUHSSINE/SIIT</t>
        </is>
      </c>
      <c r="D9" s="51" t="inlineStr"/>
      <c r="E9" s="86" t="inlineStr"/>
      <c r="F9" s="30" t="n">
        <v>65000</v>
      </c>
      <c r="G9" s="30" t="n">
        <v>0</v>
      </c>
      <c r="H9" s="87">
        <f>IF(AND($B9="",$D9=""),"",IF($F9&lt;=0,"PAYÉ",IF($B9="","SANS DATE",IF($B9&lt;TODAY(),"EN RETARD",IF($B9&lt;=TODAY()+30,"À ÉCHOIR SOUS 30 J","À VENIR")))))</f>
        <v/>
      </c>
      <c r="I9" s="51" t="inlineStr"/>
    </row>
    <row r="10" ht="16" customHeight="1">
      <c r="B10" s="85" t="n">
        <v>45296</v>
      </c>
      <c r="C10" s="51" t="inlineStr">
        <is>
          <t>HAMID</t>
        </is>
      </c>
      <c r="D10" s="51" t="inlineStr"/>
      <c r="E10" s="86" t="inlineStr"/>
      <c r="F10" s="30" t="n">
        <v>95000</v>
      </c>
      <c r="G10" s="30" t="n">
        <v>0</v>
      </c>
      <c r="H10" s="87">
        <f>IF(AND($B10="",$D10=""),"",IF($F10&lt;=0,"PAYÉ",IF($B10="","SANS DATE",IF($B10&lt;TODAY(),"EN RETARD",IF($B10&lt;=TODAY()+30,"À ÉCHOIR SOUS 30 J","À VENIR")))))</f>
        <v/>
      </c>
      <c r="I10" s="51" t="inlineStr"/>
    </row>
    <row r="11" ht="16" customHeight="1">
      <c r="B11" s="85" t="n">
        <v>45442</v>
      </c>
      <c r="C11" s="51" t="inlineStr">
        <is>
          <t>MOUHSSINE/SIIT</t>
        </is>
      </c>
      <c r="D11" s="51" t="inlineStr"/>
      <c r="E11" s="86" t="inlineStr"/>
      <c r="F11" s="30" t="n">
        <v>40000</v>
      </c>
      <c r="G11" s="30" t="n">
        <v>0</v>
      </c>
      <c r="H11" s="87">
        <f>IF(AND($B11="",$D11=""),"",IF($F11&lt;=0,"PAYÉ",IF($B11="","SANS DATE",IF($B11&lt;TODAY(),"EN RETARD",IF($B11&lt;=TODAY()+30,"À ÉCHOIR SOUS 30 J","À VENIR")))))</f>
        <v/>
      </c>
      <c r="I11" s="51" t="inlineStr"/>
    </row>
    <row r="12" ht="16" customHeight="1">
      <c r="B12" s="85" t="n">
        <v>45442</v>
      </c>
      <c r="C12" s="51" t="inlineStr">
        <is>
          <t>MOUHSSINE/SIIT</t>
        </is>
      </c>
      <c r="D12" s="51" t="inlineStr"/>
      <c r="E12" s="86" t="inlineStr"/>
      <c r="F12" s="30" t="n">
        <v>10600</v>
      </c>
      <c r="G12" s="30" t="n">
        <v>0</v>
      </c>
      <c r="H12" s="87">
        <f>IF(AND($B12="",$D12=""),"",IF($F12&lt;=0,"PAYÉ",IF($B12="","SANS DATE",IF($B12&lt;TODAY(),"EN RETARD",IF($B12&lt;=TODAY()+30,"À ÉCHOIR SOUS 30 J","À VENIR")))))</f>
        <v/>
      </c>
      <c r="I12" s="51" t="inlineStr">
        <is>
          <t>30000 DH VIREMENT LE 15/05/2024: PAYE 10000 DH+15000</t>
        </is>
      </c>
    </row>
    <row r="13" ht="16" customHeight="1">
      <c r="B13" s="85" t="n">
        <v>45442</v>
      </c>
      <c r="C13" s="51" t="inlineStr">
        <is>
          <t>MOUHSSINE/GASS</t>
        </is>
      </c>
      <c r="D13" s="51" t="inlineStr"/>
      <c r="E13" s="86" t="inlineStr"/>
      <c r="F13" s="30" t="n">
        <v>20000</v>
      </c>
      <c r="G13" s="30" t="n">
        <v>0</v>
      </c>
      <c r="H13" s="87">
        <f>IF(AND($B13="",$D13=""),"",IF($F13&lt;=0,"PAYÉ",IF($B13="","SANS DATE",IF($B13&lt;TODAY(),"EN RETARD",IF($B13&lt;=TODAY()+30,"À ÉCHOIR SOUS 30 J","À VENIR")))))</f>
        <v/>
      </c>
      <c r="I13" s="51" t="inlineStr">
        <is>
          <t>30001 DH VIREMENT LE 17/05/2024: PAYE 10000 DH</t>
        </is>
      </c>
    </row>
    <row r="14" ht="16" customHeight="1">
      <c r="B14" s="85" t="n">
        <v>45442</v>
      </c>
      <c r="C14" s="51" t="inlineStr">
        <is>
          <t>MOUHSSINE/SIIT</t>
        </is>
      </c>
      <c r="D14" s="51" t="inlineStr"/>
      <c r="E14" s="86" t="inlineStr"/>
      <c r="F14" s="30" t="n">
        <v>45000</v>
      </c>
      <c r="G14" s="30" t="n">
        <v>0</v>
      </c>
      <c r="H14" s="87">
        <f>IF(AND($B14="",$D14=""),"",IF($F14&lt;=0,"PAYÉ",IF($B14="","SANS DATE",IF($B14&lt;TODAY(),"EN RETARD",IF($B14&lt;=TODAY()+30,"À ÉCHOIR SOUS 30 J","À VENIR")))))</f>
        <v/>
      </c>
      <c r="I14" s="51" t="inlineStr">
        <is>
          <t>75000 DH VIREMENT : PAYE 30000 DH</t>
        </is>
      </c>
    </row>
    <row r="15" ht="16" customHeight="1">
      <c r="B15" s="85" t="n">
        <v>45442</v>
      </c>
      <c r="C15" s="51" t="inlineStr">
        <is>
          <t>HOUSSEIN</t>
        </is>
      </c>
      <c r="D15" s="51" t="inlineStr">
        <is>
          <t>CHARGE TRAVAUX</t>
        </is>
      </c>
      <c r="E15" s="86" t="inlineStr"/>
      <c r="F15" s="30" t="n">
        <v>120000</v>
      </c>
      <c r="G15" s="30" t="n">
        <v>0</v>
      </c>
      <c r="H15" s="87">
        <f>IF(AND($B15="",$D15=""),"",IF($F15&lt;=0,"PAYÉ",IF($B15="","SANS DATE",IF($B15&lt;TODAY(),"EN RETARD",IF($B15&lt;=TODAY()+30,"À ÉCHOIR SOUS 30 J","À VENIR")))))</f>
        <v/>
      </c>
      <c r="I15" s="51" t="inlineStr"/>
    </row>
    <row r="16" ht="16" customHeight="1">
      <c r="B16" s="85" t="n">
        <v>45442</v>
      </c>
      <c r="C16" s="51" t="inlineStr">
        <is>
          <t>HAMID-COMPTABLE</t>
        </is>
      </c>
      <c r="D16" s="51" t="inlineStr"/>
      <c r="E16" s="86" t="inlineStr"/>
      <c r="F16" s="30" t="n">
        <v>15000</v>
      </c>
      <c r="G16" s="30" t="n">
        <v>0</v>
      </c>
      <c r="H16" s="87">
        <f>IF(AND($B16="",$D16=""),"",IF($F16&lt;=0,"PAYÉ",IF($B16="","SANS DATE",IF($B16&lt;TODAY(),"EN RETARD",IF($B16&lt;=TODAY()+30,"À ÉCHOIR SOUS 30 J","À VENIR")))))</f>
        <v/>
      </c>
      <c r="I16" s="51" t="inlineStr"/>
    </row>
    <row r="17" ht="16" customHeight="1">
      <c r="B17" s="85" t="n">
        <v>45488</v>
      </c>
      <c r="C17" s="51" t="inlineStr">
        <is>
          <t>HAMID-CLIENT</t>
        </is>
      </c>
      <c r="D17" s="51" t="inlineStr"/>
      <c r="E17" s="86" t="inlineStr"/>
      <c r="F17" s="30" t="n">
        <v>12000</v>
      </c>
      <c r="G17" s="30" t="n">
        <v>0</v>
      </c>
      <c r="H17" s="87">
        <f>IF(AND($B17="",$D17=""),"",IF($F17&lt;=0,"PAYÉ",IF($B17="","SANS DATE",IF($B17&lt;TODAY(),"EN RETARD",IF($B17&lt;=TODAY()+30,"À ÉCHOIR SOUS 30 J","À VENIR")))))</f>
        <v/>
      </c>
      <c r="I17" s="51" t="inlineStr"/>
    </row>
    <row r="18" ht="16" customHeight="1">
      <c r="B18" s="85" t="n">
        <v>45451</v>
      </c>
      <c r="C18" s="51" t="inlineStr">
        <is>
          <t>HOUSSEIN</t>
        </is>
      </c>
      <c r="D18" s="51" t="inlineStr">
        <is>
          <t>Fatalum</t>
        </is>
      </c>
      <c r="E18" s="86" t="inlineStr">
        <is>
          <t>9402710</t>
        </is>
      </c>
      <c r="F18" s="30" t="n">
        <v>12900</v>
      </c>
      <c r="G18" s="30" t="n">
        <v>0</v>
      </c>
      <c r="H18" s="87">
        <f>IF(AND($B18="",$D18=""),"",IF($F18&lt;=0,"PAYÉ",IF($B18="","SANS DATE",IF($B18&lt;TODAY(),"EN RETARD",IF($B18&lt;=TODAY()+30,"À ÉCHOIR SOUS 30 J","À VENIR")))))</f>
        <v/>
      </c>
      <c r="I18" s="51" t="inlineStr">
        <is>
          <t>20000: AVANCE 7100 DH</t>
        </is>
      </c>
    </row>
    <row r="19" ht="16" customHeight="1">
      <c r="B19" s="85" t="n">
        <v>45455</v>
      </c>
      <c r="C19" s="51" t="inlineStr">
        <is>
          <t>Houssein</t>
        </is>
      </c>
      <c r="D19" s="51" t="inlineStr">
        <is>
          <t>FATALUM</t>
        </is>
      </c>
      <c r="E19" s="86" t="inlineStr">
        <is>
          <t>9955189</t>
        </is>
      </c>
      <c r="F19" s="30" t="n">
        <v>15000</v>
      </c>
      <c r="G19" s="30" t="n">
        <v>0</v>
      </c>
      <c r="H19" s="87">
        <f>IF(AND($B19="",$D19=""),"",IF($F19&lt;=0,"PAYÉ",IF($B19="","SANS DATE",IF($B19&lt;TODAY(),"EN RETARD",IF($B19&lt;=TODAY()+30,"À ÉCHOIR SOUS 30 J","À VENIR")))))</f>
        <v/>
      </c>
      <c r="I19" s="51" t="inlineStr">
        <is>
          <t>PAYE</t>
        </is>
      </c>
    </row>
    <row r="20" ht="16" customHeight="1">
      <c r="B20" s="85" t="n">
        <v>45475</v>
      </c>
      <c r="C20" s="51" t="inlineStr">
        <is>
          <t>Houssein</t>
        </is>
      </c>
      <c r="D20" s="51" t="inlineStr">
        <is>
          <t>Fatalum</t>
        </is>
      </c>
      <c r="E20" s="86" t="inlineStr">
        <is>
          <t>9955194</t>
        </is>
      </c>
      <c r="F20" s="30" t="n">
        <v>3000</v>
      </c>
      <c r="G20" s="30" t="n">
        <v>0</v>
      </c>
      <c r="H20" s="87">
        <f>IF(AND($B20="",$D20=""),"",IF($F20&lt;=0,"PAYÉ",IF($B20="","SANS DATE",IF($B20&lt;TODAY(),"EN RETARD",IF($B20&lt;=TODAY()+30,"À ÉCHOIR SOUS 30 J","À VENIR")))))</f>
        <v/>
      </c>
      <c r="I20" s="51" t="inlineStr">
        <is>
          <t>32000 DH: PAYE 27000 DH+1000 DH+1000</t>
        </is>
      </c>
    </row>
    <row r="21" ht="16" customHeight="1">
      <c r="B21" s="85" t="n">
        <v>45732</v>
      </c>
      <c r="C21" s="51" t="inlineStr">
        <is>
          <t>XXXXX</t>
        </is>
      </c>
      <c r="D21" s="51" t="inlineStr">
        <is>
          <t>SAID PROFILE</t>
        </is>
      </c>
      <c r="E21" s="86" t="inlineStr"/>
      <c r="F21" s="30" t="n">
        <v>20800</v>
      </c>
      <c r="G21" s="30" t="n">
        <v>0</v>
      </c>
      <c r="H21" s="87">
        <f>IF(AND($B21="",$D21=""),"",IF($F21&lt;=0,"PAYÉ",IF($B21="","SANS DATE",IF($B21&lt;TODAY(),"EN RETARD",IF($B21&lt;=TODAY()+30,"À ÉCHOIR SOUS 30 J","À VENIR")))))</f>
        <v/>
      </c>
      <c r="I21" s="51" t="inlineStr"/>
    </row>
    <row r="22" ht="16" customHeight="1">
      <c r="B22" s="85" t="n"/>
      <c r="C22" s="51" t="inlineStr">
        <is>
          <t>Chéque garantie(350000 dh)</t>
        </is>
      </c>
      <c r="D22" s="51" t="inlineStr">
        <is>
          <t>Fatalum</t>
        </is>
      </c>
      <c r="E22" s="86" t="inlineStr">
        <is>
          <t>6784668</t>
        </is>
      </c>
      <c r="F22" s="30" t="n">
        <v>269000</v>
      </c>
      <c r="G22" s="30" t="n">
        <v>0</v>
      </c>
      <c r="H22" s="87">
        <f>IF(AND($B22="",$D22=""),"",IF($F22&lt;=0,"PAYÉ",IF($B22="","SANS DATE",IF($B22&lt;TODAY(),"EN RETARD",IF($B22&lt;=TODAY()+30,"À ÉCHOIR SOUS 30 J","À VENIR")))))</f>
        <v/>
      </c>
      <c r="I22" s="51" t="inlineStr"/>
    </row>
    <row r="23" ht="16" customHeight="1">
      <c r="B23" s="85" t="n">
        <v>45780</v>
      </c>
      <c r="C23" s="51" t="inlineStr">
        <is>
          <t>VIREMENT LOYER</t>
        </is>
      </c>
      <c r="D23" s="51" t="inlineStr">
        <is>
          <t>LOYER  LOCAL MOIS 04/25</t>
        </is>
      </c>
      <c r="E23" s="86" t="inlineStr"/>
      <c r="F23" s="30" t="n">
        <v>2500</v>
      </c>
      <c r="G23" s="30" t="n">
        <v>0</v>
      </c>
      <c r="H23" s="87">
        <f>IF(AND($B23="",$D23=""),"",IF($F23&lt;=0,"PAYÉ",IF($B23="","SANS DATE",IF($B23&lt;TODAY(),"EN RETARD",IF($B23&lt;=TODAY()+30,"À ÉCHOIR SOUS 30 J","À VENIR")))))</f>
        <v/>
      </c>
      <c r="I23" s="51" t="inlineStr"/>
    </row>
    <row r="24" ht="16" customHeight="1">
      <c r="B24" s="85" t="n">
        <v>45813</v>
      </c>
      <c r="C24" s="51" t="inlineStr">
        <is>
          <t>VIREMENT LOYER</t>
        </is>
      </c>
      <c r="D24" s="51" t="inlineStr">
        <is>
          <t>LOYER  LOCAL MOIS 05/25</t>
        </is>
      </c>
      <c r="E24" s="86" t="inlineStr"/>
      <c r="F24" s="30" t="n">
        <v>2500</v>
      </c>
      <c r="G24" s="30" t="n">
        <v>0</v>
      </c>
      <c r="H24" s="87">
        <f>IF(AND($B24="",$D24=""),"",IF($F24&lt;=0,"PAYÉ",IF($B24="","SANS DATE",IF($B24&lt;TODAY(),"EN RETARD",IF($B24&lt;=TODAY()+30,"À ÉCHOIR SOUS 30 J","À VENIR")))))</f>
        <v/>
      </c>
      <c r="I24" s="51" t="inlineStr"/>
    </row>
    <row r="25" ht="16" customHeight="1">
      <c r="B25" s="85" t="n">
        <v>45843</v>
      </c>
      <c r="C25" s="51" t="inlineStr">
        <is>
          <t>VIREMENT LOYER</t>
        </is>
      </c>
      <c r="D25" s="51" t="inlineStr">
        <is>
          <t>LOYER  LOCAL MOIS 06/25</t>
        </is>
      </c>
      <c r="E25" s="86" t="inlineStr"/>
      <c r="F25" s="30" t="n">
        <v>2500</v>
      </c>
      <c r="G25" s="30" t="n">
        <v>0</v>
      </c>
      <c r="H25" s="87">
        <f>IF(AND($B25="",$D25=""),"",IF($F25&lt;=0,"PAYÉ",IF($B25="","SANS DATE",IF($B25&lt;TODAY(),"EN RETARD",IF($B25&lt;=TODAY()+30,"À ÉCHOIR SOUS 30 J","À VENIR")))))</f>
        <v/>
      </c>
      <c r="I25" s="51" t="inlineStr"/>
    </row>
    <row r="26" ht="16" customHeight="1">
      <c r="B26" s="85" t="n">
        <v>45879</v>
      </c>
      <c r="C26" s="51" t="inlineStr">
        <is>
          <t>Virement-Houssein</t>
        </is>
      </c>
      <c r="D26" s="51" t="inlineStr">
        <is>
          <t>Salaire mois 07/25</t>
        </is>
      </c>
      <c r="E26" s="86" t="inlineStr"/>
      <c r="F26" s="30" t="n">
        <v>8000</v>
      </c>
      <c r="G26" s="30" t="n">
        <v>0</v>
      </c>
      <c r="H26" s="87">
        <f>IF(AND($B26="",$D26=""),"",IF($F26&lt;=0,"PAYÉ",IF($B26="","SANS DATE",IF($B26&lt;TODAY(),"EN RETARD",IF($B26&lt;=TODAY()+30,"À ÉCHOIR SOUS 30 J","À VENIR")))))</f>
        <v/>
      </c>
      <c r="I26" s="51" t="inlineStr"/>
    </row>
    <row r="27" ht="16" customHeight="1">
      <c r="B27" s="85" t="n">
        <v>45879</v>
      </c>
      <c r="C27" s="51" t="inlineStr">
        <is>
          <t>VIREMENT LOYER</t>
        </is>
      </c>
      <c r="D27" s="51" t="inlineStr">
        <is>
          <t>LOYER  LOCAL MOIS 07/25</t>
        </is>
      </c>
      <c r="E27" s="86" t="inlineStr"/>
      <c r="F27" s="30" t="n">
        <v>2500</v>
      </c>
      <c r="G27" s="30" t="n">
        <v>0</v>
      </c>
      <c r="H27" s="87">
        <f>IF(AND($B27="",$D27=""),"",IF($F27&lt;=0,"PAYÉ",IF($B27="","SANS DATE",IF($B27&lt;TODAY(),"EN RETARD",IF($B27&lt;=TODAY()+30,"À ÉCHOIR SOUS 30 J","À VENIR")))))</f>
        <v/>
      </c>
      <c r="I27" s="51" t="inlineStr"/>
    </row>
    <row r="28" ht="16" customHeight="1">
      <c r="B28" s="85" t="n">
        <v>45910</v>
      </c>
      <c r="C28" s="51" t="inlineStr">
        <is>
          <t>Virement-Houssein</t>
        </is>
      </c>
      <c r="D28" s="51" t="inlineStr">
        <is>
          <t>Salaire mois 08/25</t>
        </is>
      </c>
      <c r="E28" s="86" t="inlineStr"/>
      <c r="F28" s="30" t="n">
        <v>8000</v>
      </c>
      <c r="G28" s="30" t="n">
        <v>0</v>
      </c>
      <c r="H28" s="87">
        <f>IF(AND($B28="",$D28=""),"",IF($F28&lt;=0,"PAYÉ",IF($B28="","SANS DATE",IF($B28&lt;TODAY(),"EN RETARD",IF($B28&lt;=TODAY()+30,"À ÉCHOIR SOUS 30 J","À VENIR")))))</f>
        <v/>
      </c>
      <c r="I28" s="51" t="inlineStr"/>
    </row>
    <row r="29" ht="16" customHeight="1">
      <c r="B29" s="85" t="n">
        <v>45910</v>
      </c>
      <c r="C29" s="51" t="inlineStr">
        <is>
          <t>VIREMENT LOYER</t>
        </is>
      </c>
      <c r="D29" s="51" t="inlineStr">
        <is>
          <t>LOYER  LOCAL MOIS 08/25</t>
        </is>
      </c>
      <c r="E29" s="86" t="inlineStr"/>
      <c r="F29" s="30" t="n">
        <v>2500</v>
      </c>
      <c r="G29" s="30" t="n">
        <v>0</v>
      </c>
      <c r="H29" s="87">
        <f>IF(AND($B29="",$D29=""),"",IF($F29&lt;=0,"PAYÉ",IF($B29="","SANS DATE",IF($B29&lt;TODAY(),"EN RETARD",IF($B29&lt;=TODAY()+30,"À ÉCHOIR SOUS 30 J","À VENIR")))))</f>
        <v/>
      </c>
      <c r="I29" s="51" t="inlineStr"/>
    </row>
    <row r="30" ht="16" customHeight="1">
      <c r="B30" s="85" t="n">
        <v>45938</v>
      </c>
      <c r="C30" s="51" t="inlineStr">
        <is>
          <t>Virement-Houssein</t>
        </is>
      </c>
      <c r="D30" s="51" t="inlineStr">
        <is>
          <t>Salaire mois 09/25</t>
        </is>
      </c>
      <c r="E30" s="86" t="inlineStr"/>
      <c r="F30" s="30" t="n">
        <v>8000</v>
      </c>
      <c r="G30" s="30" t="n">
        <v>0</v>
      </c>
      <c r="H30" s="87">
        <f>IF(AND($B30="",$D30=""),"",IF($F30&lt;=0,"PAYÉ",IF($B30="","SANS DATE",IF($B30&lt;TODAY(),"EN RETARD",IF($B30&lt;=TODAY()+30,"À ÉCHOIR SOUS 30 J","À VENIR")))))</f>
        <v/>
      </c>
      <c r="I30" s="51" t="inlineStr"/>
    </row>
    <row r="31" ht="16" customHeight="1">
      <c r="B31" s="85" t="n">
        <v>45938</v>
      </c>
      <c r="C31" s="51" t="inlineStr">
        <is>
          <t>VIREMENT LOYER</t>
        </is>
      </c>
      <c r="D31" s="51" t="inlineStr">
        <is>
          <t>LOYER  LOCAL MOIS 09/25</t>
        </is>
      </c>
      <c r="E31" s="86" t="inlineStr"/>
      <c r="F31" s="30" t="n">
        <v>2500</v>
      </c>
      <c r="G31" s="30" t="n">
        <v>0</v>
      </c>
      <c r="H31" s="87">
        <f>IF(AND($B31="",$D31=""),"",IF($F31&lt;=0,"PAYÉ",IF($B31="","SANS DATE",IF($B31&lt;TODAY(),"EN RETARD",IF($B31&lt;=TODAY()+30,"À ÉCHOIR SOUS 30 J","À VENIR")))))</f>
        <v/>
      </c>
      <c r="I31" s="51" t="inlineStr"/>
    </row>
    <row r="32" ht="16" customHeight="1">
      <c r="B32" s="85" t="n">
        <v>45971</v>
      </c>
      <c r="C32" s="51" t="inlineStr">
        <is>
          <t>Virement-Houssein</t>
        </is>
      </c>
      <c r="D32" s="51" t="inlineStr">
        <is>
          <t>Salaire mois 10/25</t>
        </is>
      </c>
      <c r="E32" s="86" t="inlineStr"/>
      <c r="F32" s="30" t="n">
        <v>8000</v>
      </c>
      <c r="G32" s="30" t="n">
        <v>0</v>
      </c>
      <c r="H32" s="87">
        <f>IF(AND($B32="",$D32=""),"",IF($F32&lt;=0,"PAYÉ",IF($B32="","SANS DATE",IF($B32&lt;TODAY(),"EN RETARD",IF($B32&lt;=TODAY()+30,"À ÉCHOIR SOUS 30 J","À VENIR")))))</f>
        <v/>
      </c>
      <c r="I32" s="51" t="inlineStr"/>
    </row>
    <row r="33" ht="16" customHeight="1">
      <c r="B33" s="85" t="n">
        <v>45971</v>
      </c>
      <c r="C33" s="51" t="inlineStr">
        <is>
          <t>VIREMENT LOYER</t>
        </is>
      </c>
      <c r="D33" s="51" t="inlineStr">
        <is>
          <t>LOYER  LOCAL MOIS 10/25</t>
        </is>
      </c>
      <c r="E33" s="86" t="inlineStr"/>
      <c r="F33" s="30" t="n">
        <v>2500</v>
      </c>
      <c r="G33" s="30" t="n">
        <v>0</v>
      </c>
      <c r="H33" s="87">
        <f>IF(AND($B33="",$D33=""),"",IF($F33&lt;=0,"PAYÉ",IF($B33="","SANS DATE",IF($B33&lt;TODAY(),"EN RETARD",IF($B33&lt;=TODAY()+30,"À ÉCHOIR SOUS 30 J","À VENIR")))))</f>
        <v/>
      </c>
      <c r="I33" s="51" t="inlineStr"/>
    </row>
    <row r="34" ht="16" customHeight="1">
      <c r="B34" s="85" t="n">
        <v>46001</v>
      </c>
      <c r="C34" s="51" t="inlineStr">
        <is>
          <t>Virement-Houssein</t>
        </is>
      </c>
      <c r="D34" s="51" t="inlineStr">
        <is>
          <t>Salaire mois 11/25</t>
        </is>
      </c>
      <c r="E34" s="86" t="inlineStr"/>
      <c r="F34" s="30" t="n">
        <v>8000</v>
      </c>
      <c r="G34" s="30" t="n">
        <v>0</v>
      </c>
      <c r="H34" s="87">
        <f>IF(AND($B34="",$D34=""),"",IF($F34&lt;=0,"PAYÉ",IF($B34="","SANS DATE",IF($B34&lt;TODAY(),"EN RETARD",IF($B34&lt;=TODAY()+30,"À ÉCHOIR SOUS 30 J","À VENIR")))))</f>
        <v/>
      </c>
      <c r="I34" s="51" t="inlineStr"/>
    </row>
    <row r="35" ht="16" customHeight="1">
      <c r="B35" s="85" t="n">
        <v>46001</v>
      </c>
      <c r="C35" s="51" t="inlineStr">
        <is>
          <t>VIREMENT LOYER</t>
        </is>
      </c>
      <c r="D35" s="51" t="inlineStr">
        <is>
          <t>LOYER  LOCAL MOIS 11/25</t>
        </is>
      </c>
      <c r="E35" s="86" t="inlineStr"/>
      <c r="F35" s="30" t="n">
        <v>2500</v>
      </c>
      <c r="G35" s="30" t="n">
        <v>0</v>
      </c>
      <c r="H35" s="87">
        <f>IF(AND($B35="",$D35=""),"",IF($F35&lt;=0,"PAYÉ",IF($B35="","SANS DATE",IF($B35&lt;TODAY(),"EN RETARD",IF($B35&lt;=TODAY()+30,"À ÉCHOIR SOUS 30 J","À VENIR")))))</f>
        <v/>
      </c>
      <c r="I35" s="51" t="inlineStr"/>
    </row>
    <row r="36" ht="16" customHeight="1">
      <c r="B36" s="85" t="n">
        <v>46032</v>
      </c>
      <c r="C36" s="51" t="inlineStr">
        <is>
          <t>Virement-Houssein</t>
        </is>
      </c>
      <c r="D36" s="51" t="inlineStr">
        <is>
          <t>LOYER  LOCAL MOIS 12/25</t>
        </is>
      </c>
      <c r="E36" s="86" t="inlineStr"/>
      <c r="F36" s="30" t="n">
        <v>8000</v>
      </c>
      <c r="G36" s="30" t="n">
        <v>0</v>
      </c>
      <c r="H36" s="87">
        <f>IF(AND($B36="",$D36=""),"",IF($F36&lt;=0,"PAYÉ",IF($B36="","SANS DATE",IF($B36&lt;TODAY(),"EN RETARD",IF($B36&lt;=TODAY()+30,"À ÉCHOIR SOUS 30 J","À VENIR")))))</f>
        <v/>
      </c>
      <c r="I36" s="51" t="inlineStr"/>
    </row>
    <row r="37" ht="16" customHeight="1">
      <c r="B37" s="85" t="n">
        <v>46032</v>
      </c>
      <c r="C37" s="51" t="inlineStr">
        <is>
          <t>VIREMENT LOYER</t>
        </is>
      </c>
      <c r="D37" s="51" t="inlineStr">
        <is>
          <t>Salaire mois 12/25</t>
        </is>
      </c>
      <c r="E37" s="86" t="inlineStr"/>
      <c r="F37" s="30" t="n">
        <v>2500</v>
      </c>
      <c r="G37" s="30" t="n">
        <v>0</v>
      </c>
      <c r="H37" s="87">
        <f>IF(AND($B37="",$D37=""),"",IF($F37&lt;=0,"PAYÉ",IF($B37="","SANS DATE",IF($B37&lt;TODAY(),"EN RETARD",IF($B37&lt;=TODAY()+30,"À ÉCHOIR SOUS 30 J","À VENIR")))))</f>
        <v/>
      </c>
      <c r="I37" s="51" t="inlineStr"/>
    </row>
    <row r="38" ht="16" customHeight="1">
      <c r="B38" s="85" t="n">
        <v>46063</v>
      </c>
      <c r="C38" s="51" t="inlineStr">
        <is>
          <t>Virement-Houssein</t>
        </is>
      </c>
      <c r="D38" s="51" t="inlineStr">
        <is>
          <t>Salaire mois 01/26</t>
        </is>
      </c>
      <c r="E38" s="86" t="inlineStr"/>
      <c r="F38" s="30" t="n">
        <v>8000</v>
      </c>
      <c r="G38" s="30" t="n">
        <v>0</v>
      </c>
      <c r="H38" s="87">
        <f>IF(AND($B38="",$D38=""),"",IF($F38&lt;=0,"PAYÉ",IF($B38="","SANS DATE",IF($B38&lt;TODAY(),"EN RETARD",IF($B38&lt;=TODAY()+30,"À ÉCHOIR SOUS 30 J","À VENIR")))))</f>
        <v/>
      </c>
      <c r="I38" s="51" t="inlineStr"/>
    </row>
    <row r="39" ht="16" customHeight="1">
      <c r="B39" s="85" t="n">
        <v>46063</v>
      </c>
      <c r="C39" s="51" t="inlineStr">
        <is>
          <t>VIREMENT LOYER</t>
        </is>
      </c>
      <c r="D39" s="51" t="inlineStr">
        <is>
          <t>LOYER  LOCAL MOIS 01/26</t>
        </is>
      </c>
      <c r="E39" s="86" t="inlineStr"/>
      <c r="F39" s="30" t="n">
        <v>2500</v>
      </c>
      <c r="G39" s="30" t="n">
        <v>0</v>
      </c>
      <c r="H39" s="87">
        <f>IF(AND($B39="",$D39=""),"",IF($F39&lt;=0,"PAYÉ",IF($B39="","SANS DATE",IF($B39&lt;TODAY(),"EN RETARD",IF($B39&lt;=TODAY()+30,"À ÉCHOIR SOUS 30 J","À VENIR")))))</f>
        <v/>
      </c>
      <c r="I39" s="51" t="inlineStr"/>
    </row>
    <row r="40" ht="16" customHeight="1">
      <c r="B40" s="85" t="n">
        <v>46152</v>
      </c>
      <c r="C40" s="51" t="inlineStr">
        <is>
          <t>VIREMENT LOYER</t>
        </is>
      </c>
      <c r="D40" s="51" t="inlineStr">
        <is>
          <t>LOYER  LOCAL MOIS 04/26</t>
        </is>
      </c>
      <c r="E40" s="86" t="inlineStr"/>
      <c r="F40" s="30" t="n">
        <v>2500</v>
      </c>
      <c r="G40" s="30" t="n">
        <v>0</v>
      </c>
      <c r="H40" s="87">
        <f>IF(AND($B40="",$D40=""),"",IF($F40&lt;=0,"PAYÉ",IF($B40="","SANS DATE",IF($B40&lt;TODAY(),"EN RETARD",IF($B40&lt;=TODAY()+30,"À ÉCHOIR SOUS 30 J","À VENIR")))))</f>
        <v/>
      </c>
      <c r="I40" s="51" t="inlineStr"/>
    </row>
    <row r="41" ht="16" customHeight="1">
      <c r="B41" s="85" t="n">
        <v>46183</v>
      </c>
      <c r="C41" s="51" t="inlineStr">
        <is>
          <t>VIREMENT LOYER</t>
        </is>
      </c>
      <c r="D41" s="51" t="inlineStr">
        <is>
          <t>LOYER  LOCAL MOIS 05/26</t>
        </is>
      </c>
      <c r="E41" s="86" t="inlineStr"/>
      <c r="F41" s="30" t="n">
        <v>2500</v>
      </c>
      <c r="G41" s="30" t="n">
        <v>0</v>
      </c>
      <c r="H41" s="87">
        <f>IF(AND($B41="",$D41=""),"",IF($F41&lt;=0,"PAYÉ",IF($B41="","SANS DATE",IF($B41&lt;TODAY(),"EN RETARD",IF($B41&lt;=TODAY()+30,"À ÉCHOIR SOUS 30 J","À VENIR")))))</f>
        <v/>
      </c>
      <c r="I41" s="51" t="inlineStr"/>
    </row>
    <row r="42" ht="16" customHeight="1">
      <c r="B42" s="85" t="n">
        <v>46210</v>
      </c>
      <c r="C42" s="51" t="inlineStr">
        <is>
          <t>effet</t>
        </is>
      </c>
      <c r="D42" s="51" t="inlineStr">
        <is>
          <t>HAJ OMAR</t>
        </is>
      </c>
      <c r="E42" s="86" t="inlineStr">
        <is>
          <t>0137653</t>
        </is>
      </c>
      <c r="F42" s="30" t="n">
        <v>1</v>
      </c>
      <c r="G42" s="30" t="n">
        <v>30000</v>
      </c>
      <c r="H42" s="87">
        <f>IF(AND($B42="",$D42=""),"",IF($F42&lt;=0,"PAYÉ",IF($B42="","SANS DATE",IF($B42&lt;TODAY(),"EN RETARD",IF($B42&lt;=TODAY()+30,"À ÉCHOIR SOUS 30 J","À VENIR")))))</f>
        <v/>
      </c>
      <c r="I42" s="51" t="inlineStr"/>
    </row>
    <row r="43" ht="16" customHeight="1">
      <c r="B43" s="85" t="n">
        <v>46213</v>
      </c>
      <c r="C43" s="51" t="inlineStr">
        <is>
          <t>VIREMENT LOYER</t>
        </is>
      </c>
      <c r="D43" s="51" t="inlineStr">
        <is>
          <t>LOYER  LOCAL MOIS 06/26</t>
        </is>
      </c>
      <c r="E43" s="86" t="inlineStr"/>
      <c r="F43" s="30" t="n">
        <v>2500</v>
      </c>
      <c r="G43" s="30" t="n">
        <v>0</v>
      </c>
      <c r="H43" s="87">
        <f>IF(AND($B43="",$D43=""),"",IF($F43&lt;=0,"PAYÉ",IF($B43="","SANS DATE",IF($B43&lt;TODAY(),"EN RETARD",IF($B43&lt;=TODAY()+30,"À ÉCHOIR SOUS 30 J","À VENIR")))))</f>
        <v/>
      </c>
      <c r="I43" s="51" t="inlineStr"/>
    </row>
    <row r="44" ht="16" customHeight="1">
      <c r="B44" s="85" t="n">
        <v>46223</v>
      </c>
      <c r="C44" s="51" t="inlineStr">
        <is>
          <t>Chéque</t>
        </is>
      </c>
      <c r="D44" s="51" t="inlineStr">
        <is>
          <t>IDRALUM</t>
        </is>
      </c>
      <c r="E44" s="86" t="inlineStr">
        <is>
          <t>8387627</t>
        </is>
      </c>
      <c r="F44" s="30" t="n">
        <v>20000</v>
      </c>
      <c r="G44" s="30" t="n">
        <v>0</v>
      </c>
      <c r="H44" s="87">
        <f>IF(AND($B44="",$D44=""),"",IF($F44&lt;=0,"PAYÉ",IF($B44="","SANS DATE",IF($B44&lt;TODAY(),"EN RETARD",IF($B44&lt;=TODAY()+30,"À ÉCHOIR SOUS 30 J","À VENIR")))))</f>
        <v/>
      </c>
      <c r="I44" s="51" t="inlineStr"/>
    </row>
    <row r="45" ht="16" customHeight="1">
      <c r="B45" s="85" t="n">
        <v>46230</v>
      </c>
      <c r="C45" s="51" t="inlineStr">
        <is>
          <t>Chéque</t>
        </is>
      </c>
      <c r="D45" s="51" t="inlineStr">
        <is>
          <t>IDRALUM</t>
        </is>
      </c>
      <c r="E45" s="86" t="inlineStr">
        <is>
          <t>8387628</t>
        </is>
      </c>
      <c r="F45" s="30" t="n">
        <v>10000</v>
      </c>
      <c r="G45" s="30" t="n">
        <v>0</v>
      </c>
      <c r="H45" s="87">
        <f>IF(AND($B45="",$D45=""),"",IF($F45&lt;=0,"PAYÉ",IF($B45="","SANS DATE",IF($B45&lt;TODAY(),"EN RETARD",IF($B45&lt;=TODAY()+30,"À ÉCHOIR SOUS 30 J","À VENIR")))))</f>
        <v/>
      </c>
      <c r="I45" s="51" t="inlineStr"/>
    </row>
    <row r="46" ht="16" customHeight="1">
      <c r="B46" s="85" t="n">
        <v>46236</v>
      </c>
      <c r="C46" s="51" t="inlineStr">
        <is>
          <t>effet</t>
        </is>
      </c>
      <c r="D46" s="51" t="inlineStr">
        <is>
          <t>HAJ OMAR</t>
        </is>
      </c>
      <c r="E46" s="86" t="inlineStr">
        <is>
          <t>0137659</t>
        </is>
      </c>
      <c r="F46" s="30" t="n">
        <v>0</v>
      </c>
      <c r="G46" s="30" t="n">
        <v>29000</v>
      </c>
      <c r="H46" s="87">
        <f>IF(AND($B46="",$D46=""),"",IF($F46&lt;=0,"PAYÉ",IF($B46="","SANS DATE",IF($B46&lt;TODAY(),"EN RETARD",IF($B46&lt;=TODAY()+30,"À ÉCHOIR SOUS 30 J","À VENIR")))))</f>
        <v/>
      </c>
      <c r="I46" s="51" t="inlineStr">
        <is>
          <t>PAYE 29000 DH</t>
        </is>
      </c>
    </row>
    <row r="47" ht="16" customHeight="1">
      <c r="B47" s="85" t="n">
        <v>46237</v>
      </c>
      <c r="C47" s="51" t="inlineStr">
        <is>
          <t>Chéque</t>
        </is>
      </c>
      <c r="D47" s="51" t="inlineStr">
        <is>
          <t>HAJ OMAR</t>
        </is>
      </c>
      <c r="E47" s="86" t="inlineStr">
        <is>
          <t>0286165</t>
        </is>
      </c>
      <c r="F47" s="30" t="n">
        <v>0</v>
      </c>
      <c r="G47" s="30" t="n">
        <v>25400</v>
      </c>
      <c r="H47" s="87">
        <f>IF(AND($B47="",$D47=""),"",IF($F47&lt;=0,"PAYÉ",IF($B47="","SANS DATE",IF($B47&lt;TODAY(),"EN RETARD",IF($B47&lt;=TODAY()+30,"À ÉCHOIR SOUS 30 J","À VENIR")))))</f>
        <v/>
      </c>
      <c r="I47" s="51" t="inlineStr">
        <is>
          <t>PAYE 25400 DH</t>
        </is>
      </c>
    </row>
    <row r="48" ht="16" customHeight="1">
      <c r="B48" s="85" t="n">
        <v>46238</v>
      </c>
      <c r="C48" s="51" t="inlineStr">
        <is>
          <t>Chéque</t>
        </is>
      </c>
      <c r="D48" s="51" t="inlineStr">
        <is>
          <t>CITRWEN</t>
        </is>
      </c>
      <c r="E48" s="86" t="inlineStr">
        <is>
          <t>0286177</t>
        </is>
      </c>
      <c r="F48" s="30" t="n">
        <v>0</v>
      </c>
      <c r="G48" s="30" t="n">
        <v>19460.1</v>
      </c>
      <c r="H48" s="87">
        <f>IF(AND($B48="",$D48=""),"",IF($F48&lt;=0,"PAYÉ",IF($B48="","SANS DATE",IF($B48&lt;TODAY(),"EN RETARD",IF($B48&lt;=TODAY()+30,"À ÉCHOIR SOUS 30 J","À VENIR")))))</f>
        <v/>
      </c>
      <c r="I48" s="51" t="inlineStr">
        <is>
          <t>PAYE 19460,1 DH</t>
        </is>
      </c>
    </row>
    <row r="49" ht="16" customHeight="1">
      <c r="B49" s="85" t="n">
        <v>46238</v>
      </c>
      <c r="C49" s="51" t="inlineStr">
        <is>
          <t>Chéque</t>
        </is>
      </c>
      <c r="D49" s="51" t="inlineStr">
        <is>
          <t>CITRWEN IMATRICULATION</t>
        </is>
      </c>
      <c r="E49" s="86" t="inlineStr">
        <is>
          <t>0286174</t>
        </is>
      </c>
      <c r="F49" s="30" t="n">
        <v>0</v>
      </c>
      <c r="G49" s="30" t="n">
        <v>4610</v>
      </c>
      <c r="H49" s="87">
        <f>IF(AND($B49="",$D49=""),"",IF($F49&lt;=0,"PAYÉ",IF($B49="","SANS DATE",IF($B49&lt;TODAY(),"EN RETARD",IF($B49&lt;=TODAY()+30,"À ÉCHOIR SOUS 30 J","À VENIR")))))</f>
        <v/>
      </c>
      <c r="I49" s="51" t="inlineStr">
        <is>
          <t>PAYE 4610 DH</t>
        </is>
      </c>
    </row>
    <row r="50" ht="16" customHeight="1">
      <c r="B50" s="85" t="n">
        <v>46238</v>
      </c>
      <c r="C50" s="51" t="inlineStr">
        <is>
          <t>Chéque</t>
        </is>
      </c>
      <c r="D50" s="51" t="inlineStr">
        <is>
          <t>Fatalum</t>
        </is>
      </c>
      <c r="E50" s="86" t="inlineStr">
        <is>
          <t>0286173</t>
        </is>
      </c>
      <c r="F50" s="30" t="n">
        <v>0</v>
      </c>
      <c r="G50" s="30" t="n">
        <v>17572</v>
      </c>
      <c r="H50" s="87">
        <f>IF(AND($B50="",$D50=""),"",IF($F50&lt;=0,"PAYÉ",IF($B50="","SANS DATE",IF($B50&lt;TODAY(),"EN RETARD",IF($B50&lt;=TODAY()+30,"À ÉCHOIR SOUS 30 J","À VENIR")))))</f>
        <v/>
      </c>
      <c r="I50" s="51" t="inlineStr">
        <is>
          <t>PAYE 17572 DH</t>
        </is>
      </c>
    </row>
    <row r="51" ht="16" customHeight="1">
      <c r="B51" s="85" t="n">
        <v>46241</v>
      </c>
      <c r="C51" s="51" t="inlineStr">
        <is>
          <t>effet</t>
        </is>
      </c>
      <c r="D51" s="51" t="inlineStr">
        <is>
          <t>HAJ OMAR</t>
        </is>
      </c>
      <c r="E51" s="86" t="inlineStr">
        <is>
          <t>0137660</t>
        </is>
      </c>
      <c r="F51" s="30" t="n">
        <v>0</v>
      </c>
      <c r="G51" s="30" t="n">
        <v>29000</v>
      </c>
      <c r="H51" s="87">
        <f>IF(AND($B51="",$D51=""),"",IF($F51&lt;=0,"PAYÉ",IF($B51="","SANS DATE",IF($B51&lt;TODAY(),"EN RETARD",IF($B51&lt;=TODAY()+30,"À ÉCHOIR SOUS 30 J","À VENIR")))))</f>
        <v/>
      </c>
      <c r="I51" s="51" t="inlineStr">
        <is>
          <t>PAYE 29000 DH</t>
        </is>
      </c>
    </row>
    <row r="52" ht="16" customHeight="1">
      <c r="B52" s="85" t="n">
        <v>46242</v>
      </c>
      <c r="C52" s="51" t="inlineStr">
        <is>
          <t>Virement-AYOUB</t>
        </is>
      </c>
      <c r="D52" s="51" t="inlineStr">
        <is>
          <t>Salaire mois 07/26</t>
        </is>
      </c>
      <c r="E52" s="86" t="inlineStr"/>
      <c r="F52" s="30" t="n">
        <v>5000</v>
      </c>
      <c r="G52" s="30" t="n">
        <v>0</v>
      </c>
      <c r="H52" s="87">
        <f>IF(AND($B52="",$D52=""),"",IF($F52&lt;=0,"PAYÉ",IF($B52="","SANS DATE",IF($B52&lt;TODAY(),"EN RETARD",IF($B52&lt;=TODAY()+30,"À ÉCHOIR SOUS 30 J","À VENIR")))))</f>
        <v/>
      </c>
      <c r="I52" s="51" t="inlineStr"/>
    </row>
    <row r="53" ht="16" customHeight="1">
      <c r="B53" s="85" t="n">
        <v>46242</v>
      </c>
      <c r="C53" s="51" t="inlineStr">
        <is>
          <t>Virement-Houssein</t>
        </is>
      </c>
      <c r="D53" s="51" t="inlineStr">
        <is>
          <t>Salaire mois 07/26</t>
        </is>
      </c>
      <c r="E53" s="86" t="inlineStr"/>
      <c r="F53" s="30" t="n">
        <v>0</v>
      </c>
      <c r="G53" s="30" t="n">
        <v>8000</v>
      </c>
      <c r="H53" s="87">
        <f>IF(AND($B53="",$D53=""),"",IF($F53&lt;=0,"PAYÉ",IF($B53="","SANS DATE",IF($B53&lt;TODAY(),"EN RETARD",IF($B53&lt;=TODAY()+30,"À ÉCHOIR SOUS 30 J","À VENIR")))))</f>
        <v/>
      </c>
      <c r="I53" s="51" t="inlineStr">
        <is>
          <t>PAYE 8000 DH</t>
        </is>
      </c>
    </row>
    <row r="54" ht="16" customHeight="1">
      <c r="B54" s="85" t="n">
        <v>46242</v>
      </c>
      <c r="C54" s="51" t="inlineStr">
        <is>
          <t>VIREMENT LOYER</t>
        </is>
      </c>
      <c r="D54" s="51" t="inlineStr">
        <is>
          <t>LOYER  LOCAL MOIS 07/26</t>
        </is>
      </c>
      <c r="E54" s="86" t="inlineStr"/>
      <c r="F54" s="30" t="n">
        <v>2500</v>
      </c>
      <c r="G54" s="30" t="n">
        <v>0</v>
      </c>
      <c r="H54" s="87">
        <f>IF(AND($B54="",$D54=""),"",IF($F54&lt;=0,"PAYÉ",IF($B54="","SANS DATE",IF($B54&lt;TODAY(),"EN RETARD",IF($B54&lt;=TODAY()+30,"À ÉCHOIR SOUS 30 J","À VENIR")))))</f>
        <v/>
      </c>
      <c r="I54" s="51" t="inlineStr"/>
    </row>
    <row r="55" ht="16" customHeight="1">
      <c r="B55" s="85" t="n">
        <v>46242</v>
      </c>
      <c r="C55" s="51" t="inlineStr">
        <is>
          <t>Prélevement</t>
        </is>
      </c>
      <c r="D55" s="51" t="inlineStr">
        <is>
          <t>CNSS</t>
        </is>
      </c>
      <c r="E55" s="86" t="inlineStr"/>
      <c r="F55" s="30" t="n">
        <v>0</v>
      </c>
      <c r="G55" s="30" t="n">
        <v>4503.03</v>
      </c>
      <c r="H55" s="87">
        <f>IF(AND($B55="",$D55=""),"",IF($F55&lt;=0,"PAYÉ",IF($B55="","SANS DATE",IF($B55&lt;TODAY(),"EN RETARD",IF($B55&lt;=TODAY()+30,"À ÉCHOIR SOUS 30 J","À VENIR")))))</f>
        <v/>
      </c>
      <c r="I55" s="51" t="inlineStr">
        <is>
          <t>PAYE 4503,03 DH</t>
        </is>
      </c>
    </row>
    <row r="56" ht="16" customHeight="1">
      <c r="B56" s="85" t="n">
        <v>46243</v>
      </c>
      <c r="C56" s="51" t="inlineStr">
        <is>
          <t>Chéque</t>
        </is>
      </c>
      <c r="D56" s="51" t="inlineStr">
        <is>
          <t>Fatalum</t>
        </is>
      </c>
      <c r="E56" s="86" t="inlineStr">
        <is>
          <t>0286172</t>
        </is>
      </c>
      <c r="F56" s="30" t="n">
        <v>0</v>
      </c>
      <c r="G56" s="30" t="n">
        <v>15000</v>
      </c>
      <c r="H56" s="87">
        <f>IF(AND($B56="",$D56=""),"",IF($F56&lt;=0,"PAYÉ",IF($B56="","SANS DATE",IF($B56&lt;TODAY(),"EN RETARD",IF($B56&lt;=TODAY()+30,"À ÉCHOIR SOUS 30 J","À VENIR")))))</f>
        <v/>
      </c>
      <c r="I56" s="51" t="inlineStr">
        <is>
          <t>PAYE 15000 DH</t>
        </is>
      </c>
    </row>
    <row r="57" ht="16" customHeight="1">
      <c r="B57" s="85" t="n">
        <v>46244</v>
      </c>
      <c r="C57" s="51" t="inlineStr">
        <is>
          <t>Chéque</t>
        </is>
      </c>
      <c r="D57" s="51" t="inlineStr">
        <is>
          <t>XXXX</t>
        </is>
      </c>
      <c r="E57" s="86" t="inlineStr">
        <is>
          <t>0286182</t>
        </is>
      </c>
      <c r="F57" s="30" t="n">
        <v>0</v>
      </c>
      <c r="G57" s="30" t="n">
        <v>16372</v>
      </c>
      <c r="H57" s="87">
        <f>IF(AND($B57="",$D57=""),"",IF($F57&lt;=0,"PAYÉ",IF($B57="","SANS DATE",IF($B57&lt;TODAY(),"EN RETARD",IF($B57&lt;=TODAY()+30,"À ÉCHOIR SOUS 30 J","À VENIR")))))</f>
        <v/>
      </c>
      <c r="I57" s="51" t="inlineStr">
        <is>
          <t>PAYE 16372 DH</t>
        </is>
      </c>
    </row>
    <row r="58" ht="16" customHeight="1">
      <c r="B58" s="85" t="n">
        <v>46246</v>
      </c>
      <c r="C58" s="51" t="inlineStr">
        <is>
          <t>effet</t>
        </is>
      </c>
      <c r="D58" s="51" t="inlineStr">
        <is>
          <t>HAJ OMAR</t>
        </is>
      </c>
      <c r="E58" s="86" t="inlineStr">
        <is>
          <t>0137661</t>
        </is>
      </c>
      <c r="F58" s="30" t="n">
        <v>0</v>
      </c>
      <c r="G58" s="30" t="n">
        <v>30400</v>
      </c>
      <c r="H58" s="87">
        <f>IF(AND($B58="",$D58=""),"",IF($F58&lt;=0,"PAYÉ",IF($B58="","SANS DATE",IF($B58&lt;TODAY(),"EN RETARD",IF($B58&lt;=TODAY()+30,"À ÉCHOIR SOUS 30 J","À VENIR")))))</f>
        <v/>
      </c>
      <c r="I58" s="51" t="inlineStr">
        <is>
          <t>PAYE 30400 DH</t>
        </is>
      </c>
    </row>
    <row r="59" ht="16" customHeight="1">
      <c r="B59" s="85" t="n">
        <v>46247</v>
      </c>
      <c r="C59" s="51" t="inlineStr">
        <is>
          <t>Chéque</t>
        </is>
      </c>
      <c r="D59" s="51" t="inlineStr">
        <is>
          <t>Fatalum</t>
        </is>
      </c>
      <c r="E59" s="86" t="inlineStr">
        <is>
          <t>0286185</t>
        </is>
      </c>
      <c r="F59" s="30" t="n">
        <v>0</v>
      </c>
      <c r="G59" s="30" t="n">
        <v>22155</v>
      </c>
      <c r="H59" s="87">
        <f>IF(AND($B59="",$D59=""),"",IF($F59&lt;=0,"PAYÉ",IF($B59="","SANS DATE",IF($B59&lt;TODAY(),"EN RETARD",IF($B59&lt;=TODAY()+30,"À ÉCHOIR SOUS 30 J","À VENIR")))))</f>
        <v/>
      </c>
      <c r="I59" s="51" t="inlineStr">
        <is>
          <t>PAYE22155 DH</t>
        </is>
      </c>
    </row>
    <row r="60" ht="16" customHeight="1">
      <c r="B60" s="85" t="n">
        <v>46248</v>
      </c>
      <c r="C60" s="51" t="inlineStr">
        <is>
          <t>effet</t>
        </is>
      </c>
      <c r="D60" s="51" t="inlineStr">
        <is>
          <t>HAJ OMAR</t>
        </is>
      </c>
      <c r="E60" s="86" t="inlineStr">
        <is>
          <t>0750928</t>
        </is>
      </c>
      <c r="F60" s="30" t="n">
        <v>0</v>
      </c>
      <c r="G60" s="30" t="n">
        <v>28000</v>
      </c>
      <c r="H60" s="87">
        <f>IF(AND($B60="",$D60=""),"",IF($F60&lt;=0,"PAYÉ",IF($B60="","SANS DATE",IF($B60&lt;TODAY(),"EN RETARD",IF($B60&lt;=TODAY()+30,"À ÉCHOIR SOUS 30 J","À VENIR")))))</f>
        <v/>
      </c>
      <c r="I60" s="51" t="inlineStr">
        <is>
          <t>PAYE 28000 DH</t>
        </is>
      </c>
    </row>
    <row r="61" ht="16" customHeight="1">
      <c r="B61" s="85" t="n">
        <v>46248</v>
      </c>
      <c r="C61" s="51" t="inlineStr">
        <is>
          <t>Chéque</t>
        </is>
      </c>
      <c r="D61" s="51" t="inlineStr">
        <is>
          <t>ASSURANCE HASSANIA</t>
        </is>
      </c>
      <c r="E61" s="86" t="inlineStr">
        <is>
          <t>286191</t>
        </is>
      </c>
      <c r="F61" s="30" t="n">
        <v>0</v>
      </c>
      <c r="G61" s="30" t="n">
        <v>933</v>
      </c>
      <c r="H61" s="87">
        <f>IF(AND($B61="",$D61=""),"",IF($F61&lt;=0,"PAYÉ",IF($B61="","SANS DATE",IF($B61&lt;TODAY(),"EN RETARD",IF($B61&lt;=TODAY()+30,"À ÉCHOIR SOUS 30 J","À VENIR")))))</f>
        <v/>
      </c>
      <c r="I61" s="51" t="inlineStr">
        <is>
          <t>PAYE 933 DH</t>
        </is>
      </c>
    </row>
    <row r="62" ht="16" customHeight="1">
      <c r="B62" s="85" t="n">
        <v>46249</v>
      </c>
      <c r="C62" s="51" t="inlineStr">
        <is>
          <t>effet</t>
        </is>
      </c>
      <c r="D62" s="51" t="inlineStr">
        <is>
          <t>HAJ OMAR</t>
        </is>
      </c>
      <c r="E62" s="86" t="inlineStr">
        <is>
          <t>0137662</t>
        </is>
      </c>
      <c r="F62" s="30" t="n">
        <v>0</v>
      </c>
      <c r="G62" s="30" t="n">
        <v>17500</v>
      </c>
      <c r="H62" s="87">
        <f>IF(AND($B62="",$D62=""),"",IF($F62&lt;=0,"PAYÉ",IF($B62="","SANS DATE",IF($B62&lt;TODAY(),"EN RETARD",IF($B62&lt;=TODAY()+30,"À ÉCHOIR SOUS 30 J","À VENIR")))))</f>
        <v/>
      </c>
      <c r="I62" s="51" t="inlineStr">
        <is>
          <t>PAYE 17500 DH</t>
        </is>
      </c>
    </row>
    <row r="63" ht="16" customHeight="1">
      <c r="B63" s="85" t="n">
        <v>46249</v>
      </c>
      <c r="C63" s="51" t="inlineStr">
        <is>
          <t>Chéque</t>
        </is>
      </c>
      <c r="D63" s="51" t="inlineStr">
        <is>
          <t>IDRALUM</t>
        </is>
      </c>
      <c r="E63" s="86" t="inlineStr">
        <is>
          <t>0286155</t>
        </is>
      </c>
      <c r="F63" s="30" t="n">
        <v>20000</v>
      </c>
      <c r="G63" s="30" t="n">
        <v>0</v>
      </c>
      <c r="H63" s="87">
        <f>IF(AND($B63="",$D63=""),"",IF($F63&lt;=0,"PAYÉ",IF($B63="","SANS DATE",IF($B63&lt;TODAY(),"EN RETARD",IF($B63&lt;=TODAY()+30,"À ÉCHOIR SOUS 30 J","À VENIR")))))</f>
        <v/>
      </c>
      <c r="I63" s="51" t="inlineStr"/>
    </row>
    <row r="64" ht="16" customHeight="1">
      <c r="B64" s="85" t="n">
        <v>46250</v>
      </c>
      <c r="C64" s="51" t="inlineStr">
        <is>
          <t>Chéque</t>
        </is>
      </c>
      <c r="D64" s="51" t="inlineStr">
        <is>
          <t>Fatalum</t>
        </is>
      </c>
      <c r="E64" s="86" t="inlineStr">
        <is>
          <t>0286171</t>
        </is>
      </c>
      <c r="F64" s="30" t="n">
        <v>0</v>
      </c>
      <c r="G64" s="30" t="n">
        <v>15000</v>
      </c>
      <c r="H64" s="87">
        <f>IF(AND($B64="",$D64=""),"",IF($F64&lt;=0,"PAYÉ",IF($B64="","SANS DATE",IF($B64&lt;TODAY(),"EN RETARD",IF($B64&lt;=TODAY()+30,"À ÉCHOIR SOUS 30 J","À VENIR")))))</f>
        <v/>
      </c>
      <c r="I64" s="51" t="inlineStr">
        <is>
          <t>PAYE 15000 DH</t>
        </is>
      </c>
    </row>
    <row r="65" ht="16" customHeight="1">
      <c r="B65" s="85" t="n">
        <v>46251</v>
      </c>
      <c r="C65" s="51" t="inlineStr">
        <is>
          <t>Chéque</t>
        </is>
      </c>
      <c r="D65" s="51" t="inlineStr">
        <is>
          <t>Fatalum</t>
        </is>
      </c>
      <c r="E65" s="86" t="inlineStr">
        <is>
          <t>0286192</t>
        </is>
      </c>
      <c r="F65" s="30" t="n">
        <v>0</v>
      </c>
      <c r="G65" s="30" t="n">
        <v>25274</v>
      </c>
      <c r="H65" s="87">
        <f>IF(AND($B65="",$D65=""),"",IF($F65&lt;=0,"PAYÉ",IF($B65="","SANS DATE",IF($B65&lt;TODAY(),"EN RETARD",IF($B65&lt;=TODAY()+30,"À ÉCHOIR SOUS 30 J","À VENIR")))))</f>
        <v/>
      </c>
      <c r="I65" s="51" t="inlineStr">
        <is>
          <t>PAYE 25274 DH</t>
        </is>
      </c>
    </row>
    <row r="66" ht="16" customHeight="1">
      <c r="B66" s="85" t="n">
        <v>46252</v>
      </c>
      <c r="C66" s="51" t="inlineStr">
        <is>
          <t>effet</t>
        </is>
      </c>
      <c r="D66" s="51" t="inlineStr">
        <is>
          <t>HAJ OMAR</t>
        </is>
      </c>
      <c r="E66" s="86" t="inlineStr">
        <is>
          <t>0750929</t>
        </is>
      </c>
      <c r="F66" s="30" t="n">
        <v>0</v>
      </c>
      <c r="G66" s="30" t="n">
        <v>28000</v>
      </c>
      <c r="H66" s="87">
        <f>IF(AND($B66="",$D66=""),"",IF($F66&lt;=0,"PAYÉ",IF($B66="","SANS DATE",IF($B66&lt;TODAY(),"EN RETARD",IF($B66&lt;=TODAY()+30,"À ÉCHOIR SOUS 30 J","À VENIR")))))</f>
        <v/>
      </c>
      <c r="I66" s="51" t="inlineStr">
        <is>
          <t>PAYE 28000 DH</t>
        </is>
      </c>
    </row>
    <row r="67" ht="16" customHeight="1">
      <c r="B67" s="85" t="n">
        <v>46254</v>
      </c>
      <c r="C67" s="51" t="inlineStr">
        <is>
          <t>Chéque</t>
        </is>
      </c>
      <c r="D67" s="51" t="inlineStr">
        <is>
          <t>IDRALUM</t>
        </is>
      </c>
      <c r="E67" s="86" t="inlineStr">
        <is>
          <t>0286156</t>
        </is>
      </c>
      <c r="F67" s="30" t="n">
        <v>20000</v>
      </c>
      <c r="G67" s="30" t="n">
        <v>0</v>
      </c>
      <c r="H67" s="87">
        <f>IF(AND($B67="",$D67=""),"",IF($F67&lt;=0,"PAYÉ",IF($B67="","SANS DATE",IF($B67&lt;TODAY(),"EN RETARD",IF($B67&lt;=TODAY()+30,"À ÉCHOIR SOUS 30 J","À VENIR")))))</f>
        <v/>
      </c>
      <c r="I67" s="51" t="inlineStr"/>
    </row>
    <row r="68" ht="16" customHeight="1">
      <c r="B68" s="85" t="n">
        <v>46254</v>
      </c>
      <c r="C68" s="51" t="inlineStr">
        <is>
          <t>Chéque</t>
        </is>
      </c>
      <c r="D68" s="51" t="inlineStr">
        <is>
          <t>Fatalum</t>
        </is>
      </c>
      <c r="E68" s="86" t="inlineStr">
        <is>
          <t>0286184</t>
        </is>
      </c>
      <c r="F68" s="30" t="n">
        <v>0</v>
      </c>
      <c r="G68" s="30" t="n">
        <v>9300</v>
      </c>
      <c r="H68" s="87">
        <f>IF(AND($B68="",$D68=""),"",IF($F68&lt;=0,"PAYÉ",IF($B68="","SANS DATE",IF($B68&lt;TODAY(),"EN RETARD",IF($B68&lt;=TODAY()+30,"À ÉCHOIR SOUS 30 J","À VENIR")))))</f>
        <v/>
      </c>
      <c r="I68" s="51" t="inlineStr">
        <is>
          <t>PAYE 9300 DH</t>
        </is>
      </c>
    </row>
    <row r="69" ht="16" customHeight="1">
      <c r="B69" s="85" t="n">
        <v>46255</v>
      </c>
      <c r="C69" s="51" t="inlineStr">
        <is>
          <t>effet</t>
        </is>
      </c>
      <c r="D69" s="51" t="inlineStr">
        <is>
          <t>HAJ OMAR</t>
        </is>
      </c>
      <c r="E69" s="86" t="inlineStr">
        <is>
          <t>0750930</t>
        </is>
      </c>
      <c r="F69" s="30" t="n">
        <v>0</v>
      </c>
      <c r="G69" s="30" t="n">
        <v>28241</v>
      </c>
      <c r="H69" s="87">
        <f>IF(AND($B69="",$D69=""),"",IF($F69&lt;=0,"PAYÉ",IF($B69="","SANS DATE",IF($B69&lt;TODAY(),"EN RETARD",IF($B69&lt;=TODAY()+30,"À ÉCHOIR SOUS 30 J","À VENIR")))))</f>
        <v/>
      </c>
      <c r="I69" s="51" t="inlineStr">
        <is>
          <t>PAYE 28241 DH</t>
        </is>
      </c>
    </row>
    <row r="70" ht="16" customHeight="1">
      <c r="B70" s="85" t="n">
        <v>46255</v>
      </c>
      <c r="C70" s="51" t="inlineStr">
        <is>
          <t>Prélevement</t>
        </is>
      </c>
      <c r="D70" s="51" t="inlineStr">
        <is>
          <t>TATA VIVALIS</t>
        </is>
      </c>
      <c r="E70" s="86" t="inlineStr"/>
      <c r="F70" s="30" t="n">
        <v>0</v>
      </c>
      <c r="G70" s="30" t="n">
        <v>2372.62</v>
      </c>
      <c r="H70" s="87">
        <f>IF(AND($B70="",$D70=""),"",IF($F70&lt;=0,"PAYÉ",IF($B70="","SANS DATE",IF($B70&lt;TODAY(),"EN RETARD",IF($B70&lt;=TODAY()+30,"À ÉCHOIR SOUS 30 J","À VENIR")))))</f>
        <v/>
      </c>
      <c r="I70" s="51" t="inlineStr">
        <is>
          <t>PAYE2372,62 DH</t>
        </is>
      </c>
    </row>
    <row r="71" ht="16" customHeight="1">
      <c r="B71" s="85" t="n">
        <v>46257</v>
      </c>
      <c r="C71" s="51" t="inlineStr">
        <is>
          <t>effet</t>
        </is>
      </c>
      <c r="D71" s="51" t="inlineStr">
        <is>
          <t>INDEC</t>
        </is>
      </c>
      <c r="E71" s="86" t="inlineStr">
        <is>
          <t>0137663</t>
        </is>
      </c>
      <c r="F71" s="30" t="n">
        <v>0</v>
      </c>
      <c r="G71" s="30" t="n">
        <v>14580</v>
      </c>
      <c r="H71" s="87">
        <f>IF(AND($B71="",$D71=""),"",IF($F71&lt;=0,"PAYÉ",IF($B71="","SANS DATE",IF($B71&lt;TODAY(),"EN RETARD",IF($B71&lt;=TODAY()+30,"À ÉCHOIR SOUS 30 J","À VENIR")))))</f>
        <v/>
      </c>
      <c r="I71" s="51" t="inlineStr">
        <is>
          <t>PAYE  14580DH</t>
        </is>
      </c>
    </row>
    <row r="72" ht="16" customHeight="1">
      <c r="B72" s="85" t="n">
        <v>46258</v>
      </c>
      <c r="C72" s="51" t="inlineStr">
        <is>
          <t>Chéque</t>
        </is>
      </c>
      <c r="D72" s="51" t="inlineStr">
        <is>
          <t>Fatalum</t>
        </is>
      </c>
      <c r="E72" s="86" t="inlineStr">
        <is>
          <t>286193</t>
        </is>
      </c>
      <c r="F72" s="30" t="n">
        <v>0</v>
      </c>
      <c r="G72" s="30" t="n">
        <v>27000</v>
      </c>
      <c r="H72" s="87">
        <f>IF(AND($B72="",$D72=""),"",IF($F72&lt;=0,"PAYÉ",IF($B72="","SANS DATE",IF($B72&lt;TODAY(),"EN RETARD",IF($B72&lt;=TODAY()+30,"À ÉCHOIR SOUS 30 J","À VENIR")))))</f>
        <v/>
      </c>
      <c r="I72" s="51" t="inlineStr">
        <is>
          <t>PAYE  27000DH</t>
        </is>
      </c>
    </row>
    <row r="73" ht="16" customHeight="1">
      <c r="B73" s="85" t="n">
        <v>46259</v>
      </c>
      <c r="C73" s="51" t="inlineStr">
        <is>
          <t>effet</t>
        </is>
      </c>
      <c r="D73" s="51" t="inlineStr">
        <is>
          <t>HAJ OMAR</t>
        </is>
      </c>
      <c r="E73" s="86" t="inlineStr">
        <is>
          <t>0750931</t>
        </is>
      </c>
      <c r="F73" s="30" t="n">
        <v>0</v>
      </c>
      <c r="G73" s="30" t="n">
        <v>28500</v>
      </c>
      <c r="H73" s="87">
        <f>IF(AND($B73="",$D73=""),"",IF($F73&lt;=0,"PAYÉ",IF($B73="","SANS DATE",IF($B73&lt;TODAY(),"EN RETARD",IF($B73&lt;=TODAY()+30,"À ÉCHOIR SOUS 30 J","À VENIR")))))</f>
        <v/>
      </c>
      <c r="I73" s="51" t="inlineStr">
        <is>
          <t>PAYE 28500DH</t>
        </is>
      </c>
    </row>
    <row r="74" ht="16" customHeight="1">
      <c r="B74" s="85" t="n">
        <v>46261</v>
      </c>
      <c r="C74" s="51" t="inlineStr">
        <is>
          <t>effet</t>
        </is>
      </c>
      <c r="D74" s="51" t="inlineStr">
        <is>
          <t>HAJ OMAR</t>
        </is>
      </c>
      <c r="E74" s="86" t="inlineStr">
        <is>
          <t>0750932</t>
        </is>
      </c>
      <c r="F74" s="30" t="n">
        <v>0</v>
      </c>
      <c r="G74" s="30" t="n">
        <v>28500</v>
      </c>
      <c r="H74" s="87">
        <f>IF(AND($B74="",$D74=""),"",IF($F74&lt;=0,"PAYÉ",IF($B74="","SANS DATE",IF($B74&lt;TODAY(),"EN RETARD",IF($B74&lt;=TODAY()+30,"À ÉCHOIR SOUS 30 J","À VENIR")))))</f>
        <v/>
      </c>
      <c r="I74" s="51" t="inlineStr">
        <is>
          <t>PAYE 28500DH</t>
        </is>
      </c>
    </row>
    <row r="75" ht="16" customHeight="1">
      <c r="B75" s="85" t="n">
        <v>46261</v>
      </c>
      <c r="C75" s="51" t="inlineStr">
        <is>
          <t>Chéque</t>
        </is>
      </c>
      <c r="D75" s="51" t="inlineStr">
        <is>
          <t>Fatalum</t>
        </is>
      </c>
      <c r="E75" s="86" t="inlineStr">
        <is>
          <t>0286194</t>
        </is>
      </c>
      <c r="F75" s="30" t="n">
        <v>0</v>
      </c>
      <c r="G75" s="30" t="n">
        <v>20000</v>
      </c>
      <c r="H75" s="87">
        <f>IF(AND($B75="",$D75=""),"",IF($F75&lt;=0,"PAYÉ",IF($B75="","SANS DATE",IF($B75&lt;TODAY(),"EN RETARD",IF($B75&lt;=TODAY()+30,"À ÉCHOIR SOUS 30 J","À VENIR")))))</f>
        <v/>
      </c>
      <c r="I75" s="51" t="inlineStr">
        <is>
          <t>PAYE 20000DH</t>
        </is>
      </c>
    </row>
    <row r="76" ht="16" customHeight="1">
      <c r="B76" s="85" t="n">
        <v>46263</v>
      </c>
      <c r="C76" s="51" t="inlineStr">
        <is>
          <t>effet</t>
        </is>
      </c>
      <c r="D76" s="51" t="inlineStr">
        <is>
          <t>HAJ OMAR</t>
        </is>
      </c>
      <c r="E76" s="86" t="inlineStr">
        <is>
          <t>0750933</t>
        </is>
      </c>
      <c r="F76" s="30" t="n">
        <v>0</v>
      </c>
      <c r="G76" s="30" t="n">
        <v>29000</v>
      </c>
      <c r="H76" s="87">
        <f>IF(AND($B76="",$D76=""),"",IF($F76&lt;=0,"PAYÉ",IF($B76="","SANS DATE",IF($B76&lt;TODAY(),"EN RETARD",IF($B76&lt;=TODAY()+30,"À ÉCHOIR SOUS 30 J","À VENIR")))))</f>
        <v/>
      </c>
      <c r="I76" s="51" t="inlineStr">
        <is>
          <t>PAYE 29000DH</t>
        </is>
      </c>
    </row>
    <row r="77" ht="16" customHeight="1">
      <c r="B77" s="85" t="n">
        <v>46264</v>
      </c>
      <c r="C77" s="51" t="inlineStr">
        <is>
          <t>Prélevement</t>
        </is>
      </c>
      <c r="D77" s="51" t="inlineStr">
        <is>
          <t>TVA</t>
        </is>
      </c>
      <c r="E77" s="86" t="inlineStr"/>
      <c r="F77" s="30" t="n">
        <v>0</v>
      </c>
      <c r="G77" s="30" t="n">
        <v>6000</v>
      </c>
      <c r="H77" s="87">
        <f>IF(AND($B77="",$D77=""),"",IF($F77&lt;=0,"PAYÉ",IF($B77="","SANS DATE",IF($B77&lt;TODAY(),"EN RETARD",IF($B77&lt;=TODAY()+30,"À ÉCHOIR SOUS 30 J","À VENIR")))))</f>
        <v/>
      </c>
      <c r="I77" s="51" t="inlineStr">
        <is>
          <t>PAYE 6000DH</t>
        </is>
      </c>
    </row>
    <row r="78" ht="16" customHeight="1">
      <c r="B78" s="85" t="n">
        <v>46266</v>
      </c>
      <c r="C78" s="51" t="inlineStr">
        <is>
          <t>Chéque-H2</t>
        </is>
      </c>
      <c r="D78" s="51" t="inlineStr">
        <is>
          <t>GLOBALE VERRE</t>
        </is>
      </c>
      <c r="E78" s="86" t="inlineStr">
        <is>
          <t>4888250</t>
        </is>
      </c>
      <c r="F78" s="30" t="n">
        <v>0</v>
      </c>
      <c r="G78" s="30" t="n">
        <v>12500</v>
      </c>
      <c r="H78" s="87">
        <f>IF(AND($B78="",$D78=""),"",IF($F78&lt;=0,"PAYÉ",IF($B78="","SANS DATE",IF($B78&lt;TODAY(),"EN RETARD",IF($B78&lt;=TODAY()+30,"À ÉCHOIR SOUS 30 J","À VENIR")))))</f>
        <v/>
      </c>
      <c r="I78" s="51" t="inlineStr">
        <is>
          <t>PAYE12500DH</t>
        </is>
      </c>
    </row>
    <row r="79" ht="16" customHeight="1">
      <c r="B79" s="85" t="n">
        <v>46267</v>
      </c>
      <c r="C79" s="51" t="inlineStr">
        <is>
          <t>effet</t>
        </is>
      </c>
      <c r="D79" s="51" t="inlineStr">
        <is>
          <t>HAJ OMAR</t>
        </is>
      </c>
      <c r="E79" s="86" t="inlineStr">
        <is>
          <t>0750934</t>
        </is>
      </c>
      <c r="F79" s="30" t="n">
        <v>30277</v>
      </c>
      <c r="G79" s="30" t="n">
        <v>0</v>
      </c>
      <c r="H79" s="87">
        <f>IF(AND($B79="",$D79=""),"",IF($F79&lt;=0,"PAYÉ",IF($B79="","SANS DATE",IF($B79&lt;TODAY(),"EN RETARD",IF($B79&lt;=TODAY()+30,"À ÉCHOIR SOUS 30 J","À VENIR")))))</f>
        <v/>
      </c>
      <c r="I79" s="51" t="inlineStr"/>
    </row>
    <row r="80" ht="16" customHeight="1">
      <c r="B80" s="85" t="n">
        <v>46267</v>
      </c>
      <c r="C80" s="51" t="inlineStr">
        <is>
          <t>Chéque</t>
        </is>
      </c>
      <c r="D80" s="51" t="inlineStr">
        <is>
          <t>IDRALUM</t>
        </is>
      </c>
      <c r="E80" s="86" t="inlineStr">
        <is>
          <t>0286157</t>
        </is>
      </c>
      <c r="F80" s="30" t="n">
        <v>20000</v>
      </c>
      <c r="G80" s="30" t="n">
        <v>0</v>
      </c>
      <c r="H80" s="87">
        <f>IF(AND($B80="",$D80=""),"",IF($F80&lt;=0,"PAYÉ",IF($B80="","SANS DATE",IF($B80&lt;TODAY(),"EN RETARD",IF($B80&lt;=TODAY()+30,"À ÉCHOIR SOUS 30 J","À VENIR")))))</f>
        <v/>
      </c>
      <c r="I80" s="51" t="inlineStr"/>
    </row>
    <row r="81" ht="16" customHeight="1">
      <c r="B81" s="85" t="n">
        <v>46270</v>
      </c>
      <c r="C81" s="51" t="inlineStr">
        <is>
          <t>effet</t>
        </is>
      </c>
      <c r="D81" s="51" t="inlineStr">
        <is>
          <t>HAJ OMAR</t>
        </is>
      </c>
      <c r="E81" s="86" t="inlineStr">
        <is>
          <t>0750935</t>
        </is>
      </c>
      <c r="F81" s="30" t="n">
        <v>25452</v>
      </c>
      <c r="G81" s="30" t="n">
        <v>0</v>
      </c>
      <c r="H81" s="87">
        <f>IF(AND($B81="",$D81=""),"",IF($F81&lt;=0,"PAYÉ",IF($B81="","SANS DATE",IF($B81&lt;TODAY(),"EN RETARD",IF($B81&lt;=TODAY()+30,"À ÉCHOIR SOUS 30 J","À VENIR")))))</f>
        <v/>
      </c>
      <c r="I81" s="51" t="inlineStr"/>
    </row>
    <row r="82" ht="16" customHeight="1">
      <c r="B82" s="85" t="n">
        <v>46271</v>
      </c>
      <c r="C82" s="51" t="inlineStr">
        <is>
          <t>Chéque</t>
        </is>
      </c>
      <c r="D82" s="51" t="inlineStr">
        <is>
          <t>IDRALUM</t>
        </is>
      </c>
      <c r="E82" s="86" t="inlineStr">
        <is>
          <t>0286158</t>
        </is>
      </c>
      <c r="F82" s="30" t="n">
        <v>20000</v>
      </c>
      <c r="G82" s="30" t="n">
        <v>0</v>
      </c>
      <c r="H82" s="87">
        <f>IF(AND($B82="",$D82=""),"",IF($F82&lt;=0,"PAYÉ",IF($B82="","SANS DATE",IF($B82&lt;TODAY(),"EN RETARD",IF($B82&lt;=TODAY()+30,"À ÉCHOIR SOUS 30 J","À VENIR")))))</f>
        <v/>
      </c>
      <c r="I82" s="51" t="inlineStr"/>
    </row>
    <row r="83" ht="16" customHeight="1">
      <c r="B83" s="85" t="n">
        <v>46273</v>
      </c>
      <c r="C83" s="51" t="inlineStr">
        <is>
          <t>effet</t>
        </is>
      </c>
      <c r="D83" s="51" t="inlineStr">
        <is>
          <t>HAJ OMAR</t>
        </is>
      </c>
      <c r="E83" s="86" t="inlineStr">
        <is>
          <t>0750938</t>
        </is>
      </c>
      <c r="F83" s="30" t="n">
        <v>17000</v>
      </c>
      <c r="G83" s="30" t="n">
        <v>0</v>
      </c>
      <c r="H83" s="87">
        <f>IF(AND($B83="",$D83=""),"",IF($F83&lt;=0,"PAYÉ",IF($B83="","SANS DATE",IF($B83&lt;TODAY(),"EN RETARD",IF($B83&lt;=TODAY()+30,"À ÉCHOIR SOUS 30 J","À VENIR")))))</f>
        <v/>
      </c>
      <c r="I83" s="51" t="inlineStr"/>
    </row>
    <row r="84" ht="16" customHeight="1">
      <c r="B84" s="85" t="n">
        <v>46273</v>
      </c>
      <c r="C84" s="51" t="inlineStr">
        <is>
          <t>effet</t>
        </is>
      </c>
      <c r="D84" s="51" t="inlineStr">
        <is>
          <t>INDEC</t>
        </is>
      </c>
      <c r="E84" s="86" t="inlineStr">
        <is>
          <t>0137665</t>
        </is>
      </c>
      <c r="F84" s="30" t="n">
        <v>4908</v>
      </c>
      <c r="G84" s="30" t="n">
        <v>0</v>
      </c>
      <c r="H84" s="87">
        <f>IF(AND($B84="",$D84=""),"",IF($F84&lt;=0,"PAYÉ",IF($B84="","SANS DATE",IF($B84&lt;TODAY(),"EN RETARD",IF($B84&lt;=TODAY()+30,"À ÉCHOIR SOUS 30 J","À VENIR")))))</f>
        <v/>
      </c>
      <c r="I84" s="51" t="inlineStr"/>
    </row>
    <row r="85" ht="16" customHeight="1">
      <c r="B85" s="85" t="n">
        <v>46276</v>
      </c>
      <c r="C85" s="51" t="inlineStr">
        <is>
          <t>effet</t>
        </is>
      </c>
      <c r="D85" s="51" t="inlineStr">
        <is>
          <t>HAJ OMAR</t>
        </is>
      </c>
      <c r="E85" s="86" t="inlineStr">
        <is>
          <t>0750939</t>
        </is>
      </c>
      <c r="F85" s="30" t="n">
        <v>17865</v>
      </c>
      <c r="G85" s="30" t="n">
        <v>0</v>
      </c>
      <c r="H85" s="87">
        <f>IF(AND($B85="",$D85=""),"",IF($F85&lt;=0,"PAYÉ",IF($B85="","SANS DATE",IF($B85&lt;TODAY(),"EN RETARD",IF($B85&lt;=TODAY()+30,"À ÉCHOIR SOUS 30 J","À VENIR")))))</f>
        <v/>
      </c>
      <c r="I85" s="51" t="inlineStr"/>
    </row>
    <row r="86" ht="16" customHeight="1">
      <c r="B86" s="85" t="n">
        <v>46277</v>
      </c>
      <c r="C86" s="51" t="inlineStr">
        <is>
          <t>Chéque</t>
        </is>
      </c>
      <c r="D86" s="51" t="inlineStr">
        <is>
          <t>ASSURANCE HASSANIA</t>
        </is>
      </c>
      <c r="E86" s="86" t="inlineStr">
        <is>
          <t>0286188</t>
        </is>
      </c>
      <c r="F86" s="30" t="n">
        <v>1000</v>
      </c>
      <c r="G86" s="30" t="n">
        <v>0</v>
      </c>
      <c r="H86" s="87">
        <f>IF(AND($B86="",$D86=""),"",IF($F86&lt;=0,"PAYÉ",IF($B86="","SANS DATE",IF($B86&lt;TODAY(),"EN RETARD",IF($B86&lt;=TODAY()+30,"À ÉCHOIR SOUS 30 J","À VENIR")))))</f>
        <v/>
      </c>
      <c r="I86" s="51" t="inlineStr"/>
    </row>
    <row r="87" ht="16" customHeight="1">
      <c r="B87" s="85" t="n">
        <v>46280</v>
      </c>
      <c r="C87" s="51" t="inlineStr">
        <is>
          <t>effet</t>
        </is>
      </c>
      <c r="D87" s="51" t="inlineStr">
        <is>
          <t>HAJ OMAR</t>
        </is>
      </c>
      <c r="E87" s="86" t="inlineStr">
        <is>
          <t>0750940</t>
        </is>
      </c>
      <c r="F87" s="30" t="n">
        <v>20700</v>
      </c>
      <c r="G87" s="30" t="n">
        <v>0</v>
      </c>
      <c r="H87" s="87">
        <f>IF(AND($B87="",$D87=""),"",IF($F87&lt;=0,"PAYÉ",IF($B87="","SANS DATE",IF($B87&lt;TODAY(),"EN RETARD",IF($B87&lt;=TODAY()+30,"À ÉCHOIR SOUS 30 J","À VENIR")))))</f>
        <v/>
      </c>
      <c r="I87" s="51" t="inlineStr"/>
    </row>
    <row r="88" ht="16" customHeight="1">
      <c r="B88" s="85" t="n">
        <v>46283</v>
      </c>
      <c r="C88" s="51" t="inlineStr">
        <is>
          <t>effet</t>
        </is>
      </c>
      <c r="D88" s="51" t="inlineStr">
        <is>
          <t>HAJ OMAR</t>
        </is>
      </c>
      <c r="E88" s="86" t="inlineStr">
        <is>
          <t>0750941</t>
        </is>
      </c>
      <c r="F88" s="30" t="n">
        <v>21038</v>
      </c>
      <c r="G88" s="30" t="n">
        <v>0</v>
      </c>
      <c r="H88" s="87">
        <f>IF(AND($B88="",$D88=""),"",IF($F88&lt;=0,"PAYÉ",IF($B88="","SANS DATE",IF($B88&lt;TODAY(),"EN RETARD",IF($B88&lt;=TODAY()+30,"À ÉCHOIR SOUS 30 J","À VENIR")))))</f>
        <v/>
      </c>
      <c r="I88" s="51" t="inlineStr"/>
    </row>
    <row r="89" ht="16" customHeight="1">
      <c r="B89" s="85" t="n">
        <v>46288</v>
      </c>
      <c r="C89" s="51" t="inlineStr">
        <is>
          <t>Chéque</t>
        </is>
      </c>
      <c r="D89" s="51" t="inlineStr">
        <is>
          <t>IDRALUM</t>
        </is>
      </c>
      <c r="E89" s="86" t="inlineStr">
        <is>
          <t>0286164</t>
        </is>
      </c>
      <c r="F89" s="30" t="n">
        <v>20000</v>
      </c>
      <c r="G89" s="30" t="n">
        <v>0</v>
      </c>
      <c r="H89" s="87">
        <f>IF(AND($B89="",$D89=""),"",IF($F89&lt;=0,"PAYÉ",IF($B89="","SANS DATE",IF($B89&lt;TODAY(),"EN RETARD",IF($B89&lt;=TODAY()+30,"À ÉCHOIR SOUS 30 J","À VENIR")))))</f>
        <v/>
      </c>
      <c r="I89" s="51" t="inlineStr"/>
    </row>
    <row r="90" ht="16" customHeight="1">
      <c r="B90" s="85" t="n">
        <v>46293</v>
      </c>
      <c r="C90" s="51" t="inlineStr">
        <is>
          <t>Chéque</t>
        </is>
      </c>
      <c r="D90" s="51" t="inlineStr">
        <is>
          <t>IDRALUM</t>
        </is>
      </c>
      <c r="E90" s="86" t="inlineStr">
        <is>
          <t>0286163</t>
        </is>
      </c>
      <c r="F90" s="30" t="n">
        <v>20000</v>
      </c>
      <c r="G90" s="30" t="n">
        <v>0</v>
      </c>
      <c r="H90" s="87">
        <f>IF(AND($B90="",$D90=""),"",IF($F90&lt;=0,"PAYÉ",IF($B90="","SANS DATE",IF($B90&lt;TODAY(),"EN RETARD",IF($B90&lt;=TODAY()+30,"À ÉCHOIR SOUS 30 J","À VENIR")))))</f>
        <v/>
      </c>
      <c r="I90" s="51" t="inlineStr"/>
    </row>
    <row r="91" ht="16" customHeight="1">
      <c r="B91" s="85" t="n">
        <v>46293</v>
      </c>
      <c r="C91" s="51" t="inlineStr">
        <is>
          <t>effet</t>
        </is>
      </c>
      <c r="D91" s="51" t="inlineStr">
        <is>
          <t>HAJ OMAR</t>
        </is>
      </c>
      <c r="E91" s="86" t="inlineStr">
        <is>
          <t>0750946</t>
        </is>
      </c>
      <c r="F91" s="30" t="n">
        <v>20000</v>
      </c>
      <c r="G91" s="30" t="n">
        <v>0</v>
      </c>
      <c r="H91" s="87">
        <f>IF(AND($B91="",$D91=""),"",IF($F91&lt;=0,"PAYÉ",IF($B91="","SANS DATE",IF($B91&lt;TODAY(),"EN RETARD",IF($B91&lt;=TODAY()+30,"À ÉCHOIR SOUS 30 J","À VENIR")))))</f>
        <v/>
      </c>
      <c r="I91" s="51" t="inlineStr"/>
    </row>
    <row r="92" ht="16" customHeight="1">
      <c r="B92" s="85" t="n">
        <v>46295</v>
      </c>
      <c r="C92" s="51" t="inlineStr">
        <is>
          <t>Chéque</t>
        </is>
      </c>
      <c r="D92" s="51" t="inlineStr">
        <is>
          <t>IDRALUM</t>
        </is>
      </c>
      <c r="E92" s="86" t="inlineStr">
        <is>
          <t>0286162</t>
        </is>
      </c>
      <c r="F92" s="30" t="n">
        <v>20000</v>
      </c>
      <c r="G92" s="30" t="n">
        <v>0</v>
      </c>
      <c r="H92" s="87">
        <f>IF(AND($B92="",$D92=""),"",IF($F92&lt;=0,"PAYÉ",IF($B92="","SANS DATE",IF($B92&lt;TODAY(),"EN RETARD",IF($B92&lt;=TODAY()+30,"À ÉCHOIR SOUS 30 J","À VENIR")))))</f>
        <v/>
      </c>
      <c r="I92" s="51" t="inlineStr"/>
    </row>
    <row r="93" ht="16" customHeight="1">
      <c r="B93" s="85" t="n">
        <v>46298</v>
      </c>
      <c r="C93" s="51" t="inlineStr">
        <is>
          <t>effet</t>
        </is>
      </c>
      <c r="D93" s="51" t="inlineStr">
        <is>
          <t>HAJ OMAR</t>
        </is>
      </c>
      <c r="E93" s="86" t="inlineStr">
        <is>
          <t>0750947</t>
        </is>
      </c>
      <c r="F93" s="30" t="n">
        <v>15200</v>
      </c>
      <c r="G93" s="30" t="n">
        <v>0</v>
      </c>
      <c r="H93" s="87">
        <f>IF(AND($B93="",$D93=""),"",IF($F93&lt;=0,"PAYÉ",IF($B93="","SANS DATE",IF($B93&lt;TODAY(),"EN RETARD",IF($B93&lt;=TODAY()+30,"À ÉCHOIR SOUS 30 J","À VENIR")))))</f>
        <v/>
      </c>
      <c r="I93" s="51" t="inlineStr"/>
    </row>
    <row r="94" ht="16" customHeight="1">
      <c r="B94" s="85" t="n">
        <v>46300</v>
      </c>
      <c r="C94" s="51" t="inlineStr">
        <is>
          <t>Chéque</t>
        </is>
      </c>
      <c r="D94" s="51" t="inlineStr">
        <is>
          <t>IDRALUM</t>
        </is>
      </c>
      <c r="E94" s="86" t="inlineStr">
        <is>
          <t>0286181</t>
        </is>
      </c>
      <c r="F94" s="30" t="n">
        <v>20000</v>
      </c>
      <c r="G94" s="30" t="n">
        <v>0</v>
      </c>
      <c r="H94" s="87">
        <f>IF(AND($B94="",$D94=""),"",IF($F94&lt;=0,"PAYÉ",IF($B94="","SANS DATE",IF($B94&lt;TODAY(),"EN RETARD",IF($B94&lt;=TODAY()+30,"À ÉCHOIR SOUS 30 J","À VENIR")))))</f>
        <v/>
      </c>
      <c r="I94" s="51" t="inlineStr"/>
    </row>
    <row r="95" ht="16" customHeight="1">
      <c r="B95" s="85" t="n">
        <v>46301</v>
      </c>
      <c r="C95" s="51" t="inlineStr">
        <is>
          <t>effet</t>
        </is>
      </c>
      <c r="D95" s="51" t="inlineStr">
        <is>
          <t>HAJ OMAR</t>
        </is>
      </c>
      <c r="E95" s="86" t="inlineStr">
        <is>
          <t>0750948</t>
        </is>
      </c>
      <c r="F95" s="30" t="n">
        <v>20000</v>
      </c>
      <c r="G95" s="30" t="n">
        <v>0</v>
      </c>
      <c r="H95" s="87">
        <f>IF(AND($B95="",$D95=""),"",IF($F95&lt;=0,"PAYÉ",IF($B95="","SANS DATE",IF($B95&lt;TODAY(),"EN RETARD",IF($B95&lt;=TODAY()+30,"À ÉCHOIR SOUS 30 J","À VENIR")))))</f>
        <v/>
      </c>
      <c r="I95" s="51" t="inlineStr"/>
    </row>
    <row r="96" ht="16" customHeight="1">
      <c r="B96" s="85" t="n">
        <v>46304</v>
      </c>
      <c r="C96" s="51" t="inlineStr">
        <is>
          <t>Chéque</t>
        </is>
      </c>
      <c r="D96" s="51" t="inlineStr">
        <is>
          <t>IDRALUM</t>
        </is>
      </c>
      <c r="E96" s="86" t="inlineStr">
        <is>
          <t>0286179</t>
        </is>
      </c>
      <c r="F96" s="30" t="n">
        <v>18000</v>
      </c>
      <c r="G96" s="30" t="n">
        <v>0</v>
      </c>
      <c r="H96" s="87">
        <f>IF(AND($B96="",$D96=""),"",IF($F96&lt;=0,"PAYÉ",IF($B96="","SANS DATE",IF($B96&lt;TODAY(),"EN RETARD",IF($B96&lt;=TODAY()+30,"À ÉCHOIR SOUS 30 J","À VENIR")))))</f>
        <v/>
      </c>
      <c r="I96" s="51" t="inlineStr"/>
    </row>
    <row r="97" ht="16" customHeight="1">
      <c r="B97" s="85" t="n">
        <v>46305</v>
      </c>
      <c r="C97" s="51" t="inlineStr">
        <is>
          <t>effet</t>
        </is>
      </c>
      <c r="D97" s="51" t="inlineStr">
        <is>
          <t>HAJ OMAR</t>
        </is>
      </c>
      <c r="E97" s="86" t="inlineStr">
        <is>
          <t>0750949</t>
        </is>
      </c>
      <c r="F97" s="30" t="n">
        <v>18000</v>
      </c>
      <c r="G97" s="30" t="n">
        <v>0</v>
      </c>
      <c r="H97" s="87">
        <f>IF(AND($B97="",$D97=""),"",IF($F97&lt;=0,"PAYÉ",IF($B97="","SANS DATE",IF($B97&lt;TODAY(),"EN RETARD",IF($B97&lt;=TODAY()+30,"À ÉCHOIR SOUS 30 J","À VENIR")))))</f>
        <v/>
      </c>
      <c r="I97" s="51" t="inlineStr"/>
    </row>
    <row r="98" ht="16" customHeight="1">
      <c r="B98" s="85" t="n">
        <v>46307</v>
      </c>
      <c r="C98" s="51" t="inlineStr">
        <is>
          <t>Chéque</t>
        </is>
      </c>
      <c r="D98" s="51" t="inlineStr">
        <is>
          <t>ASSURANCE HASSANIA</t>
        </is>
      </c>
      <c r="E98" s="86" t="inlineStr">
        <is>
          <t>0286186</t>
        </is>
      </c>
      <c r="F98" s="30" t="n">
        <v>1000</v>
      </c>
      <c r="G98" s="30" t="n">
        <v>0</v>
      </c>
      <c r="H98" s="87">
        <f>IF(AND($B98="",$D98=""),"",IF($F98&lt;=0,"PAYÉ",IF($B98="","SANS DATE",IF($B98&lt;TODAY(),"EN RETARD",IF($B98&lt;=TODAY()+30,"À ÉCHOIR SOUS 30 J","À VENIR")))))</f>
        <v/>
      </c>
      <c r="I98" s="51" t="inlineStr"/>
    </row>
    <row r="99" ht="16" customHeight="1">
      <c r="B99" s="85" t="n">
        <v>46308</v>
      </c>
      <c r="C99" s="51" t="inlineStr">
        <is>
          <t>effet</t>
        </is>
      </c>
      <c r="D99" s="51" t="inlineStr">
        <is>
          <t>HAJ OMAR</t>
        </is>
      </c>
      <c r="E99" s="86" t="inlineStr">
        <is>
          <t>0750950</t>
        </is>
      </c>
      <c r="F99" s="30" t="n">
        <v>18400</v>
      </c>
      <c r="G99" s="30" t="n">
        <v>0</v>
      </c>
      <c r="H99" s="87">
        <f>IF(AND($B99="",$D99=""),"",IF($F99&lt;=0,"PAYÉ",IF($B99="","SANS DATE",IF($B99&lt;TODAY(),"EN RETARD",IF($B99&lt;=TODAY()+30,"À ÉCHOIR SOUS 30 J","À VENIR")))))</f>
        <v/>
      </c>
      <c r="I99" s="51" t="inlineStr"/>
    </row>
    <row r="100" ht="16" customHeight="1">
      <c r="B100" s="85" t="n">
        <v>46309</v>
      </c>
      <c r="C100" s="51" t="inlineStr">
        <is>
          <t>Chéque</t>
        </is>
      </c>
      <c r="D100" s="51" t="inlineStr">
        <is>
          <t>IDRALUM</t>
        </is>
      </c>
      <c r="E100" s="86" t="inlineStr">
        <is>
          <t>0286183</t>
        </is>
      </c>
      <c r="F100" s="30" t="n">
        <v>17000</v>
      </c>
      <c r="G100" s="30" t="n">
        <v>0</v>
      </c>
      <c r="H100" s="87">
        <f>IF(AND($B100="",$D100=""),"",IF($F100&lt;=0,"PAYÉ",IF($B100="","SANS DATE",IF($B100&lt;TODAY(),"EN RETARD",IF($B100&lt;=TODAY()+30,"À ÉCHOIR SOUS 30 J","À VENIR")))))</f>
        <v/>
      </c>
      <c r="I100" s="51" t="inlineStr"/>
    </row>
    <row r="101" ht="16" customHeight="1">
      <c r="B101" s="85" t="n">
        <v>46312</v>
      </c>
      <c r="C101" s="51" t="inlineStr">
        <is>
          <t>effet</t>
        </is>
      </c>
      <c r="D101" s="51" t="inlineStr">
        <is>
          <t>HAJ OMAR</t>
        </is>
      </c>
      <c r="E101" s="86" t="inlineStr">
        <is>
          <t>0750952</t>
        </is>
      </c>
      <c r="F101" s="30" t="n">
        <v>24000</v>
      </c>
      <c r="G101" s="30" t="n">
        <v>0</v>
      </c>
      <c r="H101" s="87">
        <f>IF(AND($B101="",$D101=""),"",IF($F101&lt;=0,"PAYÉ",IF($B101="","SANS DATE",IF($B101&lt;TODAY(),"EN RETARD",IF($B101&lt;=TODAY()+30,"À ÉCHOIR SOUS 30 J","À VENIR")))))</f>
        <v/>
      </c>
      <c r="I101" s="51" t="inlineStr"/>
    </row>
    <row r="102" ht="16" customHeight="1">
      <c r="B102" s="85" t="n">
        <v>46317</v>
      </c>
      <c r="C102" s="51" t="inlineStr">
        <is>
          <t>effet</t>
        </is>
      </c>
      <c r="D102" s="51" t="inlineStr">
        <is>
          <t>HAJ OMAR</t>
        </is>
      </c>
      <c r="E102" s="86" t="inlineStr">
        <is>
          <t>0750953</t>
        </is>
      </c>
      <c r="F102" s="30" t="n">
        <v>24000</v>
      </c>
      <c r="G102" s="30" t="n">
        <v>0</v>
      </c>
      <c r="H102" s="87">
        <f>IF(AND($B102="",$D102=""),"",IF($F102&lt;=0,"PAYÉ",IF($B102="","SANS DATE",IF($B102&lt;TODAY(),"EN RETARD",IF($B102&lt;=TODAY()+30,"À ÉCHOIR SOUS 30 J","À VENIR")))))</f>
        <v/>
      </c>
      <c r="I102" s="51" t="inlineStr"/>
    </row>
    <row r="103" ht="16" customHeight="1">
      <c r="B103" s="85" t="n">
        <v>46319</v>
      </c>
      <c r="C103" s="51" t="inlineStr">
        <is>
          <t>effet</t>
        </is>
      </c>
      <c r="D103" s="51" t="inlineStr">
        <is>
          <t>HAJ OMAR</t>
        </is>
      </c>
      <c r="E103" s="86" t="inlineStr">
        <is>
          <t>0750954</t>
        </is>
      </c>
      <c r="F103" s="30" t="n">
        <v>24000</v>
      </c>
      <c r="G103" s="30" t="n">
        <v>0</v>
      </c>
      <c r="H103" s="87">
        <f>IF(AND($B103="",$D103=""),"",IF($F103&lt;=0,"PAYÉ",IF($B103="","SANS DATE",IF($B103&lt;TODAY(),"EN RETARD",IF($B103&lt;=TODAY()+30,"À ÉCHOIR SOUS 30 J","À VENIR")))))</f>
        <v/>
      </c>
      <c r="I103" s="51" t="inlineStr"/>
    </row>
    <row r="104" ht="16" customHeight="1">
      <c r="B104" s="85" t="n"/>
      <c r="C104" s="51" t="inlineStr">
        <is>
          <t>COMPTABLE</t>
        </is>
      </c>
      <c r="D104" s="51" t="inlineStr">
        <is>
          <t>FRAIS DE CONSTITUTION H2</t>
        </is>
      </c>
      <c r="E104" s="86" t="inlineStr"/>
      <c r="F104" s="30" t="n">
        <v>2000</v>
      </c>
      <c r="G104" s="30" t="n">
        <v>0</v>
      </c>
      <c r="H104" s="87">
        <f>IF(AND($B104="",$D104=""),"",IF($F104&lt;=0,"PAYÉ",IF($B104="","SANS DATE",IF($B104&lt;TODAY(),"EN RETARD",IF($B104&lt;=TODAY()+30,"À ÉCHOIR SOUS 30 J","À VENIR")))))</f>
        <v/>
      </c>
      <c r="I104" s="51" t="inlineStr">
        <is>
          <t>4000: AVANCE 2000 DH</t>
        </is>
      </c>
    </row>
    <row r="105" ht="16" customHeight="1">
      <c r="B105" s="85" t="n"/>
      <c r="C105" s="51" t="inlineStr">
        <is>
          <t>COMPTABLE</t>
        </is>
      </c>
      <c r="D105" s="51" t="inlineStr">
        <is>
          <t>TENU DE COMTABILITE PARADISE 2024</t>
        </is>
      </c>
      <c r="E105" s="86" t="inlineStr"/>
      <c r="F105" s="30" t="n">
        <v>900</v>
      </c>
      <c r="G105" s="30" t="n">
        <v>0</v>
      </c>
      <c r="H105" s="87">
        <f>IF(AND($B105="",$D105=""),"",IF($F105&lt;=0,"PAYÉ",IF($B105="","SANS DATE",IF($B105&lt;TODAY(),"EN RETARD",IF($B105&lt;=TODAY()+30,"À ÉCHOIR SOUS 30 J","À VENIR")))))</f>
        <v/>
      </c>
      <c r="I105" s="51" t="inlineStr">
        <is>
          <t>8400: AVANCE 2500 DH+3000DH+2000 DH</t>
        </is>
      </c>
    </row>
    <row r="106" ht="16" customHeight="1">
      <c r="B106" s="85" t="n"/>
      <c r="C106" s="51" t="inlineStr">
        <is>
          <t>COMPTABLE</t>
        </is>
      </c>
      <c r="D106" s="51" t="inlineStr">
        <is>
          <t>TENU DE COMTABILITE PARADISE 2025</t>
        </is>
      </c>
      <c r="E106" s="86" t="inlineStr"/>
      <c r="F106" s="30" t="n">
        <v>8400</v>
      </c>
      <c r="G106" s="30" t="n">
        <v>0</v>
      </c>
      <c r="H106" s="87">
        <f>IF(AND($B106="",$D106=""),"",IF($F106&lt;=0,"PAYÉ",IF($B106="","SANS DATE",IF($B106&lt;TODAY(),"EN RETARD",IF($B106&lt;=TODAY()+30,"À ÉCHOIR SOUS 30 J","À VENIR")))))</f>
        <v/>
      </c>
      <c r="I106" s="51" t="inlineStr"/>
    </row>
    <row r="107" ht="16" customHeight="1">
      <c r="B107" s="85" t="n"/>
      <c r="C107" s="51" t="inlineStr">
        <is>
          <t>COMPTABLE</t>
        </is>
      </c>
      <c r="D107" s="51" t="inlineStr">
        <is>
          <t>TENU DE COMTABILITE H2 2025</t>
        </is>
      </c>
      <c r="E107" s="86" t="inlineStr"/>
      <c r="F107" s="30" t="n">
        <v>2000</v>
      </c>
      <c r="G107" s="30" t="n">
        <v>0</v>
      </c>
      <c r="H107" s="87">
        <f>IF(AND($B107="",$D107=""),"",IF($F107&lt;=0,"PAYÉ",IF($B107="","SANS DATE",IF($B107&lt;TODAY(),"EN RETARD",IF($B107&lt;=TODAY()+30,"À ÉCHOIR SOUS 30 J","À VENIR")))))</f>
        <v/>
      </c>
      <c r="I107" s="51" t="inlineStr"/>
    </row>
    <row r="108" ht="16" customHeight="1">
      <c r="B108" s="85" t="n"/>
      <c r="C108" s="51" t="n"/>
      <c r="D108" s="51" t="n"/>
      <c r="E108" s="86" t="n"/>
      <c r="F108" s="30" t="n"/>
      <c r="G108" s="30" t="n"/>
      <c r="H108" s="87">
        <f>IF(AND($B108="",$D108=""),"",IF($F108&lt;=0,"PAYÉ",IF($B108="","SANS DATE",IF($B108&lt;TODAY(),"EN RETARD",IF($B108&lt;=TODAY()+30,"À ÉCHOIR SOUS 30 J","À VENIR")))))</f>
        <v/>
      </c>
      <c r="I108" s="51" t="n"/>
    </row>
    <row r="109" ht="16" customHeight="1">
      <c r="B109" s="85" t="n"/>
      <c r="C109" s="51" t="n"/>
      <c r="D109" s="51" t="n"/>
      <c r="E109" s="86" t="n"/>
      <c r="F109" s="30" t="n"/>
      <c r="G109" s="30" t="n"/>
      <c r="H109" s="87">
        <f>IF(AND($B109="",$D109=""),"",IF($F109&lt;=0,"PAYÉ",IF($B109="","SANS DATE",IF($B109&lt;TODAY(),"EN RETARD",IF($B109&lt;=TODAY()+30,"À ÉCHOIR SOUS 30 J","À VENIR")))))</f>
        <v/>
      </c>
      <c r="I109" s="51" t="n"/>
    </row>
    <row r="110" ht="16" customHeight="1">
      <c r="B110" s="85" t="n"/>
      <c r="C110" s="51" t="n"/>
      <c r="D110" s="51" t="n"/>
      <c r="E110" s="86" t="n"/>
      <c r="F110" s="30" t="n"/>
      <c r="G110" s="30" t="n"/>
      <c r="H110" s="87">
        <f>IF(AND($B110="",$D110=""),"",IF($F110&lt;=0,"PAYÉ",IF($B110="","SANS DATE",IF($B110&lt;TODAY(),"EN RETARD",IF($B110&lt;=TODAY()+30,"À ÉCHOIR SOUS 30 J","À VENIR")))))</f>
        <v/>
      </c>
      <c r="I110" s="51" t="n"/>
    </row>
    <row r="111" ht="16" customHeight="1">
      <c r="B111" s="85" t="n"/>
      <c r="C111" s="51" t="n"/>
      <c r="D111" s="51" t="n"/>
      <c r="E111" s="86" t="n"/>
      <c r="F111" s="30" t="n"/>
      <c r="G111" s="30" t="n"/>
      <c r="H111" s="87">
        <f>IF(AND($B111="",$D111=""),"",IF($F111&lt;=0,"PAYÉ",IF($B111="","SANS DATE",IF($B111&lt;TODAY(),"EN RETARD",IF($B111&lt;=TODAY()+30,"À ÉCHOIR SOUS 30 J","À VENIR")))))</f>
        <v/>
      </c>
      <c r="I111" s="51" t="n"/>
    </row>
    <row r="112" ht="16" customHeight="1">
      <c r="B112" s="85" t="n"/>
      <c r="C112" s="51" t="n"/>
      <c r="D112" s="51" t="n"/>
      <c r="E112" s="86" t="n"/>
      <c r="F112" s="30" t="n"/>
      <c r="G112" s="30" t="n"/>
      <c r="H112" s="87">
        <f>IF(AND($B112="",$D112=""),"",IF($F112&lt;=0,"PAYÉ",IF($B112="","SANS DATE",IF($B112&lt;TODAY(),"EN RETARD",IF($B112&lt;=TODAY()+30,"À ÉCHOIR SOUS 30 J","À VENIR")))))</f>
        <v/>
      </c>
      <c r="I112" s="51" t="n"/>
    </row>
    <row r="113" ht="16" customHeight="1">
      <c r="B113" s="85" t="n"/>
      <c r="C113" s="51" t="n"/>
      <c r="D113" s="51" t="n"/>
      <c r="E113" s="86" t="n"/>
      <c r="F113" s="30" t="n"/>
      <c r="G113" s="30" t="n"/>
      <c r="H113" s="87">
        <f>IF(AND($B113="",$D113=""),"",IF($F113&lt;=0,"PAYÉ",IF($B113="","SANS DATE",IF($B113&lt;TODAY(),"EN RETARD",IF($B113&lt;=TODAY()+30,"À ÉCHOIR SOUS 30 J","À VENIR")))))</f>
        <v/>
      </c>
      <c r="I113" s="51" t="n"/>
    </row>
    <row r="114" ht="16" customHeight="1">
      <c r="B114" s="85" t="n"/>
      <c r="C114" s="51" t="n"/>
      <c r="D114" s="51" t="n"/>
      <c r="E114" s="86" t="n"/>
      <c r="F114" s="30" t="n"/>
      <c r="G114" s="30" t="n"/>
      <c r="H114" s="87">
        <f>IF(AND($B114="",$D114=""),"",IF($F114&lt;=0,"PAYÉ",IF($B114="","SANS DATE",IF($B114&lt;TODAY(),"EN RETARD",IF($B114&lt;=TODAY()+30,"À ÉCHOIR SOUS 30 J","À VENIR")))))</f>
        <v/>
      </c>
      <c r="I114" s="51" t="n"/>
    </row>
    <row r="115" ht="16" customHeight="1">
      <c r="B115" s="85" t="n"/>
      <c r="C115" s="51" t="n"/>
      <c r="D115" s="51" t="n"/>
      <c r="E115" s="86" t="n"/>
      <c r="F115" s="30" t="n"/>
      <c r="G115" s="30" t="n"/>
      <c r="H115" s="87">
        <f>IF(AND($B115="",$D115=""),"",IF($F115&lt;=0,"PAYÉ",IF($B115="","SANS DATE",IF($B115&lt;TODAY(),"EN RETARD",IF($B115&lt;=TODAY()+30,"À ÉCHOIR SOUS 30 J","À VENIR")))))</f>
        <v/>
      </c>
      <c r="I115" s="51" t="n"/>
    </row>
    <row r="116" ht="16" customHeight="1">
      <c r="B116" s="85" t="n"/>
      <c r="C116" s="51" t="n"/>
      <c r="D116" s="51" t="n"/>
      <c r="E116" s="86" t="n"/>
      <c r="F116" s="30" t="n"/>
      <c r="G116" s="30" t="n"/>
      <c r="H116" s="87">
        <f>IF(AND($B116="",$D116=""),"",IF($F116&lt;=0,"PAYÉ",IF($B116="","SANS DATE",IF($B116&lt;TODAY(),"EN RETARD",IF($B116&lt;=TODAY()+30,"À ÉCHOIR SOUS 30 J","À VENIR")))))</f>
        <v/>
      </c>
      <c r="I116" s="51" t="n"/>
    </row>
    <row r="117" ht="16" customHeight="1">
      <c r="B117" s="85" t="n"/>
      <c r="C117" s="51" t="n"/>
      <c r="D117" s="51" t="n"/>
      <c r="E117" s="86" t="n"/>
      <c r="F117" s="30" t="n"/>
      <c r="G117" s="30" t="n"/>
      <c r="H117" s="87">
        <f>IF(AND($B117="",$D117=""),"",IF($F117&lt;=0,"PAYÉ",IF($B117="","SANS DATE",IF($B117&lt;TODAY(),"EN RETARD",IF($B117&lt;=TODAY()+30,"À ÉCHOIR SOUS 30 J","À VENIR")))))</f>
        <v/>
      </c>
      <c r="I117" s="51" t="n"/>
    </row>
    <row r="118" ht="16" customHeight="1">
      <c r="B118" s="85" t="n"/>
      <c r="C118" s="51" t="n"/>
      <c r="D118" s="51" t="n"/>
      <c r="E118" s="86" t="n"/>
      <c r="F118" s="30" t="n"/>
      <c r="G118" s="30" t="n"/>
      <c r="H118" s="87">
        <f>IF(AND($B118="",$D118=""),"",IF($F118&lt;=0,"PAYÉ",IF($B118="","SANS DATE",IF($B118&lt;TODAY(),"EN RETARD",IF($B118&lt;=TODAY()+30,"À ÉCHOIR SOUS 30 J","À VENIR")))))</f>
        <v/>
      </c>
      <c r="I118" s="51" t="n"/>
    </row>
    <row r="119" ht="16" customHeight="1">
      <c r="B119" s="85" t="n"/>
      <c r="C119" s="51" t="n"/>
      <c r="D119" s="51" t="n"/>
      <c r="E119" s="86" t="n"/>
      <c r="F119" s="30" t="n"/>
      <c r="G119" s="30" t="n"/>
      <c r="H119" s="87">
        <f>IF(AND($B119="",$D119=""),"",IF($F119&lt;=0,"PAYÉ",IF($B119="","SANS DATE",IF($B119&lt;TODAY(),"EN RETARD",IF($B119&lt;=TODAY()+30,"À ÉCHOIR SOUS 30 J","À VENIR")))))</f>
        <v/>
      </c>
      <c r="I119" s="51" t="n"/>
    </row>
    <row r="120" ht="16" customHeight="1">
      <c r="B120" s="85" t="n"/>
      <c r="C120" s="51" t="n"/>
      <c r="D120" s="51" t="n"/>
      <c r="E120" s="86" t="n"/>
      <c r="F120" s="30" t="n"/>
      <c r="G120" s="30" t="n"/>
      <c r="H120" s="87">
        <f>IF(AND($B120="",$D120=""),"",IF($F120&lt;=0,"PAYÉ",IF($B120="","SANS DATE",IF($B120&lt;TODAY(),"EN RETARD",IF($B120&lt;=TODAY()+30,"À ÉCHOIR SOUS 30 J","À VENIR")))))</f>
        <v/>
      </c>
      <c r="I120" s="51" t="n"/>
    </row>
    <row r="121" ht="16" customHeight="1">
      <c r="B121" s="85" t="n"/>
      <c r="C121" s="51" t="n"/>
      <c r="D121" s="51" t="n"/>
      <c r="E121" s="86" t="n"/>
      <c r="F121" s="30" t="n"/>
      <c r="G121" s="30" t="n"/>
      <c r="H121" s="87">
        <f>IF(AND($B121="",$D121=""),"",IF($F121&lt;=0,"PAYÉ",IF($B121="","SANS DATE",IF($B121&lt;TODAY(),"EN RETARD",IF($B121&lt;=TODAY()+30,"À ÉCHOIR SOUS 30 J","À VENIR")))))</f>
        <v/>
      </c>
      <c r="I121" s="51" t="n"/>
    </row>
    <row r="122" ht="16" customHeight="1">
      <c r="B122" s="85" t="n"/>
      <c r="C122" s="51" t="n"/>
      <c r="D122" s="51" t="n"/>
      <c r="E122" s="86" t="n"/>
      <c r="F122" s="30" t="n"/>
      <c r="G122" s="30" t="n"/>
      <c r="H122" s="87">
        <f>IF(AND($B122="",$D122=""),"",IF($F122&lt;=0,"PAYÉ",IF($B122="","SANS DATE",IF($B122&lt;TODAY(),"EN RETARD",IF($B122&lt;=TODAY()+30,"À ÉCHOIR SOUS 30 J","À VENIR")))))</f>
        <v/>
      </c>
      <c r="I122" s="51" t="n"/>
    </row>
    <row r="123" ht="16" customHeight="1">
      <c r="B123" s="85" t="n"/>
      <c r="C123" s="51" t="n"/>
      <c r="D123" s="51" t="n"/>
      <c r="E123" s="86" t="n"/>
      <c r="F123" s="30" t="n"/>
      <c r="G123" s="30" t="n"/>
      <c r="H123" s="87">
        <f>IF(AND($B123="",$D123=""),"",IF($F123&lt;=0,"PAYÉ",IF($B123="","SANS DATE",IF($B123&lt;TODAY(),"EN RETARD",IF($B123&lt;=TODAY()+30,"À ÉCHOIR SOUS 30 J","À VENIR")))))</f>
        <v/>
      </c>
      <c r="I123" s="51" t="n"/>
    </row>
    <row r="124" ht="16" customHeight="1">
      <c r="B124" s="85" t="n"/>
      <c r="C124" s="51" t="n"/>
      <c r="D124" s="51" t="n"/>
      <c r="E124" s="86" t="n"/>
      <c r="F124" s="30" t="n"/>
      <c r="G124" s="30" t="n"/>
      <c r="H124" s="87">
        <f>IF(AND($B124="",$D124=""),"",IF($F124&lt;=0,"PAYÉ",IF($B124="","SANS DATE",IF($B124&lt;TODAY(),"EN RETARD",IF($B124&lt;=TODAY()+30,"À ÉCHOIR SOUS 30 J","À VENIR")))))</f>
        <v/>
      </c>
      <c r="I124" s="51" t="n"/>
    </row>
    <row r="125" ht="16" customHeight="1">
      <c r="B125" s="85" t="n"/>
      <c r="C125" s="51" t="n"/>
      <c r="D125" s="51" t="n"/>
      <c r="E125" s="86" t="n"/>
      <c r="F125" s="30" t="n"/>
      <c r="G125" s="30" t="n"/>
      <c r="H125" s="87">
        <f>IF(AND($B125="",$D125=""),"",IF($F125&lt;=0,"PAYÉ",IF($B125="","SANS DATE",IF($B125&lt;TODAY(),"EN RETARD",IF($B125&lt;=TODAY()+30,"À ÉCHOIR SOUS 30 J","À VENIR")))))</f>
        <v/>
      </c>
      <c r="I125" s="51" t="n"/>
    </row>
    <row r="126" ht="16" customHeight="1">
      <c r="B126" s="85" t="n"/>
      <c r="C126" s="51" t="n"/>
      <c r="D126" s="51" t="n"/>
      <c r="E126" s="86" t="n"/>
      <c r="F126" s="30" t="n"/>
      <c r="G126" s="30" t="n"/>
      <c r="H126" s="87">
        <f>IF(AND($B126="",$D126=""),"",IF($F126&lt;=0,"PAYÉ",IF($B126="","SANS DATE",IF($B126&lt;TODAY(),"EN RETARD",IF($B126&lt;=TODAY()+30,"À ÉCHOIR SOUS 30 J","À VENIR")))))</f>
        <v/>
      </c>
      <c r="I126" s="51" t="n"/>
    </row>
    <row r="127" ht="16" customHeight="1">
      <c r="B127" s="85" t="n"/>
      <c r="C127" s="51" t="n"/>
      <c r="D127" s="51" t="n"/>
      <c r="E127" s="86" t="n"/>
      <c r="F127" s="30" t="n"/>
      <c r="G127" s="30" t="n"/>
      <c r="H127" s="87">
        <f>IF(AND($B127="",$D127=""),"",IF($F127&lt;=0,"PAYÉ",IF($B127="","SANS DATE",IF($B127&lt;TODAY(),"EN RETARD",IF($B127&lt;=TODAY()+30,"À ÉCHOIR SOUS 30 J","À VENIR")))))</f>
        <v/>
      </c>
      <c r="I127" s="51" t="n"/>
    </row>
    <row r="128" ht="16" customHeight="1">
      <c r="B128" s="85" t="n"/>
      <c r="C128" s="51" t="n"/>
      <c r="D128" s="51" t="n"/>
      <c r="E128" s="86" t="n"/>
      <c r="F128" s="30" t="n"/>
      <c r="G128" s="30" t="n"/>
      <c r="H128" s="87">
        <f>IF(AND($B128="",$D128=""),"",IF($F128&lt;=0,"PAYÉ",IF($B128="","SANS DATE",IF($B128&lt;TODAY(),"EN RETARD",IF($B128&lt;=TODAY()+30,"À ÉCHOIR SOUS 30 J","À VENIR")))))</f>
        <v/>
      </c>
      <c r="I128" s="51" t="n"/>
    </row>
    <row r="129" ht="16" customHeight="1">
      <c r="B129" s="85" t="n"/>
      <c r="C129" s="51" t="n"/>
      <c r="D129" s="51" t="n"/>
      <c r="E129" s="86" t="n"/>
      <c r="F129" s="30" t="n"/>
      <c r="G129" s="30" t="n"/>
      <c r="H129" s="87">
        <f>IF(AND($B129="",$D129=""),"",IF($F129&lt;=0,"PAYÉ",IF($B129="","SANS DATE",IF($B129&lt;TODAY(),"EN RETARD",IF($B129&lt;=TODAY()+30,"À ÉCHOIR SOUS 30 J","À VENIR")))))</f>
        <v/>
      </c>
      <c r="I129" s="51" t="n"/>
    </row>
    <row r="130" ht="16" customHeight="1">
      <c r="B130" s="85" t="n"/>
      <c r="C130" s="51" t="n"/>
      <c r="D130" s="51" t="n"/>
      <c r="E130" s="86" t="n"/>
      <c r="F130" s="30" t="n"/>
      <c r="G130" s="30" t="n"/>
      <c r="H130" s="87">
        <f>IF(AND($B130="",$D130=""),"",IF($F130&lt;=0,"PAYÉ",IF($B130="","SANS DATE",IF($B130&lt;TODAY(),"EN RETARD",IF($B130&lt;=TODAY()+30,"À ÉCHOIR SOUS 30 J","À VENIR")))))</f>
        <v/>
      </c>
      <c r="I130" s="51" t="n"/>
    </row>
    <row r="131" ht="16" customHeight="1">
      <c r="B131" s="85" t="n"/>
      <c r="C131" s="51" t="n"/>
      <c r="D131" s="51" t="n"/>
      <c r="E131" s="86" t="n"/>
      <c r="F131" s="30" t="n"/>
      <c r="G131" s="30" t="n"/>
      <c r="H131" s="87">
        <f>IF(AND($B131="",$D131=""),"",IF($F131&lt;=0,"PAYÉ",IF($B131="","SANS DATE",IF($B131&lt;TODAY(),"EN RETARD",IF($B131&lt;=TODAY()+30,"À ÉCHOIR SOUS 30 J","À VENIR")))))</f>
        <v/>
      </c>
      <c r="I131" s="51" t="n"/>
    </row>
    <row r="132" ht="16" customHeight="1">
      <c r="B132" s="85" t="n"/>
      <c r="C132" s="51" t="n"/>
      <c r="D132" s="51" t="n"/>
      <c r="E132" s="86" t="n"/>
      <c r="F132" s="30" t="n"/>
      <c r="G132" s="30" t="n"/>
      <c r="H132" s="87">
        <f>IF(AND($B132="",$D132=""),"",IF($F132&lt;=0,"PAYÉ",IF($B132="","SANS DATE",IF($B132&lt;TODAY(),"EN RETARD",IF($B132&lt;=TODAY()+30,"À ÉCHOIR SOUS 30 J","À VENIR")))))</f>
        <v/>
      </c>
      <c r="I132" s="51" t="n"/>
    </row>
    <row r="133" ht="16" customHeight="1">
      <c r="B133" s="85" t="n"/>
      <c r="C133" s="51" t="n"/>
      <c r="D133" s="51" t="n"/>
      <c r="E133" s="86" t="n"/>
      <c r="F133" s="30" t="n"/>
      <c r="G133" s="30" t="n"/>
      <c r="H133" s="87">
        <f>IF(AND($B133="",$D133=""),"",IF($F133&lt;=0,"PAYÉ",IF($B133="","SANS DATE",IF($B133&lt;TODAY(),"EN RETARD",IF($B133&lt;=TODAY()+30,"À ÉCHOIR SOUS 30 J","À VENIR")))))</f>
        <v/>
      </c>
      <c r="I133" s="51" t="n"/>
    </row>
    <row r="134" ht="16" customHeight="1">
      <c r="B134" s="85" t="n"/>
      <c r="C134" s="51" t="n"/>
      <c r="D134" s="51" t="n"/>
      <c r="E134" s="86" t="n"/>
      <c r="F134" s="30" t="n"/>
      <c r="G134" s="30" t="n"/>
      <c r="H134" s="87">
        <f>IF(AND($B134="",$D134=""),"",IF($F134&lt;=0,"PAYÉ",IF($B134="","SANS DATE",IF($B134&lt;TODAY(),"EN RETARD",IF($B134&lt;=TODAY()+30,"À ÉCHOIR SOUS 30 J","À VENIR")))))</f>
        <v/>
      </c>
      <c r="I134" s="51" t="n"/>
    </row>
    <row r="135" ht="16" customHeight="1">
      <c r="B135" s="85" t="n"/>
      <c r="C135" s="51" t="n"/>
      <c r="D135" s="51" t="n"/>
      <c r="E135" s="86" t="n"/>
      <c r="F135" s="30" t="n"/>
      <c r="G135" s="30" t="n"/>
      <c r="H135" s="87">
        <f>IF(AND($B135="",$D135=""),"",IF($F135&lt;=0,"PAYÉ",IF($B135="","SANS DATE",IF($B135&lt;TODAY(),"EN RETARD",IF($B135&lt;=TODAY()+30,"À ÉCHOIR SOUS 30 J","À VENIR")))))</f>
        <v/>
      </c>
      <c r="I135" s="51" t="n"/>
    </row>
    <row r="136" ht="16" customHeight="1">
      <c r="B136" s="85" t="n"/>
      <c r="C136" s="51" t="n"/>
      <c r="D136" s="51" t="n"/>
      <c r="E136" s="86" t="n"/>
      <c r="F136" s="30" t="n"/>
      <c r="G136" s="30" t="n"/>
      <c r="H136" s="87">
        <f>IF(AND($B136="",$D136=""),"",IF($F136&lt;=0,"PAYÉ",IF($B136="","SANS DATE",IF($B136&lt;TODAY(),"EN RETARD",IF($B136&lt;=TODAY()+30,"À ÉCHOIR SOUS 30 J","À VENIR")))))</f>
        <v/>
      </c>
      <c r="I136" s="51" t="n"/>
    </row>
    <row r="137" ht="16" customHeight="1">
      <c r="B137" s="85" t="n"/>
      <c r="C137" s="51" t="n"/>
      <c r="D137" s="51" t="n"/>
      <c r="E137" s="86" t="n"/>
      <c r="F137" s="30" t="n"/>
      <c r="G137" s="30" t="n"/>
      <c r="H137" s="87">
        <f>IF(AND($B137="",$D137=""),"",IF($F137&lt;=0,"PAYÉ",IF($B137="","SANS DATE",IF($B137&lt;TODAY(),"EN RETARD",IF($B137&lt;=TODAY()+30,"À ÉCHOIR SOUS 30 J","À VENIR")))))</f>
        <v/>
      </c>
      <c r="I137" s="51" t="n"/>
    </row>
    <row r="138" ht="16" customHeight="1">
      <c r="B138" s="85" t="n"/>
      <c r="C138" s="51" t="n"/>
      <c r="D138" s="51" t="n"/>
      <c r="E138" s="86" t="n"/>
      <c r="F138" s="30" t="n"/>
      <c r="G138" s="30" t="n"/>
      <c r="H138" s="87">
        <f>IF(AND($B138="",$D138=""),"",IF($F138&lt;=0,"PAYÉ",IF($B138="","SANS DATE",IF($B138&lt;TODAY(),"EN RETARD",IF($B138&lt;=TODAY()+30,"À ÉCHOIR SOUS 30 J","À VENIR")))))</f>
        <v/>
      </c>
      <c r="I138" s="51" t="n"/>
    </row>
    <row r="139" ht="16" customHeight="1">
      <c r="B139" s="85" t="n"/>
      <c r="C139" s="51" t="n"/>
      <c r="D139" s="51" t="n"/>
      <c r="E139" s="86" t="n"/>
      <c r="F139" s="30" t="n"/>
      <c r="G139" s="30" t="n"/>
      <c r="H139" s="87">
        <f>IF(AND($B139="",$D139=""),"",IF($F139&lt;=0,"PAYÉ",IF($B139="","SANS DATE",IF($B139&lt;TODAY(),"EN RETARD",IF($B139&lt;=TODAY()+30,"À ÉCHOIR SOUS 30 J","À VENIR")))))</f>
        <v/>
      </c>
      <c r="I139" s="51" t="n"/>
    </row>
    <row r="140" ht="16" customHeight="1">
      <c r="B140" s="85" t="n"/>
      <c r="C140" s="51" t="n"/>
      <c r="D140" s="51" t="n"/>
      <c r="E140" s="86" t="n"/>
      <c r="F140" s="30" t="n"/>
      <c r="G140" s="30" t="n"/>
      <c r="H140" s="87">
        <f>IF(AND($B140="",$D140=""),"",IF($F140&lt;=0,"PAYÉ",IF($B140="","SANS DATE",IF($B140&lt;TODAY(),"EN RETARD",IF($B140&lt;=TODAY()+30,"À ÉCHOIR SOUS 30 J","À VENIR")))))</f>
        <v/>
      </c>
      <c r="I140" s="51" t="n"/>
    </row>
    <row r="141" ht="16" customHeight="1">
      <c r="B141" s="85" t="n"/>
      <c r="C141" s="51" t="n"/>
      <c r="D141" s="51" t="n"/>
      <c r="E141" s="86" t="n"/>
      <c r="F141" s="30" t="n"/>
      <c r="G141" s="30" t="n"/>
      <c r="H141" s="87">
        <f>IF(AND($B141="",$D141=""),"",IF($F141&lt;=0,"PAYÉ",IF($B141="","SANS DATE",IF($B141&lt;TODAY(),"EN RETARD",IF($B141&lt;=TODAY()+30,"À ÉCHOIR SOUS 30 J","À VENIR")))))</f>
        <v/>
      </c>
      <c r="I141" s="51" t="n"/>
    </row>
    <row r="142" ht="16" customHeight="1">
      <c r="B142" s="85" t="n"/>
      <c r="C142" s="51" t="n"/>
      <c r="D142" s="51" t="n"/>
      <c r="E142" s="86" t="n"/>
      <c r="F142" s="30" t="n"/>
      <c r="G142" s="30" t="n"/>
      <c r="H142" s="87">
        <f>IF(AND($B142="",$D142=""),"",IF($F142&lt;=0,"PAYÉ",IF($B142="","SANS DATE",IF($B142&lt;TODAY(),"EN RETARD",IF($B142&lt;=TODAY()+30,"À ÉCHOIR SOUS 30 J","À VENIR")))))</f>
        <v/>
      </c>
      <c r="I142" s="51" t="n"/>
    </row>
    <row r="143" ht="16" customHeight="1">
      <c r="B143" s="85" t="n"/>
      <c r="C143" s="51" t="n"/>
      <c r="D143" s="51" t="n"/>
      <c r="E143" s="86" t="n"/>
      <c r="F143" s="30" t="n"/>
      <c r="G143" s="30" t="n"/>
      <c r="H143" s="87">
        <f>IF(AND($B143="",$D143=""),"",IF($F143&lt;=0,"PAYÉ",IF($B143="","SANS DATE",IF($B143&lt;TODAY(),"EN RETARD",IF($B143&lt;=TODAY()+30,"À ÉCHOIR SOUS 30 J","À VENIR")))))</f>
        <v/>
      </c>
      <c r="I143" s="51" t="n"/>
    </row>
    <row r="144" ht="16" customHeight="1">
      <c r="B144" s="85" t="n"/>
      <c r="C144" s="51" t="n"/>
      <c r="D144" s="51" t="n"/>
      <c r="E144" s="86" t="n"/>
      <c r="F144" s="30" t="n"/>
      <c r="G144" s="30" t="n"/>
      <c r="H144" s="87">
        <f>IF(AND($B144="",$D144=""),"",IF($F144&lt;=0,"PAYÉ",IF($B144="","SANS DATE",IF($B144&lt;TODAY(),"EN RETARD",IF($B144&lt;=TODAY()+30,"À ÉCHOIR SOUS 30 J","À VENIR")))))</f>
        <v/>
      </c>
      <c r="I144" s="51" t="n"/>
    </row>
    <row r="145" ht="16" customHeight="1">
      <c r="B145" s="85" t="n"/>
      <c r="C145" s="51" t="n"/>
      <c r="D145" s="51" t="n"/>
      <c r="E145" s="86" t="n"/>
      <c r="F145" s="30" t="n"/>
      <c r="G145" s="30" t="n"/>
      <c r="H145" s="87">
        <f>IF(AND($B145="",$D145=""),"",IF($F145&lt;=0,"PAYÉ",IF($B145="","SANS DATE",IF($B145&lt;TODAY(),"EN RETARD",IF($B145&lt;=TODAY()+30,"À ÉCHOIR SOUS 30 J","À VENIR")))))</f>
        <v/>
      </c>
      <c r="I145" s="51" t="n"/>
    </row>
    <row r="146" ht="16" customHeight="1">
      <c r="B146" s="85" t="n"/>
      <c r="C146" s="51" t="n"/>
      <c r="D146" s="51" t="n"/>
      <c r="E146" s="86" t="n"/>
      <c r="F146" s="30" t="n"/>
      <c r="G146" s="30" t="n"/>
      <c r="H146" s="87">
        <f>IF(AND($B146="",$D146=""),"",IF($F146&lt;=0,"PAYÉ",IF($B146="","SANS DATE",IF($B146&lt;TODAY(),"EN RETARD",IF($B146&lt;=TODAY()+30,"À ÉCHOIR SOUS 30 J","À VENIR")))))</f>
        <v/>
      </c>
      <c r="I146" s="51" t="n"/>
    </row>
    <row r="147" ht="16" customHeight="1">
      <c r="B147" s="85" t="n"/>
      <c r="C147" s="51" t="n"/>
      <c r="D147" s="51" t="n"/>
      <c r="E147" s="86" t="n"/>
      <c r="F147" s="30" t="n"/>
      <c r="G147" s="30" t="n"/>
      <c r="H147" s="87">
        <f>IF(AND($B147="",$D147=""),"",IF($F147&lt;=0,"PAYÉ",IF($B147="","SANS DATE",IF($B147&lt;TODAY(),"EN RETARD",IF($B147&lt;=TODAY()+30,"À ÉCHOIR SOUS 30 J","À VENIR")))))</f>
        <v/>
      </c>
      <c r="I147" s="51" t="n"/>
    </row>
    <row r="148" ht="16" customHeight="1">
      <c r="B148" s="85" t="n"/>
      <c r="C148" s="51" t="n"/>
      <c r="D148" s="51" t="n"/>
      <c r="E148" s="86" t="n"/>
      <c r="F148" s="30" t="n"/>
      <c r="G148" s="30" t="n"/>
      <c r="H148" s="87">
        <f>IF(AND($B148="",$D148=""),"",IF($F148&lt;=0,"PAYÉ",IF($B148="","SANS DATE",IF($B148&lt;TODAY(),"EN RETARD",IF($B148&lt;=TODAY()+30,"À ÉCHOIR SOUS 30 J","À VENIR")))))</f>
        <v/>
      </c>
      <c r="I148" s="51" t="n"/>
    </row>
    <row r="150" ht="30" customHeight="1">
      <c r="B150" s="22" t="inlineStr">
        <is>
          <t>Le total à venir au-delà de 30 jours se lit en retirant du total restant dû ce qui est en retard et ce qui échoit sous 30 jours.    MONTANT RESTANT DÛ = ce qui n'est pas encore débité. Quand le chèque ou l'effet est payé, portez le montant dans « déjà payé » et ramenez le restant dû à zéro : la ligne passe en vert toute seule.</t>
        </is>
      </c>
    </row>
  </sheetData>
  <autoFilter ref="B8:I148"/>
  <mergeCells count="12">
    <mergeCell ref="F4:G4"/>
    <mergeCell ref="A1:J1"/>
    <mergeCell ref="B5:C5"/>
    <mergeCell ref="F5:G5"/>
    <mergeCell ref="D5:E5"/>
    <mergeCell ref="B3:I3"/>
    <mergeCell ref="H5:I5"/>
    <mergeCell ref="D4:E4"/>
    <mergeCell ref="B150:I150"/>
    <mergeCell ref="H4:I4"/>
    <mergeCell ref="A2:J2"/>
    <mergeCell ref="B4:C4"/>
  </mergeCells>
  <conditionalFormatting sqref="B9:I148">
    <cfRule type="expression" priority="1" dxfId="7" stopIfTrue="0">
      <formula>$H9="EN RETARD"</formula>
    </cfRule>
    <cfRule type="expression" priority="2" dxfId="8" stopIfTrue="0">
      <formula>$H9="À ÉCHOIR SOUS 30 J"</formula>
    </cfRule>
    <cfRule type="expression" priority="3" dxfId="9" stopIfTrue="0">
      <formula>$H9="PAYÉ"</formula>
    </cfRule>
    <cfRule type="expression" priority="4" dxfId="10" stopIfTrue="0">
      <formula>$H9="SANS DATE"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tabColor rgb="00C8A24B"/>
    <outlinePr summaryBelow="1" summaryRight="1"/>
    <pageSetUpPr fitToPage="1"/>
  </sheetPr>
  <dimension ref="A1:H40"/>
  <sheetViews>
    <sheetView showGridLines="0" zoomScale="95" workbookViewId="0">
      <selection activeCell="A1" sqref="A1"/>
    </sheetView>
  </sheetViews>
  <sheetFormatPr baseColWidth="8" defaultRowHeight="15"/>
  <cols>
    <col width="2.6" customWidth="1" min="1" max="1"/>
    <col width="32" customWidth="1" min="2" max="2"/>
    <col width="16" customWidth="1" min="3" max="3"/>
    <col width="16" customWidth="1" min="4" max="4"/>
    <col width="16" customWidth="1" min="5" max="5"/>
    <col width="14" customWidth="1" min="6" max="6"/>
    <col width="40" customWidth="1" min="7" max="7"/>
    <col width="2.6" customWidth="1" min="8" max="8"/>
  </cols>
  <sheetData>
    <row r="1" ht="38" customHeight="1">
      <c r="A1" s="23" t="inlineStr">
        <is>
          <t>CHARGES FIXES ET SALAIRES</t>
        </is>
      </c>
    </row>
    <row r="2" ht="18" customHeight="1">
      <c r="A2" s="24" t="inlineStr">
        <is>
          <t>Ce que le mois devait coûter, ce qu'il a réellement coûté</t>
        </is>
      </c>
    </row>
    <row r="4" ht="23" customHeight="1">
      <c r="B4" s="21" t="inlineStr">
        <is>
          <t>CHARGES FIXES DU MOIS</t>
        </is>
      </c>
    </row>
    <row r="5" ht="26" customHeight="1">
      <c r="B5" s="32" t="inlineStr">
        <is>
          <t>POSTE</t>
        </is>
      </c>
      <c r="C5" s="32" t="inlineStr">
        <is>
          <t>BUDGET DU MOIS</t>
        </is>
      </c>
      <c r="D5" s="32" t="inlineStr">
        <is>
          <t>RÉALISÉ</t>
        </is>
      </c>
      <c r="E5" s="32" t="inlineStr">
        <is>
          <t>ÉCART</t>
        </is>
      </c>
      <c r="F5" s="32" t="inlineStr">
        <is>
          <t>% DU BUDGET</t>
        </is>
      </c>
    </row>
    <row r="6" ht="17" customHeight="1">
      <c r="B6" s="25" t="inlineStr">
        <is>
          <t>LOYER DU LOCAL</t>
        </is>
      </c>
      <c r="C6" s="30" t="n">
        <v>2500</v>
      </c>
      <c r="D6" s="76">
        <f>'01'!$M$8+'02'!$M$8+'03'!$M$8+'04'!$M$8+'05'!$M$8+'06'!$M$8+'07'!$M$8+'08'!$M$8+'09'!$M$8+'10'!$M$8+'11'!$M$8+'12'!$M$8+'13'!$M$8+'14'!$M$8+'15'!$M$8+'16'!$M$8+'17'!$M$8+'18'!$M$8+'19'!$M$8+'20'!$M$8+'21'!$M$8+'22'!$M$8+'23'!$M$8+'24'!$M$8+'25'!$M$8+'26'!$M$8+'27'!$M$8+'28'!$M$8+'29'!$M$8+'30'!$M$8+'31'!$M$8</f>
        <v/>
      </c>
      <c r="E6" s="39">
        <f>C6-D6</f>
        <v/>
      </c>
      <c r="F6" s="77">
        <f>IF(C6=0,0,D6/C6)</f>
        <v/>
      </c>
    </row>
    <row r="7" ht="17" customHeight="1">
      <c r="B7" s="78" t="inlineStr">
        <is>
          <t>EAU + ÉLECTRICITÉ</t>
        </is>
      </c>
      <c r="C7" s="30" t="n">
        <v>1200</v>
      </c>
      <c r="D7" s="60">
        <f>'01'!$M$9+'02'!$M$9+'03'!$M$9+'04'!$M$9+'05'!$M$9+'06'!$M$9+'07'!$M$9+'08'!$M$9+'09'!$M$9+'10'!$M$9+'11'!$M$9+'12'!$M$9+'13'!$M$9+'14'!$M$9+'15'!$M$9+'16'!$M$9+'17'!$M$9+'18'!$M$9+'19'!$M$9+'20'!$M$9+'21'!$M$9+'22'!$M$9+'23'!$M$9+'24'!$M$9+'25'!$M$9+'26'!$M$9+'27'!$M$9+'28'!$M$9+'29'!$M$9+'30'!$M$9+'31'!$M$9</f>
        <v/>
      </c>
      <c r="E7" s="35">
        <f>C7-D7</f>
        <v/>
      </c>
      <c r="F7" s="79">
        <f>IF(C7=0,0,D7/C7)</f>
        <v/>
      </c>
    </row>
    <row r="8" ht="17" customHeight="1">
      <c r="B8" s="25" t="inlineStr">
        <is>
          <t>TÉLÉPHONE &amp; INTERNET</t>
        </is>
      </c>
      <c r="C8" s="30" t="n">
        <v>500</v>
      </c>
      <c r="D8" s="76">
        <f>'01'!$M$10+'02'!$M$10+'03'!$M$10+'04'!$M$10+'05'!$M$10+'06'!$M$10+'07'!$M$10+'08'!$M$10+'09'!$M$10+'10'!$M$10+'11'!$M$10+'12'!$M$10+'13'!$M$10+'14'!$M$10+'15'!$M$10+'16'!$M$10+'17'!$M$10+'18'!$M$10+'19'!$M$10+'20'!$M$10+'21'!$M$10+'22'!$M$10+'23'!$M$10+'24'!$M$10+'25'!$M$10+'26'!$M$10+'27'!$M$10+'28'!$M$10+'29'!$M$10+'30'!$M$10+'31'!$M$10</f>
        <v/>
      </c>
      <c r="E8" s="39">
        <f>C8-D8</f>
        <v/>
      </c>
      <c r="F8" s="77">
        <f>IF(C8=0,0,D8/C8)</f>
        <v/>
      </c>
    </row>
    <row r="9" ht="17" customHeight="1">
      <c r="B9" s="78" t="inlineStr">
        <is>
          <t>CNSS</t>
        </is>
      </c>
      <c r="C9" s="30" t="n">
        <v>4503</v>
      </c>
      <c r="D9" s="60">
        <f>'01'!$M$11+'02'!$M$11+'03'!$M$11+'04'!$M$11+'05'!$M$11+'06'!$M$11+'07'!$M$11+'08'!$M$11+'09'!$M$11+'10'!$M$11+'11'!$M$11+'12'!$M$11+'13'!$M$11+'14'!$M$11+'15'!$M$11+'16'!$M$11+'17'!$M$11+'18'!$M$11+'19'!$M$11+'20'!$M$11+'21'!$M$11+'22'!$M$11+'23'!$M$11+'24'!$M$11+'25'!$M$11+'26'!$M$11+'27'!$M$11+'28'!$M$11+'29'!$M$11+'30'!$M$11+'31'!$M$11</f>
        <v/>
      </c>
      <c r="E9" s="35">
        <f>C9-D9</f>
        <v/>
      </c>
      <c r="F9" s="79">
        <f>IF(C9=0,0,D9/C9)</f>
        <v/>
      </c>
    </row>
    <row r="10" ht="17" customHeight="1">
      <c r="B10" s="25" t="inlineStr">
        <is>
          <t>TVA &amp; IMPÔTS</t>
        </is>
      </c>
      <c r="C10" s="30" t="n">
        <v>6000</v>
      </c>
      <c r="D10" s="76">
        <f>'01'!$M$12+'02'!$M$12+'03'!$M$12+'04'!$M$12+'05'!$M$12+'06'!$M$12+'07'!$M$12+'08'!$M$12+'09'!$M$12+'10'!$M$12+'11'!$M$12+'12'!$M$12+'13'!$M$12+'14'!$M$12+'15'!$M$12+'16'!$M$12+'17'!$M$12+'18'!$M$12+'19'!$M$12+'20'!$M$12+'21'!$M$12+'22'!$M$12+'23'!$M$12+'24'!$M$12+'25'!$M$12+'26'!$M$12+'27'!$M$12+'28'!$M$12+'29'!$M$12+'30'!$M$12+'31'!$M$12</f>
        <v/>
      </c>
      <c r="E10" s="39">
        <f>C10-D10</f>
        <v/>
      </c>
      <c r="F10" s="77">
        <f>IF(C10=0,0,D10/C10)</f>
        <v/>
      </c>
    </row>
    <row r="11" ht="17" customHeight="1">
      <c r="B11" s="78" t="inlineStr">
        <is>
          <t>ASSURANCES</t>
        </is>
      </c>
      <c r="C11" s="30" t="n">
        <v>1000</v>
      </c>
      <c r="D11" s="60">
        <f>'01'!$M$13+'02'!$M$13+'03'!$M$13+'04'!$M$13+'05'!$M$13+'06'!$M$13+'07'!$M$13+'08'!$M$13+'09'!$M$13+'10'!$M$13+'11'!$M$13+'12'!$M$13+'13'!$M$13+'14'!$M$13+'15'!$M$13+'16'!$M$13+'17'!$M$13+'18'!$M$13+'19'!$M$13+'20'!$M$13+'21'!$M$13+'22'!$M$13+'23'!$M$13+'24'!$M$13+'25'!$M$13+'26'!$M$13+'27'!$M$13+'28'!$M$13+'29'!$M$13+'30'!$M$13+'31'!$M$13</f>
        <v/>
      </c>
      <c r="E11" s="35">
        <f>C11-D11</f>
        <v/>
      </c>
      <c r="F11" s="79">
        <f>IF(C11=0,0,D11/C11)</f>
        <v/>
      </c>
    </row>
    <row r="12" ht="17" customHeight="1">
      <c r="B12" s="25" t="inlineStr">
        <is>
          <t>COMPTABLE &amp; HONORAIRES</t>
        </is>
      </c>
      <c r="C12" s="30" t="n">
        <v>700</v>
      </c>
      <c r="D12" s="76">
        <f>'01'!$M$14+'02'!$M$14+'03'!$M$14+'04'!$M$14+'05'!$M$14+'06'!$M$14+'07'!$M$14+'08'!$M$14+'09'!$M$14+'10'!$M$14+'11'!$M$14+'12'!$M$14+'13'!$M$14+'14'!$M$14+'15'!$M$14+'16'!$M$14+'17'!$M$14+'18'!$M$14+'19'!$M$14+'20'!$M$14+'21'!$M$14+'22'!$M$14+'23'!$M$14+'24'!$M$14+'25'!$M$14+'26'!$M$14+'27'!$M$14+'28'!$M$14+'29'!$M$14+'30'!$M$14+'31'!$M$14</f>
        <v/>
      </c>
      <c r="E12" s="39">
        <f>C12-D12</f>
        <v/>
      </c>
      <c r="F12" s="77">
        <f>IF(C12=0,0,D12/C12)</f>
        <v/>
      </c>
    </row>
    <row r="13" ht="17" customHeight="1">
      <c r="B13" s="78" t="inlineStr">
        <is>
          <t>CARBURANT &amp; VÉHICULE</t>
        </is>
      </c>
      <c r="C13" s="30" t="n">
        <v>2400</v>
      </c>
      <c r="D13" s="60">
        <f>'01'!$M$15+'02'!$M$15+'03'!$M$15+'04'!$M$15+'05'!$M$15+'06'!$M$15+'07'!$M$15+'08'!$M$15+'09'!$M$15+'10'!$M$15+'11'!$M$15+'12'!$M$15+'13'!$M$15+'14'!$M$15+'15'!$M$15+'16'!$M$15+'17'!$M$15+'18'!$M$15+'19'!$M$15+'20'!$M$15+'21'!$M$15+'22'!$M$15+'23'!$M$15+'24'!$M$15+'25'!$M$15+'26'!$M$15+'27'!$M$15+'28'!$M$15+'29'!$M$15+'30'!$M$15+'31'!$M$15</f>
        <v/>
      </c>
      <c r="E13" s="35">
        <f>C13-D13</f>
        <v/>
      </c>
      <c r="F13" s="79">
        <f>IF(C13=0,0,D13/C13)</f>
        <v/>
      </c>
    </row>
    <row r="14" ht="17" customHeight="1">
      <c r="B14" s="25" t="inlineStr">
        <is>
          <t>TRANSPORT &amp; LIVRAISON</t>
        </is>
      </c>
      <c r="C14" s="30" t="n">
        <v>1500</v>
      </c>
      <c r="D14" s="76">
        <f>'01'!$M$16+'02'!$M$16+'03'!$M$16+'04'!$M$16+'05'!$M$16+'06'!$M$16+'07'!$M$16+'08'!$M$16+'09'!$M$16+'10'!$M$16+'11'!$M$16+'12'!$M$16+'13'!$M$16+'14'!$M$16+'15'!$M$16+'16'!$M$16+'17'!$M$16+'18'!$M$16+'19'!$M$16+'20'!$M$16+'21'!$M$16+'22'!$M$16+'23'!$M$16+'24'!$M$16+'25'!$M$16+'26'!$M$16+'27'!$M$16+'28'!$M$16+'29'!$M$16+'30'!$M$16+'31'!$M$16</f>
        <v/>
      </c>
      <c r="E14" s="39">
        <f>C14-D14</f>
        <v/>
      </c>
      <c r="F14" s="77">
        <f>IF(C14=0,0,D14/C14)</f>
        <v/>
      </c>
    </row>
    <row r="15" ht="17" customHeight="1">
      <c r="B15" s="78" t="inlineStr">
        <is>
          <t>ENTRETIEN &amp; RÉPARATION</t>
        </is>
      </c>
      <c r="C15" s="30" t="n">
        <v>800</v>
      </c>
      <c r="D15" s="60">
        <f>'01'!$M$17+'02'!$M$17+'03'!$M$17+'04'!$M$17+'05'!$M$17+'06'!$M$17+'07'!$M$17+'08'!$M$17+'09'!$M$17+'10'!$M$17+'11'!$M$17+'12'!$M$17+'13'!$M$17+'14'!$M$17+'15'!$M$17+'16'!$M$17+'17'!$M$17+'18'!$M$17+'19'!$M$17+'20'!$M$17+'21'!$M$17+'22'!$M$17+'23'!$M$17+'24'!$M$17+'25'!$M$17+'26'!$M$17+'27'!$M$17+'28'!$M$17+'29'!$M$17+'30'!$M$17+'31'!$M$17</f>
        <v/>
      </c>
      <c r="E15" s="35">
        <f>C15-D15</f>
        <v/>
      </c>
      <c r="F15" s="79">
        <f>IF(C15=0,0,D15/C15)</f>
        <v/>
      </c>
    </row>
    <row r="16" ht="17" customHeight="1">
      <c r="B16" s="25" t="inlineStr">
        <is>
          <t>FOURNITURES DE BUREAU</t>
        </is>
      </c>
      <c r="C16" s="30" t="n">
        <v>300</v>
      </c>
      <c r="D16" s="76">
        <f>'01'!$M$18+'02'!$M$18+'03'!$M$18+'04'!$M$18+'05'!$M$18+'06'!$M$18+'07'!$M$18+'08'!$M$18+'09'!$M$18+'10'!$M$18+'11'!$M$18+'12'!$M$18+'13'!$M$18+'14'!$M$18+'15'!$M$18+'16'!$M$18+'17'!$M$18+'18'!$M$18+'19'!$M$18+'20'!$M$18+'21'!$M$18+'22'!$M$18+'23'!$M$18+'24'!$M$18+'25'!$M$18+'26'!$M$18+'27'!$M$18+'28'!$M$18+'29'!$M$18+'30'!$M$18+'31'!$M$18</f>
        <v/>
      </c>
      <c r="E16" s="39">
        <f>C16-D16</f>
        <v/>
      </c>
      <c r="F16" s="77">
        <f>IF(C16=0,0,D16/C16)</f>
        <v/>
      </c>
    </row>
    <row r="17" ht="17" customHeight="1">
      <c r="B17" s="78" t="inlineStr">
        <is>
          <t>AUTRE CHARGE FIXE</t>
        </is>
      </c>
      <c r="C17" s="30" t="n">
        <v>0</v>
      </c>
      <c r="D17" s="60">
        <f>'01'!$M$19+'02'!$M$19+'03'!$M$19+'04'!$M$19+'05'!$M$19+'06'!$M$19+'07'!$M$19+'08'!$M$19+'09'!$M$19+'10'!$M$19+'11'!$M$19+'12'!$M$19+'13'!$M$19+'14'!$M$19+'15'!$M$19+'16'!$M$19+'17'!$M$19+'18'!$M$19+'19'!$M$19+'20'!$M$19+'21'!$M$19+'22'!$M$19+'23'!$M$19+'24'!$M$19+'25'!$M$19+'26'!$M$19+'27'!$M$19+'28'!$M$19+'29'!$M$19+'30'!$M$19+'31'!$M$19</f>
        <v/>
      </c>
      <c r="E17" s="35">
        <f>C17-D17</f>
        <v/>
      </c>
      <c r="F17" s="79">
        <f>IF(C17=0,0,D17/C17)</f>
        <v/>
      </c>
    </row>
    <row r="18" ht="23" customHeight="1">
      <c r="B18" s="41" t="inlineStr">
        <is>
          <t>TOTAL</t>
        </is>
      </c>
      <c r="C18" s="43">
        <f>SUM(C6:C17)</f>
        <v/>
      </c>
      <c r="D18" s="43">
        <f>SUM(D6:D17)</f>
        <v/>
      </c>
      <c r="E18" s="43">
        <f>SUM(E6:E17)</f>
        <v/>
      </c>
      <c r="F18" s="80">
        <f>IF(C18=0,0,D18/C18)</f>
        <v/>
      </c>
    </row>
    <row r="20" ht="23" customHeight="1">
      <c r="B20" s="21" t="inlineStr">
        <is>
          <t>SALAIRES ET AVANCES</t>
        </is>
      </c>
    </row>
    <row r="21" ht="26" customHeight="1">
      <c r="B21" s="32" t="inlineStr">
        <is>
          <t>POSTE</t>
        </is>
      </c>
      <c r="C21" s="32" t="inlineStr">
        <is>
          <t>BUDGET DU MOIS</t>
        </is>
      </c>
      <c r="D21" s="32" t="inlineStr">
        <is>
          <t>RÉALISÉ</t>
        </is>
      </c>
      <c r="E21" s="32" t="inlineStr">
        <is>
          <t>ÉCART</t>
        </is>
      </c>
      <c r="F21" s="32" t="inlineStr">
        <is>
          <t>% DU BUDGET</t>
        </is>
      </c>
    </row>
    <row r="22" ht="17" customHeight="1">
      <c r="B22" s="25" t="inlineStr">
        <is>
          <t>HOUSSEIN</t>
        </is>
      </c>
      <c r="C22" s="30" t="n">
        <v>8000</v>
      </c>
      <c r="D22" s="76">
        <f>'01'!$M$24+'02'!$M$24+'03'!$M$24+'04'!$M$24+'05'!$M$24+'06'!$M$24+'07'!$M$24+'08'!$M$24+'09'!$M$24+'10'!$M$24+'11'!$M$24+'12'!$M$24+'13'!$M$24+'14'!$M$24+'15'!$M$24+'16'!$M$24+'17'!$M$24+'18'!$M$24+'19'!$M$24+'20'!$M$24+'21'!$M$24+'22'!$M$24+'23'!$M$24+'24'!$M$24+'25'!$M$24+'26'!$M$24+'27'!$M$24+'28'!$M$24+'29'!$M$24+'30'!$M$24+'31'!$M$24</f>
        <v/>
      </c>
      <c r="E22" s="39">
        <f>C22-D22</f>
        <v/>
      </c>
      <c r="F22" s="77">
        <f>IF(C22=0,0,D22/C22)</f>
        <v/>
      </c>
    </row>
    <row r="23" ht="17" customHeight="1">
      <c r="B23" s="78" t="inlineStr">
        <is>
          <t>AYOUB</t>
        </is>
      </c>
      <c r="C23" s="30" t="n">
        <v>5000</v>
      </c>
      <c r="D23" s="60">
        <f>'01'!$M$25+'02'!$M$25+'03'!$M$25+'04'!$M$25+'05'!$M$25+'06'!$M$25+'07'!$M$25+'08'!$M$25+'09'!$M$25+'10'!$M$25+'11'!$M$25+'12'!$M$25+'13'!$M$25+'14'!$M$25+'15'!$M$25+'16'!$M$25+'17'!$M$25+'18'!$M$25+'19'!$M$25+'20'!$M$25+'21'!$M$25+'22'!$M$25+'23'!$M$25+'24'!$M$25+'25'!$M$25+'26'!$M$25+'27'!$M$25+'28'!$M$25+'29'!$M$25+'30'!$M$25+'31'!$M$25</f>
        <v/>
      </c>
      <c r="E23" s="35">
        <f>C23-D23</f>
        <v/>
      </c>
      <c r="F23" s="79">
        <f>IF(C23=0,0,D23/C23)</f>
        <v/>
      </c>
    </row>
    <row r="24" ht="17" customHeight="1">
      <c r="B24" s="25" t="inlineStr">
        <is>
          <t>OUVRIER 1</t>
        </is>
      </c>
      <c r="C24" s="30" t="n">
        <v>0</v>
      </c>
      <c r="D24" s="76">
        <f>'01'!$M$26+'02'!$M$26+'03'!$M$26+'04'!$M$26+'05'!$M$26+'06'!$M$26+'07'!$M$26+'08'!$M$26+'09'!$M$26+'10'!$M$26+'11'!$M$26+'12'!$M$26+'13'!$M$26+'14'!$M$26+'15'!$M$26+'16'!$M$26+'17'!$M$26+'18'!$M$26+'19'!$M$26+'20'!$M$26+'21'!$M$26+'22'!$M$26+'23'!$M$26+'24'!$M$26+'25'!$M$26+'26'!$M$26+'27'!$M$26+'28'!$M$26+'29'!$M$26+'30'!$M$26+'31'!$M$26</f>
        <v/>
      </c>
      <c r="E24" s="39">
        <f>C24-D24</f>
        <v/>
      </c>
      <c r="F24" s="77">
        <f>IF(C24=0,0,D24/C24)</f>
        <v/>
      </c>
    </row>
    <row r="25" ht="17" customHeight="1">
      <c r="B25" s="78" t="inlineStr">
        <is>
          <t>OUVRIER 2</t>
        </is>
      </c>
      <c r="C25" s="30" t="n">
        <v>0</v>
      </c>
      <c r="D25" s="60">
        <f>'01'!$M$27+'02'!$M$27+'03'!$M$27+'04'!$M$27+'05'!$M$27+'06'!$M$27+'07'!$M$27+'08'!$M$27+'09'!$M$27+'10'!$M$27+'11'!$M$27+'12'!$M$27+'13'!$M$27+'14'!$M$27+'15'!$M$27+'16'!$M$27+'17'!$M$27+'18'!$M$27+'19'!$M$27+'20'!$M$27+'21'!$M$27+'22'!$M$27+'23'!$M$27+'24'!$M$27+'25'!$M$27+'26'!$M$27+'27'!$M$27+'28'!$M$27+'29'!$M$27+'30'!$M$27+'31'!$M$27</f>
        <v/>
      </c>
      <c r="E25" s="35">
        <f>C25-D25</f>
        <v/>
      </c>
      <c r="F25" s="79">
        <f>IF(C25=0,0,D25/C25)</f>
        <v/>
      </c>
    </row>
    <row r="26" ht="17" customHeight="1">
      <c r="B26" s="25" t="inlineStr">
        <is>
          <t>AVANCE / PRIME</t>
        </is>
      </c>
      <c r="C26" s="30" t="n">
        <v>0</v>
      </c>
      <c r="D26" s="76">
        <f>'01'!$M$28+'02'!$M$28+'03'!$M$28+'04'!$M$28+'05'!$M$28+'06'!$M$28+'07'!$M$28+'08'!$M$28+'09'!$M$28+'10'!$M$28+'11'!$M$28+'12'!$M$28+'13'!$M$28+'14'!$M$28+'15'!$M$28+'16'!$M$28+'17'!$M$28+'18'!$M$28+'19'!$M$28+'20'!$M$28+'21'!$M$28+'22'!$M$28+'23'!$M$28+'24'!$M$28+'25'!$M$28+'26'!$M$28+'27'!$M$28+'28'!$M$28+'29'!$M$28+'30'!$M$28+'31'!$M$28</f>
        <v/>
      </c>
      <c r="E26" s="39">
        <f>C26-D26</f>
        <v/>
      </c>
      <c r="F26" s="77">
        <f>IF(C26=0,0,D26/C26)</f>
        <v/>
      </c>
    </row>
    <row r="27" ht="17" customHeight="1">
      <c r="B27" s="78" t="inlineStr">
        <is>
          <t>AUTRE SALAIRE</t>
        </is>
      </c>
      <c r="C27" s="30" t="n">
        <v>0</v>
      </c>
      <c r="D27" s="60">
        <f>'01'!$M$29+'02'!$M$29+'03'!$M$29+'04'!$M$29+'05'!$M$29+'06'!$M$29+'07'!$M$29+'08'!$M$29+'09'!$M$29+'10'!$M$29+'11'!$M$29+'12'!$M$29+'13'!$M$29+'14'!$M$29+'15'!$M$29+'16'!$M$29+'17'!$M$29+'18'!$M$29+'19'!$M$29+'20'!$M$29+'21'!$M$29+'22'!$M$29+'23'!$M$29+'24'!$M$29+'25'!$M$29+'26'!$M$29+'27'!$M$29+'28'!$M$29+'29'!$M$29+'30'!$M$29+'31'!$M$29</f>
        <v/>
      </c>
      <c r="E27" s="35">
        <f>C27-D27</f>
        <v/>
      </c>
      <c r="F27" s="79">
        <f>IF(C27=0,0,D27/C27)</f>
        <v/>
      </c>
    </row>
    <row r="28" ht="23" customHeight="1">
      <c r="B28" s="41" t="inlineStr">
        <is>
          <t>TOTAL</t>
        </is>
      </c>
      <c r="C28" s="43">
        <f>SUM(C22:C27)</f>
        <v/>
      </c>
      <c r="D28" s="43">
        <f>SUM(D22:D27)</f>
        <v/>
      </c>
      <c r="E28" s="43">
        <f>SUM(E22:E27)</f>
        <v/>
      </c>
      <c r="F28" s="80">
        <f>IF(C28=0,0,D28/C28)</f>
        <v/>
      </c>
    </row>
    <row r="30" ht="23" customHeight="1">
      <c r="B30" s="65" t="inlineStr">
        <is>
          <t>LE MOIS EN UN COUP D'ŒIL</t>
        </is>
      </c>
    </row>
    <row r="31" ht="19" customHeight="1">
      <c r="B31" s="52" t="inlineStr">
        <is>
          <t>Charges fixes réalisées</t>
        </is>
      </c>
      <c r="C31" s="26" t="n"/>
      <c r="D31" s="26" t="n"/>
      <c r="E31" s="26" t="n"/>
      <c r="F31" s="35">
        <f>D18</f>
        <v/>
      </c>
    </row>
    <row r="32" ht="19" customHeight="1">
      <c r="B32" s="52" t="inlineStr">
        <is>
          <t>Salaires et avances</t>
        </is>
      </c>
      <c r="C32" s="26" t="n"/>
      <c r="D32" s="26" t="n"/>
      <c r="E32" s="26" t="n"/>
      <c r="F32" s="35">
        <f>D28</f>
        <v/>
      </c>
    </row>
    <row r="33" ht="19" customHeight="1">
      <c r="B33" s="52" t="inlineStr">
        <is>
          <t>Dépenses travaux et divers</t>
        </is>
      </c>
      <c r="C33" s="26" t="n"/>
      <c r="D33" s="26" t="n"/>
      <c r="E33" s="26" t="n"/>
      <c r="F33" s="35">
        <f>'01'!$M$44+'02'!$M$44+'03'!$M$44+'04'!$M$44+'05'!$M$44+'06'!$M$44+'07'!$M$44+'08'!$M$44+'09'!$M$44+'10'!$M$44+'11'!$M$44+'12'!$M$44+'13'!$M$44+'14'!$M$44+'15'!$M$44+'16'!$M$44+'17'!$M$44+'18'!$M$44+'19'!$M$44+'20'!$M$44+'21'!$M$44+'22'!$M$44+'23'!$M$44+'24'!$M$44+'25'!$M$44+'26'!$M$44+'27'!$M$44+'28'!$M$44+'29'!$M$44+'30'!$M$44+'31'!$M$44</f>
        <v/>
      </c>
    </row>
    <row r="34" ht="19" customHeight="1">
      <c r="B34" s="88" t="inlineStr">
        <is>
          <t>CHARGES DE STRUCTURE DU MOIS</t>
        </is>
      </c>
      <c r="C34" s="89" t="n"/>
      <c r="D34" s="89" t="n"/>
      <c r="E34" s="89" t="n"/>
      <c r="F34" s="90">
        <f>D18+D28+'01'!$M$44+'02'!$M$44+'03'!$M$44+'04'!$M$44+'05'!$M$44+'06'!$M$44+'07'!$M$44+'08'!$M$44+'09'!$M$44+'10'!$M$44+'11'!$M$44+'12'!$M$44+'13'!$M$44+'14'!$M$44+'15'!$M$44+'16'!$M$44+'17'!$M$44+'18'!$M$44+'19'!$M$44+'20'!$M$44+'21'!$M$44+'22'!$M$44+'23'!$M$44+'24'!$M$44+'25'!$M$44+'26'!$M$44+'27'!$M$44+'28'!$M$44+'29'!$M$44+'30'!$M$44+'31'!$M$44</f>
        <v/>
      </c>
    </row>
    <row r="35" ht="19" customHeight="1">
      <c r="B35" s="52" t="inlineStr">
        <is>
          <t>Achats fournisseurs réglés</t>
        </is>
      </c>
      <c r="C35" s="26" t="n"/>
      <c r="D35" s="26" t="n"/>
      <c r="E35" s="26" t="n"/>
      <c r="F35" s="35">
        <f>'01'!$E$28+'02'!$E$28+'03'!$E$28+'04'!$E$28+'05'!$E$28+'06'!$E$28+'07'!$E$28+'08'!$E$28+'09'!$E$28+'10'!$E$28+'11'!$E$28+'12'!$E$28+'13'!$E$28+'14'!$E$28+'15'!$E$28+'16'!$E$28+'17'!$E$28+'18'!$E$28+'19'!$E$28+'20'!$E$28+'21'!$E$28+'22'!$E$28+'23'!$E$28+'24'!$E$28+'25'!$E$28+'26'!$E$28+'27'!$E$28+'28'!$E$28+'29'!$E$28+'30'!$E$28+'31'!$E$28+'01'!$F$28+'02'!$F$28+'03'!$F$28+'04'!$F$28+'05'!$F$28+'06'!$F$28+'07'!$F$28+'08'!$F$28+'09'!$F$28+'10'!$F$28+'11'!$F$28+'12'!$F$28+'13'!$F$28+'14'!$F$28+'15'!$F$28+'16'!$F$28+'17'!$F$28+'18'!$F$28+'19'!$F$28+'20'!$F$28+'21'!$F$28+'22'!$F$28+'23'!$F$28+'24'!$F$28+'25'!$F$28+'26'!$F$28+'27'!$F$28+'28'!$F$28+'29'!$F$28+'30'!$F$28+'31'!$F$28+'01'!$H$28+'02'!$H$28+'03'!$H$28+'04'!$H$28+'05'!$H$28+'06'!$H$28+'07'!$H$28+'08'!$H$28+'09'!$H$28+'10'!$H$28+'11'!$H$28+'12'!$H$28+'13'!$H$28+'14'!$H$28+'15'!$H$28+'16'!$H$28+'17'!$H$28+'18'!$H$28+'19'!$H$28+'20'!$H$28+'21'!$H$28+'22'!$H$28+'23'!$H$28+'24'!$H$28+'25'!$H$28+'26'!$H$28+'27'!$H$28+'28'!$H$28+'29'!$H$28+'30'!$H$28+'31'!$H$28</f>
        <v/>
      </c>
    </row>
    <row r="36" ht="19" customHeight="1">
      <c r="B36" s="88" t="inlineStr">
        <is>
          <t>TOTAL DES SORTIES DU MOIS</t>
        </is>
      </c>
      <c r="C36" s="89" t="n"/>
      <c r="D36" s="89" t="n"/>
      <c r="E36" s="89" t="n"/>
      <c r="F36" s="90">
        <f>'RÉCAP DU JOURNAL'!$L$43</f>
        <v/>
      </c>
    </row>
    <row r="37" ht="19" customHeight="1">
      <c r="B37" s="52" t="inlineStr">
        <is>
          <t>Encaissements du mois</t>
        </is>
      </c>
      <c r="C37" s="26" t="n"/>
      <c r="D37" s="26" t="n"/>
      <c r="E37" s="26" t="n"/>
      <c r="F37" s="91">
        <f>'RÉCAP DU JOURNAL'!$M$43</f>
        <v/>
      </c>
    </row>
    <row r="38" ht="19" customHeight="1">
      <c r="B38" s="88" t="inlineStr">
        <is>
          <t>RÉSULTAT DE TRÉSORERIE DU MOIS</t>
        </is>
      </c>
      <c r="C38" s="89" t="n"/>
      <c r="D38" s="89" t="n"/>
      <c r="E38" s="89" t="n"/>
      <c r="F38" s="90">
        <f>'RÉCAP DU JOURNAL'!$M$43-'RÉCAP DU JOURNAL'!$L$43</f>
        <v/>
      </c>
    </row>
    <row r="40" ht="30" customHeight="1">
      <c r="B40" s="22" t="inlineStr">
        <is>
          <t>Le budget est une colonne à vous : ajustez-le une fois pour toutes, il sert de repère tous les mois. Un poste dépassé se colore en rouge de lui-même.</t>
        </is>
      </c>
    </row>
  </sheetData>
  <mergeCells count="14">
    <mergeCell ref="B4:F4"/>
    <mergeCell ref="B30:F30"/>
    <mergeCell ref="B33:D33"/>
    <mergeCell ref="B36:D36"/>
    <mergeCell ref="B37:D37"/>
    <mergeCell ref="B31:D31"/>
    <mergeCell ref="B20:F20"/>
    <mergeCell ref="A2:H2"/>
    <mergeCell ref="B32:D32"/>
    <mergeCell ref="B35:D35"/>
    <mergeCell ref="A1:H1"/>
    <mergeCell ref="B40:F40"/>
    <mergeCell ref="B38:D38"/>
    <mergeCell ref="B34:D34"/>
  </mergeCells>
  <conditionalFormatting sqref="D6:D17">
    <cfRule type="expression" priority="1" dxfId="1">
      <formula>AND($C6&gt;0,$D6&gt;$C6)</formula>
    </cfRule>
  </conditionalFormatting>
  <conditionalFormatting sqref="D22:D27">
    <cfRule type="expression" priority="2" dxfId="1">
      <formula>AND($C22&gt;0,$D22&gt;$C22)</formula>
    </cfRule>
  </conditionalFormatting>
  <conditionalFormatting sqref="F38">
    <cfRule type="cellIs" priority="3" operator="lessThan" dxfId="1">
      <formula>0</formula>
    </cfRule>
  </conditionalFormatting>
  <printOptions horizontalCentered="1"/>
  <pageMargins left="0.75" right="0.75" top="1" bottom="1" header="0.5" footer="0.5"/>
  <pageSetup orientation="portrait" fitToHeight="0" fitToWidth="1"/>
</worksheet>
</file>

<file path=xl/worksheets/sheet37.xml><?xml version="1.0" encoding="utf-8"?>
<worksheet xmlns="http://schemas.openxmlformats.org/spreadsheetml/2006/main">
  <sheetPr>
    <tabColor rgb="003B5C8F"/>
    <outlinePr summaryBelow="1" summaryRight="1"/>
    <pageSetUpPr fitToPage="1"/>
  </sheetPr>
  <dimension ref="A1:K28"/>
  <sheetViews>
    <sheetView showGridLines="0" zoomScale="95" workbookViewId="0">
      <selection activeCell="A1" sqref="A1"/>
    </sheetView>
  </sheetViews>
  <sheetFormatPr baseColWidth="8" defaultRowHeight="15"/>
  <cols>
    <col width="2.6" customWidth="1" min="1" max="1"/>
    <col width="16" customWidth="1" min="2" max="2"/>
    <col width="16" customWidth="1" min="3" max="3"/>
    <col width="15" customWidth="1" min="4" max="4"/>
    <col width="13" customWidth="1" min="5" max="5"/>
    <col width="15" customWidth="1" min="6" max="6"/>
    <col width="16" customWidth="1" min="7" max="7"/>
    <col width="16" customWidth="1" min="8" max="8"/>
    <col width="16" customWidth="1" min="9" max="9"/>
    <col width="14" customWidth="1" min="10" max="10"/>
    <col width="2.6" customWidth="1" min="11" max="11"/>
  </cols>
  <sheetData>
    <row r="1" ht="38" customHeight="1">
      <c r="A1" s="23" t="inlineStr">
        <is>
          <t>SUIVI MENSUEL  —  2026</t>
        </is>
      </c>
    </row>
    <row r="2" ht="18" customHeight="1">
      <c r="A2" s="24" t="inlineStr">
        <is>
          <t>Un classeur par mois ; cette page rassemble l'année. Le mois en cours se remplit tout seul.</t>
        </is>
      </c>
    </row>
    <row r="4" ht="23" customHeight="1">
      <c r="B4" s="21" t="inlineStr">
        <is>
          <t>L'ANNÉE 2026 MOIS PAR MOIS</t>
        </is>
      </c>
    </row>
    <row r="5" ht="34" customHeight="1">
      <c r="B5" s="32" t="inlineStr">
        <is>
          <t>MOIS</t>
        </is>
      </c>
      <c r="C5" s="32" t="inlineStr">
        <is>
          <t>ACHATS
FOURNISSEURS</t>
        </is>
      </c>
      <c r="D5" s="32" t="inlineStr">
        <is>
          <t>CHARGES
FIXES</t>
        </is>
      </c>
      <c r="E5" s="32" t="inlineStr">
        <is>
          <t>SALAIRES</t>
        </is>
      </c>
      <c r="F5" s="32" t="inlineStr">
        <is>
          <t>DÉPENSES
&amp; TRAVAUX</t>
        </is>
      </c>
      <c r="G5" s="32" t="inlineStr">
        <is>
          <t>TOTAL DES
SORTIES</t>
        </is>
      </c>
      <c r="H5" s="32" t="inlineStr">
        <is>
          <t>ENCAISSEMENTS</t>
        </is>
      </c>
      <c r="I5" s="32" t="inlineStr">
        <is>
          <t>CAISSE EN FIN
DE MOIS</t>
        </is>
      </c>
      <c r="J5" s="32" t="inlineStr">
        <is>
          <t>RÉSULTAT DE
TRÉSORERIE</t>
        </is>
      </c>
    </row>
    <row r="6" ht="18" customHeight="1">
      <c r="B6" s="25" t="inlineStr">
        <is>
          <t>Janvier</t>
        </is>
      </c>
      <c r="C6" s="30" t="n"/>
      <c r="D6" s="30" t="n"/>
      <c r="E6" s="30" t="n"/>
      <c r="F6" s="30" t="n"/>
      <c r="G6" s="30" t="n"/>
      <c r="H6" s="30" t="n"/>
      <c r="I6" s="30" t="n"/>
      <c r="J6" s="60">
        <f>H6-G6</f>
        <v/>
      </c>
    </row>
    <row r="7" ht="18" customHeight="1">
      <c r="B7" s="78" t="inlineStr">
        <is>
          <t>Février</t>
        </is>
      </c>
      <c r="C7" s="30" t="n"/>
      <c r="D7" s="30" t="n"/>
      <c r="E7" s="30" t="n"/>
      <c r="F7" s="30" t="n"/>
      <c r="G7" s="30" t="n"/>
      <c r="H7" s="30" t="n"/>
      <c r="I7" s="30" t="n"/>
      <c r="J7" s="60">
        <f>H7-G7</f>
        <v/>
      </c>
    </row>
    <row r="8" ht="18" customHeight="1">
      <c r="B8" s="25" t="inlineStr">
        <is>
          <t>Mars</t>
        </is>
      </c>
      <c r="C8" s="30" t="n"/>
      <c r="D8" s="30" t="n"/>
      <c r="E8" s="30" t="n"/>
      <c r="F8" s="30" t="n"/>
      <c r="G8" s="30" t="n"/>
      <c r="H8" s="30" t="n"/>
      <c r="I8" s="30" t="n"/>
      <c r="J8" s="60">
        <f>H8-G8</f>
        <v/>
      </c>
    </row>
    <row r="9" ht="18" customHeight="1">
      <c r="B9" s="78" t="inlineStr">
        <is>
          <t>Avril</t>
        </is>
      </c>
      <c r="C9" s="30" t="n"/>
      <c r="D9" s="30" t="n"/>
      <c r="E9" s="30" t="n"/>
      <c r="F9" s="30" t="n"/>
      <c r="G9" s="30" t="n"/>
      <c r="H9" s="30" t="n"/>
      <c r="I9" s="30" t="n"/>
      <c r="J9" s="60">
        <f>H9-G9</f>
        <v/>
      </c>
    </row>
    <row r="10" ht="18" customHeight="1">
      <c r="B10" s="25" t="inlineStr">
        <is>
          <t>Mai</t>
        </is>
      </c>
      <c r="C10" s="30" t="n"/>
      <c r="D10" s="30" t="n"/>
      <c r="E10" s="30" t="n"/>
      <c r="F10" s="30" t="n"/>
      <c r="G10" s="30" t="n"/>
      <c r="H10" s="30" t="n"/>
      <c r="I10" s="30" t="n"/>
      <c r="J10" s="60">
        <f>H10-G10</f>
        <v/>
      </c>
    </row>
    <row r="11" ht="18" customHeight="1">
      <c r="B11" s="78" t="inlineStr">
        <is>
          <t>Juin</t>
        </is>
      </c>
      <c r="C11" s="30" t="n"/>
      <c r="D11" s="30" t="n"/>
      <c r="E11" s="30" t="n"/>
      <c r="F11" s="30" t="n"/>
      <c r="G11" s="30" t="n"/>
      <c r="H11" s="30" t="n"/>
      <c r="I11" s="30" t="n"/>
      <c r="J11" s="60">
        <f>H11-G11</f>
        <v/>
      </c>
    </row>
    <row r="12" ht="18" customHeight="1">
      <c r="B12" s="25" t="inlineStr">
        <is>
          <t>Juillet</t>
        </is>
      </c>
      <c r="C12" s="30" t="n"/>
      <c r="D12" s="30" t="n"/>
      <c r="E12" s="30" t="n"/>
      <c r="F12" s="30" t="n"/>
      <c r="G12" s="30" t="n"/>
      <c r="H12" s="30" t="n"/>
      <c r="I12" s="30" t="n"/>
      <c r="J12" s="60">
        <f>H12-G12</f>
        <v/>
      </c>
    </row>
    <row r="13" ht="18" customHeight="1">
      <c r="B13" s="78" t="inlineStr">
        <is>
          <t>Août</t>
        </is>
      </c>
      <c r="C13" s="30" t="n"/>
      <c r="D13" s="30" t="n"/>
      <c r="E13" s="30" t="n"/>
      <c r="F13" s="30" t="n"/>
      <c r="G13" s="30" t="n"/>
      <c r="H13" s="30" t="n"/>
      <c r="I13" s="30" t="n"/>
      <c r="J13" s="60">
        <f>H13-G13</f>
        <v/>
      </c>
    </row>
    <row r="14" ht="18" customHeight="1">
      <c r="B14" s="25" t="inlineStr">
        <is>
          <t>Septembre</t>
        </is>
      </c>
      <c r="C14" s="30" t="n"/>
      <c r="D14" s="30" t="n"/>
      <c r="E14" s="30" t="n"/>
      <c r="F14" s="30" t="n"/>
      <c r="G14" s="30" t="n"/>
      <c r="H14" s="30" t="n"/>
      <c r="I14" s="30" t="n"/>
      <c r="J14" s="60">
        <f>H14-G14</f>
        <v/>
      </c>
    </row>
    <row r="15" ht="18" customHeight="1">
      <c r="B15" s="88" t="inlineStr">
        <is>
          <t>Octobre</t>
        </is>
      </c>
      <c r="C15" s="90">
        <f>'RÉCAP DU JOURNAL'!$D$43</f>
        <v/>
      </c>
      <c r="D15" s="90">
        <f>'RÉCAP DU JOURNAL'!$I$43</f>
        <v/>
      </c>
      <c r="E15" s="90">
        <f>'RÉCAP DU JOURNAL'!$J$43</f>
        <v/>
      </c>
      <c r="F15" s="90">
        <f>'RÉCAP DU JOURNAL'!$K$43</f>
        <v/>
      </c>
      <c r="G15" s="90">
        <f>'RÉCAP DU JOURNAL'!$L$43</f>
        <v/>
      </c>
      <c r="H15" s="90">
        <f>'RÉCAP DU JOURNAL'!$M$43</f>
        <v/>
      </c>
      <c r="I15" s="90">
        <f>'RÉCAP DU JOURNAL'!$P$43</f>
        <v/>
      </c>
      <c r="J15" s="60">
        <f>H15-G15</f>
        <v/>
      </c>
    </row>
    <row r="16" ht="18" customHeight="1">
      <c r="B16" s="25" t="inlineStr">
        <is>
          <t>Novembre</t>
        </is>
      </c>
      <c r="C16" s="30" t="n"/>
      <c r="D16" s="30" t="n"/>
      <c r="E16" s="30" t="n"/>
      <c r="F16" s="30" t="n"/>
      <c r="G16" s="30" t="n"/>
      <c r="H16" s="30" t="n"/>
      <c r="I16" s="30" t="n"/>
      <c r="J16" s="60">
        <f>H16-G16</f>
        <v/>
      </c>
    </row>
    <row r="17" ht="18" customHeight="1">
      <c r="B17" s="78" t="inlineStr">
        <is>
          <t>Décembre</t>
        </is>
      </c>
      <c r="C17" s="30" t="n"/>
      <c r="D17" s="30" t="n"/>
      <c r="E17" s="30" t="n"/>
      <c r="F17" s="30" t="n"/>
      <c r="G17" s="30" t="n"/>
      <c r="H17" s="30" t="n"/>
      <c r="I17" s="30" t="n"/>
      <c r="J17" s="60">
        <f>H17-G17</f>
        <v/>
      </c>
    </row>
    <row r="18" ht="24" customHeight="1">
      <c r="B18" s="41" t="inlineStr">
        <is>
          <t>TOTAL 2026</t>
        </is>
      </c>
      <c r="C18" s="43">
        <f>SUM(C6:C17)</f>
        <v/>
      </c>
      <c r="D18" s="43">
        <f>SUM(D6:D17)</f>
        <v/>
      </c>
      <c r="E18" s="43">
        <f>SUM(E6:E17)</f>
        <v/>
      </c>
      <c r="F18" s="43">
        <f>SUM(F6:F17)</f>
        <v/>
      </c>
      <c r="G18" s="43">
        <f>SUM(G6:G17)</f>
        <v/>
      </c>
      <c r="H18" s="43">
        <f>SUM(H6:H17)</f>
        <v/>
      </c>
      <c r="I18" s="44">
        <f>IFERROR(LOOKUP(2,1/($I$6:$I$17&lt;&gt;""),$I$6:$I$17),0)</f>
        <v/>
      </c>
      <c r="J18" s="43">
        <f>SUM(J6:J17)</f>
        <v/>
      </c>
    </row>
    <row r="20" ht="23" customHeight="1">
      <c r="B20" s="21" t="inlineStr">
        <is>
          <t>RAPPEL  —  chiffres du dossier bancaire, janvier à juillet 2026</t>
        </is>
      </c>
    </row>
    <row r="21" ht="18" customHeight="1">
      <c r="B21" s="52" t="inlineStr">
        <is>
          <t>Chiffre d'affaires facturé sur 7 mois</t>
        </is>
      </c>
      <c r="C21" s="26" t="n"/>
      <c r="D21" s="26" t="n"/>
      <c r="E21" s="26" t="n"/>
      <c r="F21" s="92" t="n">
        <v>1434929</v>
      </c>
    </row>
    <row r="22" ht="18" customHeight="1">
      <c r="B22" s="52" t="inlineStr">
        <is>
          <t>Achats fournisseurs sur 7 mois (TTC)</t>
        </is>
      </c>
      <c r="C22" s="26" t="n"/>
      <c r="D22" s="26" t="n"/>
      <c r="E22" s="26" t="n"/>
      <c r="F22" s="92" t="n">
        <v>2382477</v>
      </c>
    </row>
    <row r="23" ht="18" customHeight="1">
      <c r="B23" s="52" t="inlineStr">
        <is>
          <t>Versements d'espèces en banque sur 7 mois</t>
        </is>
      </c>
      <c r="C23" s="26" t="n"/>
      <c r="D23" s="26" t="n"/>
      <c r="E23" s="26" t="n"/>
      <c r="F23" s="92" t="n">
        <v>1386700</v>
      </c>
    </row>
    <row r="24" ht="18" customHeight="1">
      <c r="B24" s="25" t="inlineStr">
        <is>
          <t>Flux d'affaires total encaissé sur 7 mois</t>
        </is>
      </c>
      <c r="C24" s="26" t="n"/>
      <c r="D24" s="26" t="n"/>
      <c r="E24" s="26" t="n"/>
      <c r="F24" s="36" t="n">
        <v>2821629</v>
      </c>
    </row>
    <row r="25" ht="18" customHeight="1">
      <c r="B25" s="25" t="inlineStr">
        <is>
          <t>Moyenne d'achats par mois</t>
        </is>
      </c>
      <c r="C25" s="26" t="n"/>
      <c r="D25" s="26" t="n"/>
      <c r="E25" s="26" t="n"/>
      <c r="F25" s="36" t="n">
        <v>340354</v>
      </c>
    </row>
    <row r="26" ht="18" customHeight="1">
      <c r="B26" s="25" t="inlineStr">
        <is>
          <t>Clients facturés / fournisseurs référencés</t>
        </is>
      </c>
      <c r="C26" s="26" t="n"/>
      <c r="D26" s="26" t="n"/>
      <c r="E26" s="26" t="n"/>
      <c r="F26" s="93" t="inlineStr">
        <is>
          <t>34 clients  ·  19 fournisseurs</t>
        </is>
      </c>
    </row>
    <row r="28" ht="30" customHeight="1">
      <c r="B28" s="22" t="inlineStr">
        <is>
          <t>Source : dossier de présentation de la société (demande de découvert bancaire, septembre 2026). Ces chiffres servent de repère, ils ne se recalculent pas.</t>
        </is>
      </c>
    </row>
  </sheetData>
  <mergeCells count="11">
    <mergeCell ref="B23:E23"/>
    <mergeCell ref="B26:E26"/>
    <mergeCell ref="B20:J20"/>
    <mergeCell ref="B28:J28"/>
    <mergeCell ref="B21:E21"/>
    <mergeCell ref="A2:K2"/>
    <mergeCell ref="B25:E25"/>
    <mergeCell ref="B24:E24"/>
    <mergeCell ref="B4:J4"/>
    <mergeCell ref="A1:K1"/>
    <mergeCell ref="B22:E22"/>
  </mergeCells>
  <printOptions horizontalCentered="1"/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tabColor rgb="009AA3AE"/>
    <outlinePr summaryBelow="1" summaryRight="1"/>
    <pageSetUpPr/>
  </sheetPr>
  <dimension ref="A1:F21"/>
  <sheetViews>
    <sheetView showGridLines="0" zoomScale="10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22" customWidth="1" min="4" max="4"/>
    <col width="26" customWidth="1" min="5" max="5"/>
    <col width="60" customWidth="1" min="6" max="6"/>
  </cols>
  <sheetData>
    <row r="1">
      <c r="A1" s="94" t="inlineStr">
        <is>
          <t>FOURNISSEURS</t>
        </is>
      </c>
      <c r="B1" s="94" t="inlineStr">
        <is>
          <t>CHARGES FIXES</t>
        </is>
      </c>
      <c r="C1" s="94" t="inlineStr">
        <is>
          <t>PERSONNEL</t>
        </is>
      </c>
      <c r="D1" s="94" t="inlineStr">
        <is>
          <t>MODES DE RÈGLEMENT</t>
        </is>
      </c>
      <c r="E1" s="94" t="inlineStr">
        <is>
          <t>ORIGINE DES ENCAISSEMENTS</t>
        </is>
      </c>
      <c r="F1" s="95" t="inlineStr">
        <is>
          <t>Cette feuille ne sert qu'aux listes déroulantes des feuilles jour.</t>
        </is>
      </c>
    </row>
    <row r="2">
      <c r="A2" s="96" t="inlineStr">
        <is>
          <t>ALUMINIUM ELMARWA</t>
        </is>
      </c>
      <c r="B2" s="96" t="inlineStr">
        <is>
          <t>LOYER DU LOCAL</t>
        </is>
      </c>
      <c r="C2" s="96" t="inlineStr">
        <is>
          <t>HOUSSEIN</t>
        </is>
      </c>
      <c r="D2" s="96" t="inlineStr">
        <is>
          <t>Espèce</t>
        </is>
      </c>
      <c r="E2" s="96" t="inlineStr">
        <is>
          <t>Client comptoir</t>
        </is>
      </c>
      <c r="F2" s="95" t="inlineStr">
        <is>
          <t>Pour ajouter un fournisseur : écrivez-le en bas de la colonne A.</t>
        </is>
      </c>
    </row>
    <row r="3">
      <c r="A3" s="96" t="inlineStr">
        <is>
          <t>FOMALU</t>
        </is>
      </c>
      <c r="B3" s="96" t="inlineStr">
        <is>
          <t>EAU + ÉLECTRICITÉ</t>
        </is>
      </c>
      <c r="C3" s="96" t="inlineStr">
        <is>
          <t>AYOUB</t>
        </is>
      </c>
      <c r="D3" s="96" t="inlineStr">
        <is>
          <t>Chèque</t>
        </is>
      </c>
      <c r="E3" s="96" t="inlineStr">
        <is>
          <t>Client sur facture</t>
        </is>
      </c>
    </row>
    <row r="4">
      <c r="A4" s="96" t="inlineStr">
        <is>
          <t>LAMASTORE</t>
        </is>
      </c>
      <c r="B4" s="96" t="inlineStr">
        <is>
          <t>TÉLÉPHONE &amp; INTERNET</t>
        </is>
      </c>
      <c r="C4" s="96" t="inlineStr">
        <is>
          <t>OUVRIER 1</t>
        </is>
      </c>
      <c r="D4" s="96" t="inlineStr">
        <is>
          <t>Effet</t>
        </is>
      </c>
      <c r="E4" s="96" t="inlineStr">
        <is>
          <t>Acompte client</t>
        </is>
      </c>
    </row>
    <row r="5">
      <c r="A5" s="96" t="inlineStr">
        <is>
          <t>FATALUM</t>
        </is>
      </c>
      <c r="B5" s="96" t="inlineStr">
        <is>
          <t>CNSS</t>
        </is>
      </c>
      <c r="C5" s="96" t="inlineStr">
        <is>
          <t>OUVRIER 2</t>
        </is>
      </c>
      <c r="D5" s="96" t="inlineStr">
        <is>
          <t>Virement</t>
        </is>
      </c>
      <c r="E5" s="96" t="inlineStr">
        <is>
          <t>Apport associé</t>
        </is>
      </c>
    </row>
    <row r="6">
      <c r="A6" s="96" t="inlineStr">
        <is>
          <t>IDRALUM</t>
        </is>
      </c>
      <c r="B6" s="96" t="inlineStr">
        <is>
          <t>TVA &amp; IMPÔTS</t>
        </is>
      </c>
      <c r="C6" s="96" t="inlineStr">
        <is>
          <t>AVANCE / PRIME</t>
        </is>
      </c>
      <c r="D6" s="96" t="inlineStr">
        <is>
          <t>Prélèvement</t>
        </is>
      </c>
      <c r="E6" s="96" t="inlineStr">
        <is>
          <t>Retrait banque</t>
        </is>
      </c>
    </row>
    <row r="7">
      <c r="A7" s="96" t="inlineStr">
        <is>
          <t>INDEC</t>
        </is>
      </c>
      <c r="B7" s="96" t="inlineStr">
        <is>
          <t>ASSURANCES</t>
        </is>
      </c>
      <c r="C7" s="96" t="inlineStr">
        <is>
          <t>AUTRE SALAIRE</t>
        </is>
      </c>
      <c r="E7" s="96" t="inlineStr">
        <is>
          <t>Autre encaissement</t>
        </is>
      </c>
    </row>
    <row r="8">
      <c r="A8" s="96" t="inlineStr">
        <is>
          <t>DIMA BOIS</t>
        </is>
      </c>
      <c r="B8" s="96" t="inlineStr">
        <is>
          <t>COMPTABLE &amp; HONORAIRES</t>
        </is>
      </c>
    </row>
    <row r="9">
      <c r="A9" s="96" t="inlineStr">
        <is>
          <t>CASAPRAL</t>
        </is>
      </c>
      <c r="B9" s="96" t="inlineStr">
        <is>
          <t>CARBURANT &amp; VÉHICULE</t>
        </is>
      </c>
    </row>
    <row r="10">
      <c r="A10" s="96" t="inlineStr">
        <is>
          <t>LCVR</t>
        </is>
      </c>
      <c r="B10" s="96" t="inlineStr">
        <is>
          <t>TRANSPORT &amp; LIVRAISON</t>
        </is>
      </c>
    </row>
    <row r="11">
      <c r="A11" s="96" t="inlineStr">
        <is>
          <t>ALUMA</t>
        </is>
      </c>
      <c r="B11" s="96" t="inlineStr">
        <is>
          <t>ENTRETIEN &amp; RÉPARATION</t>
        </is>
      </c>
    </row>
    <row r="12">
      <c r="A12" s="96" t="inlineStr">
        <is>
          <t>HAJ OMAR</t>
        </is>
      </c>
      <c r="B12" s="96" t="inlineStr">
        <is>
          <t>FOURNITURES DE BUREAU</t>
        </is>
      </c>
    </row>
    <row r="13">
      <c r="A13" s="96" t="inlineStr">
        <is>
          <t>GLOBALE VERRE</t>
        </is>
      </c>
      <c r="B13" s="96" t="inlineStr">
        <is>
          <t>AUTRE CHARGE FIXE</t>
        </is>
      </c>
    </row>
    <row r="14">
      <c r="A14" s="96" t="inlineStr">
        <is>
          <t>SAID PROFILE</t>
        </is>
      </c>
    </row>
    <row r="15">
      <c r="A15" s="96" t="inlineStr">
        <is>
          <t>ALUMINIUM DU MAROC</t>
        </is>
      </c>
    </row>
    <row r="16">
      <c r="A16" s="96" t="inlineStr">
        <is>
          <t>QUINCAILLERIE</t>
        </is>
      </c>
    </row>
    <row r="17">
      <c r="A17" s="96" t="inlineStr">
        <is>
          <t>VITRAGE</t>
        </is>
      </c>
    </row>
    <row r="18">
      <c r="A18" s="96" t="inlineStr">
        <is>
          <t>PANNEAUX BOIS</t>
        </is>
      </c>
    </row>
    <row r="19">
      <c r="A19" s="96" t="inlineStr">
        <is>
          <t>TRANSPORT</t>
        </is>
      </c>
    </row>
    <row r="20">
      <c r="A20" s="96" t="inlineStr">
        <is>
          <t>CARBURANT</t>
        </is>
      </c>
    </row>
    <row r="21">
      <c r="A21" s="96" t="inlineStr">
        <is>
          <t>DIVERS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PARADISE ALUMINIUM SARL</dc:creator>
  <dc:title>Caisse Paradise Aluminium — octobre 2026</dc:title>
  <dc:description>Journal de caisse : fournisseurs, caisse PARADISE, caisse ZENATA, charges fixes, échéancier des chèques et des effets.</dc:description>
  <dcterms:created xsi:type="dcterms:W3CDTF">2026-09-07T13:26:54Z</dcterms:created>
  <dcterms:modified xsi:type="dcterms:W3CDTF">2026-09-07T13:26:56Z</dcterms:modified>
</cp:coreProperties>
</file>