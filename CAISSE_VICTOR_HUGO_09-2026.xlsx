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comments3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RECAP DU JOURNAL" sheetId="2" state="visible" r:id="rId4"/>
    <sheet name="01" sheetId="3" state="visible" r:id="rId5"/>
    <sheet name="02" sheetId="4" state="visible" r:id="rId6"/>
    <sheet name="03" sheetId="5" state="visible" r:id="rId7"/>
    <sheet name="04" sheetId="6" state="visible" r:id="rId8"/>
    <sheet name="05" sheetId="7" state="visible" r:id="rId9"/>
    <sheet name="06" sheetId="8" state="visible" r:id="rId10"/>
    <sheet name="07" sheetId="9" state="visible" r:id="rId11"/>
    <sheet name="08" sheetId="10" state="visible" r:id="rId12"/>
    <sheet name="09" sheetId="11" state="visible" r:id="rId13"/>
    <sheet name="10" sheetId="12" state="visible" r:id="rId14"/>
    <sheet name="11" sheetId="13" state="visible" r:id="rId15"/>
    <sheet name="12" sheetId="14" state="visible" r:id="rId16"/>
    <sheet name="13" sheetId="15" state="visible" r:id="rId17"/>
    <sheet name="14" sheetId="16" state="visible" r:id="rId18"/>
    <sheet name="15" sheetId="17" state="visible" r:id="rId19"/>
    <sheet name="16" sheetId="18" state="visible" r:id="rId20"/>
    <sheet name="17" sheetId="19" state="visible" r:id="rId21"/>
    <sheet name="18" sheetId="20" state="visible" r:id="rId22"/>
    <sheet name="19" sheetId="21" state="visible" r:id="rId23"/>
    <sheet name="20" sheetId="22" state="visible" r:id="rId24"/>
    <sheet name="21" sheetId="23" state="visible" r:id="rId25"/>
    <sheet name="22" sheetId="24" state="visible" r:id="rId26"/>
    <sheet name="23" sheetId="25" state="visible" r:id="rId27"/>
    <sheet name="24" sheetId="26" state="visible" r:id="rId28"/>
    <sheet name="25" sheetId="27" state="visible" r:id="rId29"/>
    <sheet name="26" sheetId="28" state="visible" r:id="rId30"/>
    <sheet name="27" sheetId="29" state="visible" r:id="rId31"/>
    <sheet name="28" sheetId="30" state="visible" r:id="rId32"/>
    <sheet name="29" sheetId="31" state="visible" r:id="rId33"/>
    <sheet name="30" sheetId="32" state="visible" r:id="rId34"/>
    <sheet name="31" sheetId="33" state="visible" r:id="rId35"/>
    <sheet name="CHARGES FIXES" sheetId="34" state="visible" r:id="rId36"/>
    <sheet name="SUIVI MENSUEL" sheetId="35" state="visible" r:id="rId37"/>
    <sheet name="LISTES" sheetId="36" state="hidden" r:id="rId38"/>
  </sheets>
  <definedNames>
    <definedName function="false" hidden="false" localSheetId="2" name="_xlnm.Print_Area" vbProcedure="false">'01'!$A$1:$M$34</definedName>
    <definedName function="false" hidden="false" localSheetId="3" name="_xlnm.Print_Area" vbProcedure="false">'02'!$A$1:$M$34</definedName>
    <definedName function="false" hidden="false" localSheetId="4" name="_xlnm.Print_Area" vbProcedure="false">'03'!$A$1:$M$34</definedName>
    <definedName function="false" hidden="false" localSheetId="5" name="_xlnm.Print_Area" vbProcedure="false">'04'!$A$1:$M$34</definedName>
    <definedName function="false" hidden="false" localSheetId="6" name="_xlnm.Print_Area" vbProcedure="false">'05'!$A$1:$M$34</definedName>
    <definedName function="false" hidden="false" localSheetId="7" name="_xlnm.Print_Area" vbProcedure="false">'06'!$A$1:$M$34</definedName>
    <definedName function="false" hidden="false" localSheetId="8" name="_xlnm.Print_Area" vbProcedure="false">'07'!$A$1:$M$34</definedName>
    <definedName function="false" hidden="false" localSheetId="9" name="_xlnm.Print_Area" vbProcedure="false">'08'!$A$1:$M$34</definedName>
    <definedName function="false" hidden="false" localSheetId="10" name="_xlnm.Print_Area" vbProcedure="false">'09'!$A$1:$M$34</definedName>
    <definedName function="false" hidden="false" localSheetId="11" name="_xlnm.Print_Area" vbProcedure="false">'10'!$A$1:$M$34</definedName>
    <definedName function="false" hidden="false" localSheetId="12" name="_xlnm.Print_Area" vbProcedure="false">'11'!$A$1:$M$34</definedName>
    <definedName function="false" hidden="false" localSheetId="13" name="_xlnm.Print_Area" vbProcedure="false">'12'!$A$1:$M$34</definedName>
    <definedName function="false" hidden="false" localSheetId="14" name="_xlnm.Print_Area" vbProcedure="false">'13'!$A$1:$M$34</definedName>
    <definedName function="false" hidden="false" localSheetId="15" name="_xlnm.Print_Area" vbProcedure="false">'14'!$A$1:$M$34</definedName>
    <definedName function="false" hidden="false" localSheetId="16" name="_xlnm.Print_Area" vbProcedure="false">'15'!$A$1:$M$34</definedName>
    <definedName function="false" hidden="false" localSheetId="17" name="_xlnm.Print_Area" vbProcedure="false">'16'!$A$1:$M$34</definedName>
    <definedName function="false" hidden="false" localSheetId="18" name="_xlnm.Print_Area" vbProcedure="false">'17'!$A$1:$M$34</definedName>
    <definedName function="false" hidden="false" localSheetId="19" name="_xlnm.Print_Area" vbProcedure="false">'18'!$A$1:$M$34</definedName>
    <definedName function="false" hidden="false" localSheetId="20" name="_xlnm.Print_Area" vbProcedure="false">'19'!$A$1:$M$34</definedName>
    <definedName function="false" hidden="false" localSheetId="21" name="_xlnm.Print_Area" vbProcedure="false">'20'!$A$1:$M$34</definedName>
    <definedName function="false" hidden="false" localSheetId="22" name="_xlnm.Print_Area" vbProcedure="false">'21'!$A$1:$M$34</definedName>
    <definedName function="false" hidden="false" localSheetId="23" name="_xlnm.Print_Area" vbProcedure="false">'22'!$A$1:$M$34</definedName>
    <definedName function="false" hidden="false" localSheetId="24" name="_xlnm.Print_Area" vbProcedure="false">'23'!$A$1:$M$34</definedName>
    <definedName function="false" hidden="false" localSheetId="25" name="_xlnm.Print_Area" vbProcedure="false">'24'!$A$1:$M$34</definedName>
    <definedName function="false" hidden="false" localSheetId="26" name="_xlnm.Print_Area" vbProcedure="false">'25'!$A$1:$M$34</definedName>
    <definedName function="false" hidden="false" localSheetId="27" name="_xlnm.Print_Area" vbProcedure="false">'26'!$A$1:$M$34</definedName>
    <definedName function="false" hidden="false" localSheetId="28" name="_xlnm.Print_Area" vbProcedure="false">'27'!$A$1:$M$34</definedName>
    <definedName function="false" hidden="false" localSheetId="29" name="_xlnm.Print_Area" vbProcedure="false">'28'!$A$1:$M$34</definedName>
    <definedName function="false" hidden="false" localSheetId="30" name="_xlnm.Print_Area" vbProcedure="false">'29'!$A$1:$M$34</definedName>
    <definedName function="false" hidden="false" localSheetId="31" name="_xlnm.Print_Area" vbProcedure="false">'30'!$A$1:$M$34</definedName>
    <definedName function="false" hidden="false" localSheetId="32" name="_xlnm.Print_Area" vbProcedure="false">'31'!$A$1:$M$34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Changez ce numéro pour passer le classeur sur un autre mois : les 31 feuilles jour, ce récap et le tableau de bord suivent tout seuls. Pensez alors à effacer les montants des feuilles jour.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29" authorId="0">
      <text>
        <r>
          <rPr>
            <sz val="10"/>
            <rFont val="Arial"/>
            <family val="2"/>
          </rPr>
          <t xml:space="preserve">Caisse au 1er du mois : cette valeur se règle sur la feuille RECAP DU JOURNAL, case C5.</t>
        </r>
      </text>
    </comment>
  </commentList>
</comments>
</file>

<file path=xl/comments3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6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17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18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19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20" authorId="0">
      <text>
        <r>
          <rPr>
            <sz val="10"/>
            <rFont val="Arial"/>
            <family val="2"/>
          </rPr>
          <t xml:space="preserve">Salaire convenu inconnu : ce nom apparaît dans les paiements d’août 2026 mais ne figurait pas dans l’ancien classeur. Renseignez-le pour suivre le reste à verser.</t>
        </r>
      </text>
    </comment>
    <comment ref="C39" authorId="0">
      <text>
        <r>
          <rPr>
            <sz val="10"/>
            <rFont val="Arial"/>
            <family val="2"/>
          </rPr>
          <t xml:space="preserve">Ce que vous prévoyez de dépenser en marchandise sur le mois (café, eau, épicerie, boulangerie, nettoyage). La valeur par défaut, 20 500 DH, vient de l’ancien classeur (feuille CHARGE). Attention : en août 2026 le réalisé a été de 24 529 DH, nettoyage compris. Ce chiffre ne sert qu’au seuil de rentabilité ci-dessous, mais il le change beaucoup : ajustez-le à votre réalité.</t>
        </r>
      </text>
    </comment>
    <comment ref="C40" authorId="0">
      <text>
        <r>
          <rPr>
            <sz val="10"/>
            <rFont val="Arial"/>
            <family val="2"/>
          </rPr>
          <t xml:space="preserve">Charges fixes + salaires + achats de marchandise, en budget, divisés par 30 jours. En dessous de ce chiffre de recette, la journée est déficitaire.</t>
        </r>
      </text>
    </comment>
    <comment ref="C41" authorId="0">
      <text>
        <r>
          <rPr>
            <sz val="10"/>
            <rFont val="Arial"/>
            <family val="2"/>
          </rPr>
          <t xml:space="preserve">Recette du mois divisée par le nombre de jours réellement saisis.</t>
        </r>
      </text>
    </comment>
    <comment ref="C42" authorId="0">
      <text>
        <r>
          <rPr>
            <sz val="10"/>
            <rFont val="Arial"/>
            <family val="2"/>
          </rPr>
          <t xml:space="preserve">Recette moyenne moins le seuil. Négatif = les charges ne sont pas couvertes.</t>
        </r>
      </text>
    </comment>
  </commentList>
</comments>
</file>

<file path=xl/sharedStrings.xml><?xml version="1.0" encoding="utf-8"?>
<sst xmlns="http://schemas.openxmlformats.org/spreadsheetml/2006/main" count="2018" uniqueCount="164">
  <si>
    <t xml:space="preserve">TABLEAU DE BORD</t>
  </si>
  <si>
    <t xml:space="preserve">La photo du mois. Tout vient des feuilles jour, via le RÉCAP DU JOURNAL.</t>
  </si>
  <si>
    <t xml:space="preserve">CAFÉ VICTOR HUGO — Mohammedia</t>
  </si>
  <si>
    <t xml:space="preserve">RECETTE DU MOIS</t>
  </si>
  <si>
    <t xml:space="preserve">DÉPENSES DU MOIS</t>
  </si>
  <si>
    <t xml:space="preserve">RÉSULTAT NET</t>
  </si>
  <si>
    <t xml:space="preserve">MARGE NETTE</t>
  </si>
  <si>
    <t xml:space="preserve">Total encaissé ce mois</t>
  </si>
  <si>
    <t xml:space="preserve">Achats, charges, salaires, virements</t>
  </si>
  <si>
    <t xml:space="preserve">Recette moins dépenses</t>
  </si>
  <si>
    <t xml:space="preserve">Part de la recette qui reste</t>
  </si>
  <si>
    <t xml:space="preserve">RECETTE MOYENNE / JOUR</t>
  </si>
  <si>
    <t xml:space="preserve">MEILLEURE JOURNÉE</t>
  </si>
  <si>
    <t xml:space="preserve">CAISSE EN FIN DE MOIS</t>
  </si>
  <si>
    <t xml:space="preserve">JOURS SAISIS</t>
  </si>
  <si>
    <t xml:space="preserve">Sur les jours réellement travaillés</t>
  </si>
  <si>
    <t xml:space="preserve">Recette la plus haute du mois</t>
  </si>
  <si>
    <t xml:space="preserve">Solde théorique d’espèces</t>
  </si>
  <si>
    <t xml:space="preserve">Jours avec une recette enregistrée</t>
  </si>
  <si>
    <t xml:space="preserve">ÉVOLUTION DU MOIS</t>
  </si>
  <si>
    <t xml:space="preserve">ANALYSE DES DÉPENSES</t>
  </si>
  <si>
    <t xml:space="preserve">RÉPARTITION DES DÉPENSES</t>
  </si>
  <si>
    <t xml:space="preserve">PRINCIPAUX FOURNISSEURS</t>
  </si>
  <si>
    <t xml:space="preserve">NATURE</t>
  </si>
  <si>
    <t xml:space="preserve">MONTANT</t>
  </si>
  <si>
    <t xml:space="preserve">PART</t>
  </si>
  <si>
    <t xml:space="preserve">PAR JOUR</t>
  </si>
  <si>
    <t xml:space="preserve">FOURNISSEUR</t>
  </si>
  <si>
    <t xml:space="preserve">Achats de marchandise</t>
  </si>
  <si>
    <t xml:space="preserve">BIM</t>
  </si>
  <si>
    <t xml:space="preserve">Charges fixes</t>
  </si>
  <si>
    <t xml:space="preserve">AIN SAISS</t>
  </si>
  <si>
    <t xml:space="preserve">Salaires et avances</t>
  </si>
  <si>
    <t xml:space="preserve">NADAFA</t>
  </si>
  <si>
    <t xml:space="preserve">Virements et divers</t>
  </si>
  <si>
    <t xml:space="preserve">CAFE</t>
  </si>
  <si>
    <t xml:space="preserve">TOTAL DÉPENSES</t>
  </si>
  <si>
    <t xml:space="preserve">ORANGE</t>
  </si>
  <si>
    <t xml:space="preserve">BOULANGERIE</t>
  </si>
  <si>
    <t xml:space="preserve">COCA</t>
  </si>
  <si>
    <t xml:space="preserve">MECAFE</t>
  </si>
  <si>
    <t xml:space="preserve">OULMES</t>
  </si>
  <si>
    <t xml:space="preserve">FRUITS</t>
  </si>
  <si>
    <t xml:space="preserve">KHLII</t>
  </si>
  <si>
    <t xml:space="preserve">CITRIN</t>
  </si>
  <si>
    <t xml:space="preserve">Le tableau des fournisseurs cherche chaque nom dans le bloc ACHATS des 31 feuilles jour : écrivez toujours un fournisseur de la même façon (utilisez la liste déroulante) pour que le total soit juste. L’ordre des lignes a été figé sur le poids constaté en août 2026 ; les montants, eux, suivent toujours le mois en cours.</t>
  </si>
  <si>
    <t xml:space="preserve">RÉCAP DU JOURNAL</t>
  </si>
  <si>
    <t xml:space="preserve">Le mois entier, jour par jour. Tout est repris des feuilles 01 à 31 : aucune saisie ici, sauf les quatre réglages ci-dessous.</t>
  </si>
  <si>
    <t xml:space="preserve">Année</t>
  </si>
  <si>
    <t xml:space="preserve">Premier jour du mois</t>
  </si>
  <si>
    <t xml:space="preserve">Mois (1 à 12)</t>
  </si>
  <si>
    <t xml:space="preserve">Nombre de jours</t>
  </si>
  <si>
    <t xml:space="preserve">Caisse au 1er du mois</t>
  </si>
  <si>
    <t xml:space="preserve">Objectif recette / jour</t>
  </si>
  <si>
    <t xml:space="preserve">DATE</t>
  </si>
  <si>
    <t xml:space="preserve">JOUR</t>
  </si>
  <si>
    <t xml:space="preserve">RECETTE
CAISSE</t>
  </si>
  <si>
    <t xml:space="preserve">GLOVO
ESPÈCES</t>
  </si>
  <si>
    <t xml:space="preserve">GLOVO
CARTE</t>
  </si>
  <si>
    <t xml:space="preserve">TOTAL
RECETTE</t>
  </si>
  <si>
    <t xml:space="preserve">ACHATS</t>
  </si>
  <si>
    <t xml:space="preserve">CHARGES
FIXES</t>
  </si>
  <si>
    <t xml:space="preserve">SALAIRES</t>
  </si>
  <si>
    <t xml:space="preserve">VIREMENTS</t>
  </si>
  <si>
    <t xml:space="preserve">TOTAL
DÉPENSES</t>
  </si>
  <si>
    <t xml:space="preserve">RÉSULTAT
DU JOUR</t>
  </si>
  <si>
    <t xml:space="preserve">CAISSE
CE SOIR</t>
  </si>
  <si>
    <t xml:space="preserve">vs OBJ.</t>
  </si>
  <si>
    <t xml:space="preserve">TOTAL DU MOIS</t>
  </si>
  <si>
    <t xml:space="preserve">PART DE LA RECETTE</t>
  </si>
  <si>
    <t xml:space="preserve">Les quatre cases jaunes en haut pilotent tout le classeur. Pour passer au mois suivant : faites une copie du fichier, changez le mois, remettez « Caisse au 1er du mois » au solde de fin du mois précédent, puis effacez les montants des feuilles 01 à 31. Les lignes grisées sont les samedis et dimanches ; « vs OBJ. » compare la recette du jour à l’objectif fixé en haut.</t>
  </si>
  <si>
    <t xml:space="preserve">CAISSE DU JOUR</t>
  </si>
  <si>
    <t xml:space="preserve">À REMPLIR  ▸  les quatre blocs de dépenses ci-dessous  ▸  puis, en bas, la RECETTE comptée dans la caisse.   Les cases jaunes sont les vôtres ; le reste se calcule tout seul.</t>
  </si>
  <si>
    <t xml:space="preserve">CAISSE DE LA VEILLE</t>
  </si>
  <si>
    <t xml:space="preserve">RECETTE DU JOUR</t>
  </si>
  <si>
    <t xml:space="preserve">SOLDE CE SOIR</t>
  </si>
  <si>
    <t xml:space="preserve">DÉPENSES — ACHATS DU JOUR</t>
  </si>
  <si>
    <t xml:space="preserve">CHARGES FIXES</t>
  </si>
  <si>
    <t xml:space="preserve">SALAIRES ET AVANCES</t>
  </si>
  <si>
    <t xml:space="preserve">VIREMENTS ET DIVERS</t>
  </si>
  <si>
    <t xml:space="preserve">LIBELLÉ</t>
  </si>
  <si>
    <t xml:space="preserve">LOYER</t>
  </si>
  <si>
    <t xml:space="preserve">BAR MEN</t>
  </si>
  <si>
    <t xml:space="preserve">BANQUE</t>
  </si>
  <si>
    <t xml:space="preserve">EAU + ÉLECTRICITÉ</t>
  </si>
  <si>
    <t xml:space="preserve">BAR MEN ALI</t>
  </si>
  <si>
    <t xml:space="preserve">MOUHSSINE</t>
  </si>
  <si>
    <t xml:space="preserve">INTERNET &amp; TÉLÉPHONE</t>
  </si>
  <si>
    <t xml:space="preserve">FATIMA</t>
  </si>
  <si>
    <t xml:space="preserve">HAMID</t>
  </si>
  <si>
    <t xml:space="preserve">TAXES &amp; IMPÔTS</t>
  </si>
  <si>
    <t xml:space="preserve">MARWA</t>
  </si>
  <si>
    <t xml:space="preserve">AVANCE LOYER</t>
  </si>
  <si>
    <t xml:space="preserve">ASSURANCE</t>
  </si>
  <si>
    <t xml:space="preserve">LAHCEN</t>
  </si>
  <si>
    <t xml:space="preserve">PRÉLÈVEMENT PERSONNEL</t>
  </si>
  <si>
    <t xml:space="preserve">ABONNEMENTS TV</t>
  </si>
  <si>
    <t xml:space="preserve">ABDELLAH</t>
  </si>
  <si>
    <t xml:space="preserve">AUTRE VIREMENT</t>
  </si>
  <si>
    <t xml:space="preserve">ENTRETIEN &amp; RÉPARATION</t>
  </si>
  <si>
    <t xml:space="preserve">AHMED</t>
  </si>
  <si>
    <t xml:space="preserve">AUTRE CHARGE FIXE</t>
  </si>
  <si>
    <t xml:space="preserve">ALI</t>
  </si>
  <si>
    <t xml:space="preserve">LATIFA 1</t>
  </si>
  <si>
    <t xml:space="preserve">LATIFA 2</t>
  </si>
  <si>
    <t xml:space="preserve">HAMZA</t>
  </si>
  <si>
    <t xml:space="preserve">TOTAL</t>
  </si>
  <si>
    <t xml:space="preserve">RECETTES DU JOUR</t>
  </si>
  <si>
    <t xml:space="preserve">SOLDE DE LA CAISSE</t>
  </si>
  <si>
    <t xml:space="preserve">Recette caisse (espèces comptées)</t>
  </si>
  <si>
    <t xml:space="preserve">Caisse de la veille</t>
  </si>
  <si>
    <t xml:space="preserve">Glovo — espèces</t>
  </si>
  <si>
    <t xml:space="preserve">Recette du jour  (+)</t>
  </si>
  <si>
    <t xml:space="preserve">Glovo — carte</t>
  </si>
  <si>
    <t xml:space="preserve">Dépenses du jour  (−)</t>
  </si>
  <si>
    <t xml:space="preserve">TOTAL RECETTE DU JOUR</t>
  </si>
  <si>
    <t xml:space="preserve">SOLDE EN CAISSE CE SOIR</t>
  </si>
  <si>
    <t xml:space="preserve">Le solde de ce soir devient automatiquement la caisse de la veille sur la feuille du lendemain. Les libellés en gris des blocs CHARGES FIXES, SALAIRES et VIREMENTS sont fixes : ils permettent au classeur de totaliser chaque poste sur tout le mois — ne les modifiez pas.</t>
  </si>
  <si>
    <t xml:space="preserve">CHARGES FIXES ET SALAIRES</t>
  </si>
  <si>
    <t xml:space="preserve">Budget mensuel (à vous de le fixer) comparé au réalisé, additionné automatiquement sur les 31 feuilles jour.</t>
  </si>
  <si>
    <t xml:space="preserve">POSTE DE CHARGE</t>
  </si>
  <si>
    <t xml:space="preserve">BUDGET / MOIS</t>
  </si>
  <si>
    <t xml:space="preserve">RÉALISÉ DU MOIS</t>
  </si>
  <si>
    <t xml:space="preserve">ÉCART</t>
  </si>
  <si>
    <t xml:space="preserve">ÉTAT</t>
  </si>
  <si>
    <t xml:space="preserve">SALAIRES ET AVANCES DU PERSONNEL</t>
  </si>
  <si>
    <t xml:space="preserve">PERSONNE</t>
  </si>
  <si>
    <t xml:space="preserve">SALAIRE CONVENU</t>
  </si>
  <si>
    <t xml:space="preserve">VERSÉ CE MOIS</t>
  </si>
  <si>
    <t xml:space="preserve">RESTE À VERSER</t>
  </si>
  <si>
    <t xml:space="preserve">SYNTHÈSE DU MOIS</t>
  </si>
  <si>
    <t xml:space="preserve">Salaires</t>
  </si>
  <si>
    <t xml:space="preserve">TOTAL DES DÉPENSES DU MOIS</t>
  </si>
  <si>
    <t xml:space="preserve">Recette du mois</t>
  </si>
  <si>
    <t xml:space="preserve">RÉSULTAT DU MOIS</t>
  </si>
  <si>
    <t xml:space="preserve">LE CAFÉ COUVRE-T-IL SES CHARGES ?</t>
  </si>
  <si>
    <t xml:space="preserve">Budget achats de marchandise (par mois)</t>
  </si>
  <si>
    <t xml:space="preserve">Recette minimum par jour (seuil de rentabilité)</t>
  </si>
  <si>
    <t xml:space="preserve">Recette moyenne par jour, ce mois</t>
  </si>
  <si>
    <t xml:space="preserve">Marge de sécurité par jour</t>
  </si>
  <si>
    <t xml:space="preserve">La colonne « RÉALISÉ » additionne, pour chaque poste, la même ligne sur les 31 feuilles jour. C’est pour cela que les libellés des blocs CHARGES FIXES et SALAIRES sont fixes sur les feuilles jour : n’en changez pas l’ordre. Les budgets en jaune viennent de l’ancien classeur (feuille CHARGE) et sont libres à modifier.</t>
  </si>
  <si>
    <t xml:space="preserve">SUIVI MENSUEL</t>
  </si>
  <si>
    <t xml:space="preserve">L’année mois par mois. Le mois en cours se remplit tout seul ; pour les autres, recopiez les totaux quand le mois est clos.</t>
  </si>
  <si>
    <t xml:space="preserve">MOIS</t>
  </si>
  <si>
    <t xml:space="preserve">RECETTE</t>
  </si>
  <si>
    <t xml:space="preserve">ACHATS
MARCHANDISE</t>
  </si>
  <si>
    <t xml:space="preserve">% ACHATS</t>
  </si>
  <si>
    <t xml:space="preserve">AUTRES
DÉPENSES</t>
  </si>
  <si>
    <t xml:space="preserve">MARGE</t>
  </si>
  <si>
    <t xml:space="preserve">RÉSULTAT</t>
  </si>
  <si>
    <t xml:space="preserve">TOTAL ANNÉE</t>
  </si>
  <si>
    <t xml:space="preserve">RAPPEL 2025 — repris de l’ancien classeur</t>
  </si>
  <si>
    <t xml:space="preserve">TOTAL 2025</t>
  </si>
  <si>
    <t xml:space="preserve">Ce classeur ne couvre qu’un mois : seule la ligne du mois réglé sur RÉCAP DU JOURNAL se remplit automatiquement. Quand un mois est terminé, recopiez ses totaux ici en valeur (clic droit ▸ collage spécial ▸ valeurs) pour garder l’historique de l’année. Le rappel 2025 vient de la feuille Feuil1 de l’ancien classeur ; il ne suivait que la recette et les achats.</t>
  </si>
  <si>
    <t xml:space="preserve">FOURNISSEURS</t>
  </si>
  <si>
    <t xml:space="preserve">PERSONNEL</t>
  </si>
  <si>
    <t xml:space="preserve">Cette feuille ne sert qu'aux listes deroulantes des feuilles jour.</t>
  </si>
  <si>
    <t xml:space="preserve">Ajoutez un fournisseur en bas de la colonne A, puis etendez la plage de validation si besoin.</t>
  </si>
  <si>
    <t xml:space="preserve">DIVERS</t>
  </si>
  <si>
    <t xml:space="preserve">GAZ</t>
  </si>
  <si>
    <t xml:space="preserve">GLACE</t>
  </si>
  <si>
    <t xml:space="preserve">LAIT</t>
  </si>
  <si>
    <t xml:space="preserve">LEGUMES</t>
  </si>
  <si>
    <t xml:space="preserve">SUCRE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</si>
</sst>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-40C]mmmm\ yyyy"/>
    <numFmt numFmtId="166" formatCode="#,##0&quot; DH&quot;;[RED]\-#,##0&quot; DH&quot;;\–"/>
    <numFmt numFmtId="167" formatCode="0.0%;[RED]\-0.0%;\–"/>
    <numFmt numFmtId="168" formatCode="#,##0;[RED]\-#,##0;\–"/>
    <numFmt numFmtId="169" formatCode="#,##0&quot; DH&quot;;\-#,##0&quot; DH&quot;;\–"/>
    <numFmt numFmtId="170" formatCode="#,##0"/>
    <numFmt numFmtId="171" formatCode="0"/>
    <numFmt numFmtId="172" formatCode="dd/mm/yyyy"/>
    <numFmt numFmtId="173" formatCode="[$-40C]dddd\ d\ mmmm\ yyyy"/>
  </numFmts>
  <fonts count="6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3E2723"/>
      <name val="Arial"/>
      <family val="0"/>
      <charset val="1"/>
    </font>
    <font>
      <b val="true"/>
      <sz val="15"/>
      <color rgb="FF3E2723"/>
      <name val="Arial"/>
      <family val="0"/>
      <charset val="1"/>
    </font>
    <font>
      <b val="true"/>
      <sz val="11"/>
      <color rgb="FFC8A265"/>
      <name val="Arial"/>
      <family val="0"/>
      <charset val="1"/>
    </font>
    <font>
      <b val="true"/>
      <sz val="8.5"/>
      <color rgb="FF7A6E66"/>
      <name val="Arial"/>
      <family val="0"/>
      <charset val="1"/>
    </font>
    <font>
      <b val="true"/>
      <sz val="18"/>
      <color rgb="FF2E7D32"/>
      <name val="Arial"/>
      <family val="0"/>
      <charset val="1"/>
    </font>
    <font>
      <b val="true"/>
      <sz val="18"/>
      <color rgb="FFB3261E"/>
      <name val="Arial"/>
      <family val="0"/>
      <charset val="1"/>
    </font>
    <font>
      <b val="true"/>
      <sz val="18"/>
      <color rgb="FF3E2723"/>
      <name val="Arial"/>
      <family val="0"/>
      <charset val="1"/>
    </font>
    <font>
      <b val="true"/>
      <sz val="18"/>
      <color rgb="FFB26A00"/>
      <name val="Arial"/>
      <family val="0"/>
      <charset val="1"/>
    </font>
    <font>
      <sz val="8"/>
      <color rgb="FF7A6E66"/>
      <name val="Arial"/>
      <family val="0"/>
      <charset val="1"/>
    </font>
    <font>
      <b val="true"/>
      <sz val="18"/>
      <color rgb="FF5D40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1A17"/>
      <name val="Arial"/>
      <family val="0"/>
      <charset val="1"/>
    </font>
    <font>
      <b val="true"/>
      <sz val="9"/>
      <color rgb="FF1F1A17"/>
      <name val="Arial"/>
      <family val="0"/>
      <charset val="1"/>
    </font>
    <font>
      <sz val="9"/>
      <color rgb="FFB26A00"/>
      <name val="Arial"/>
      <family val="0"/>
      <charset val="1"/>
    </font>
    <font>
      <sz val="9"/>
      <color rgb="FF7A6E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.5"/>
      <color rgb="FF7A6E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.5"/>
      <color rgb="FF3E2723"/>
      <name val="Arial"/>
      <family val="0"/>
      <charset val="1"/>
    </font>
    <font>
      <b val="true"/>
      <sz val="10"/>
      <color rgb="FF1A56A0"/>
      <name val="Arial"/>
      <family val="0"/>
      <charset val="1"/>
    </font>
    <font>
      <b val="true"/>
      <sz val="10"/>
      <color rgb="FF1F1A17"/>
      <name val="Arial"/>
      <family val="0"/>
      <charset val="1"/>
    </font>
    <font>
      <b val="true"/>
      <sz val="22"/>
      <color rgb="FF3E2723"/>
      <name val="Arial"/>
      <family val="0"/>
      <charset val="1"/>
    </font>
    <font>
      <b val="true"/>
      <sz val="10"/>
      <color rgb="FF3E2723"/>
      <name val="Arial"/>
      <family val="0"/>
      <charset val="1"/>
    </font>
    <font>
      <sz val="10"/>
      <color rgb="FF1F1A17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9"/>
      <color rgb="FF3E2723"/>
      <name val="Arial"/>
      <family val="0"/>
      <charset val="1"/>
    </font>
    <font>
      <b val="true"/>
      <sz val="9"/>
      <color rgb="FFB26A00"/>
      <name val="Arial"/>
      <family val="0"/>
      <charset val="1"/>
    </font>
    <font>
      <sz val="10"/>
      <name val="Arial"/>
      <family val="2"/>
    </font>
    <font>
      <b val="true"/>
      <sz val="12"/>
      <color rgb="FF3E2723"/>
      <name val="Arial"/>
      <family val="0"/>
      <charset val="1"/>
    </font>
    <font>
      <b val="true"/>
      <sz val="8"/>
      <color rgb="FF7A6E66"/>
      <name val="Arial"/>
      <family val="0"/>
      <charset val="1"/>
    </font>
    <font>
      <b val="true"/>
      <sz val="16"/>
      <color rgb="FF5D4037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6"/>
      <color rgb="FFB3261E"/>
      <name val="Arial"/>
      <family val="0"/>
      <charset val="1"/>
    </font>
    <font>
      <b val="true"/>
      <sz val="16"/>
      <color rgb="FF3E2723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10"/>
      <color rgb="FF1A56A0"/>
      <name val="Arial"/>
      <family val="0"/>
      <charset val="1"/>
    </font>
    <font>
      <b val="true"/>
      <sz val="11"/>
      <color rgb="FF1A56A0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b val="true"/>
      <sz val="11"/>
      <color rgb="FFB3261E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1A17"/>
      <name val="Arial"/>
      <family val="0"/>
      <charset val="1"/>
    </font>
    <font>
      <sz val="10"/>
      <color rgb="FF3E2723"/>
      <name val="Arial"/>
      <family val="0"/>
      <charset val="1"/>
    </font>
    <font>
      <b val="true"/>
      <sz val="10"/>
      <color rgb="FF5D4037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b val="true"/>
      <sz val="10"/>
      <color rgb="FF7A6E66"/>
      <name val="Arial"/>
      <family val="0"/>
      <charset val="1"/>
    </font>
    <font>
      <b val="true"/>
      <sz val="12"/>
      <color rgb="FFB3261E"/>
      <name val="Arial"/>
      <family val="0"/>
      <charset val="1"/>
    </font>
    <font>
      <b val="true"/>
      <sz val="11"/>
      <color rgb="FF3E2723"/>
      <name val="Arial"/>
      <family val="0"/>
      <charset val="1"/>
    </font>
    <font>
      <sz val="10"/>
      <color rgb="FFB26A00"/>
      <name val="Arial"/>
      <family val="0"/>
      <charset val="1"/>
    </font>
    <font>
      <b val="true"/>
      <sz val="9"/>
      <color rgb="FF5D4037"/>
      <name val="Arial"/>
      <family val="0"/>
      <charset val="1"/>
    </font>
    <font>
      <b val="true"/>
      <sz val="9"/>
      <color rgb="FF1A56A0"/>
      <name val="Arial"/>
      <family val="0"/>
      <charset val="1"/>
    </font>
    <font>
      <i val="true"/>
      <sz val="9"/>
      <color rgb="FF7A6E6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E2723"/>
        <bgColor rgb="FF1F1A17"/>
      </patternFill>
    </fill>
    <fill>
      <patternFill patternType="solid">
        <fgColor rgb="FFC8A265"/>
        <bgColor rgb="FFFF8080"/>
      </patternFill>
    </fill>
    <fill>
      <patternFill patternType="solid">
        <fgColor rgb="FFFBF6EF"/>
        <bgColor rgb="FFF2EFE6"/>
      </patternFill>
    </fill>
    <fill>
      <patternFill patternType="solid">
        <fgColor rgb="FF5D4037"/>
        <bgColor rgb="FF3E2723"/>
      </patternFill>
    </fill>
    <fill>
      <patternFill patternType="solid">
        <fgColor rgb="FFFFFFFF"/>
        <bgColor rgb="FFFBF6EF"/>
      </patternFill>
    </fill>
    <fill>
      <patternFill patternType="solid">
        <fgColor rgb="FFFFF3C4"/>
        <bgColor rgb="FFF3EADD"/>
      </patternFill>
    </fill>
    <fill>
      <patternFill patternType="solid">
        <fgColor rgb="FFF3EADD"/>
        <bgColor rgb="FFF2EFE6"/>
      </patternFill>
    </fill>
    <fill>
      <patternFill patternType="solid">
        <fgColor rgb="FF2E7D32"/>
        <bgColor rgb="FF008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2E7D32"/>
      </top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B3261E"/>
      </top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3E2723"/>
      </top>
      <bottom/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B26A00"/>
      </top>
      <bottom/>
      <diagonal/>
    </border>
    <border diagonalUp="false" diagonalDown="false">
      <left style="thin">
        <color rgb="FFE8DCC8"/>
      </left>
      <right style="thin">
        <color rgb="FFE8DCC8"/>
      </right>
      <top/>
      <bottom/>
      <diagonal/>
    </border>
    <border diagonalUp="false" diagonalDown="false">
      <left style="thin">
        <color rgb="FFE8DCC8"/>
      </left>
      <right style="thin">
        <color rgb="FFE8DCC8"/>
      </right>
      <top/>
      <bottom style="thin">
        <color rgb="FFE8DCC8"/>
      </bottom>
      <diagonal/>
    </border>
    <border diagonalUp="false" diagonalDown="false">
      <left style="thin">
        <color rgb="FFE8DCC8"/>
      </left>
      <right style="thin">
        <color rgb="FFE8DCC8"/>
      </right>
      <top style="thick">
        <color rgb="FF5D4037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5D4037"/>
      </top>
      <bottom style="medium">
        <color rgb="FFC8A265"/>
      </bottom>
      <diagonal/>
    </border>
    <border diagonalUp="false" diagonalDown="false">
      <left style="thin">
        <color rgb="FFE8DCC8"/>
      </left>
      <right style="thin">
        <color rgb="FFE8DCC8"/>
      </right>
      <top style="thin">
        <color rgb="FFE8DCC8"/>
      </top>
      <bottom style="thin">
        <color rgb="FFE8DCC8"/>
      </bottom>
      <diagonal/>
    </border>
    <border diagonalUp="false" diagonalDown="false">
      <left/>
      <right/>
      <top style="medium">
        <color rgb="FFC8A265"/>
      </top>
      <bottom/>
      <diagonal/>
    </border>
    <border diagonalUp="false" diagonalDown="false">
      <left/>
      <right/>
      <top/>
      <bottom style="medium">
        <color rgb="FFC8A265"/>
      </bottom>
      <diagonal/>
    </border>
    <border diagonalUp="false" diagonalDown="false">
      <left style="thin">
        <color rgb="FFC8A265"/>
      </left>
      <right/>
      <top style="thin">
        <color rgb="FFC8A265"/>
      </top>
      <bottom style="thin">
        <color rgb="FFC8A265"/>
      </bottom>
      <diagonal/>
    </border>
    <border diagonalUp="false" diagonalDown="false">
      <left style="thin">
        <color rgb="FFFFFFFF"/>
      </left>
      <right/>
      <top/>
      <bottom style="medium">
        <color rgb="FFC8A265"/>
      </bottom>
      <diagonal/>
    </border>
    <border diagonalUp="false" diagonalDown="false">
      <left style="thin">
        <color rgb="FFC8A265"/>
      </left>
      <right style="thin">
        <color rgb="FFC8A265"/>
      </right>
      <top style="thin">
        <color rgb="FFC8A265"/>
      </top>
      <bottom style="thin">
        <color rgb="FFC8A26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2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6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8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4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8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0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1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4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6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7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9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1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2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7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9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8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4" fillId="8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3" fillId="8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38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39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0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41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2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4" fillId="7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5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6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7" fillId="9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8" fillId="2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9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1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2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3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4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6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4" fillId="7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6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5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5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6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6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4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7" fillId="6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8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6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7" fillId="8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8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2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Arial"/>
        <charset val="1"/>
        <family val="0"/>
        <b val="1"/>
        <color rgb="FFB3261E"/>
        <sz val="18"/>
      </font>
    </dxf>
    <dxf>
      <font>
        <name val="Arial"/>
        <charset val="1"/>
        <family val="0"/>
        <b val="1"/>
        <color rgb="FFB3261E"/>
        <sz val="10"/>
      </font>
      <fill>
        <patternFill>
          <bgColor rgb="FFFBE9E7"/>
        </patternFill>
      </fill>
    </dxf>
    <dxf>
      <font>
        <name val="Arial"/>
        <charset val="1"/>
        <family val="0"/>
        <b val="1"/>
        <color rgb="FF2E7D32"/>
        <sz val="10"/>
      </font>
    </dxf>
    <dxf>
      <font>
        <name val="Arial"/>
        <charset val="1"/>
        <family val="0"/>
        <b val="1"/>
        <color rgb="FFB3261E"/>
        <sz val="10"/>
      </font>
    </dxf>
    <dxf>
      <fill>
        <patternFill>
          <bgColor rgb="FFF2EFE6"/>
        </patternFill>
      </fill>
    </dxf>
    <dxf>
      <font>
        <name val="Arial"/>
        <charset val="1"/>
        <family val="0"/>
        <b val="1"/>
        <color rgb="FFFFD6D0"/>
        <sz val="13"/>
      </font>
    </dxf>
    <dxf>
      <font>
        <name val="Arial"/>
        <charset val="1"/>
        <family val="0"/>
        <b val="1"/>
        <color rgb="FF2E7D32"/>
        <sz val="9"/>
      </font>
      <fill>
        <patternFill>
          <bgColor rgb="FFE6F2E6"/>
        </patternFill>
      </fill>
    </dxf>
    <dxf>
      <font>
        <name val="Arial"/>
        <charset val="1"/>
        <family val="0"/>
        <b val="1"/>
        <color rgb="FFB3261E"/>
        <sz val="9"/>
      </font>
      <fill>
        <patternFill>
          <bgColor rgb="FFFBE9E7"/>
        </patternFill>
      </fill>
    </dxf>
    <dxf>
      <font>
        <name val="Arial"/>
        <charset val="1"/>
        <family val="0"/>
        <b val="1"/>
        <color rgb="FFB26A00"/>
        <sz val="8"/>
      </font>
      <fill>
        <patternFill>
          <bgColor rgb="FFFFF3C4"/>
        </patternFill>
      </fill>
    </dxf>
    <dxf>
      <font>
        <name val="Arial"/>
        <charset val="1"/>
        <family val="0"/>
        <b val="1"/>
        <color rgb="FFB3261E"/>
        <sz val="12"/>
      </font>
    </dxf>
    <dxf>
      <font>
        <name val="Arial"/>
        <charset val="1"/>
        <family val="0"/>
        <b val="1"/>
        <color rgb="FFB3261E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E8DCC8"/>
      <rgbColor rgb="FF878787"/>
      <rgbColor rgb="FF9999FF"/>
      <rgbColor rgb="FF5D4037"/>
      <rgbColor rgb="FFFFF3C4"/>
      <rgbColor rgb="FFE6F2E6"/>
      <rgbColor rgb="FF660066"/>
      <rgbColor rgb="FFFF8080"/>
      <rgbColor rgb="FF1A56A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EFE6"/>
      <rgbColor rgb="FFF3EADD"/>
      <rgbColor rgb="FFFBF6EF"/>
      <rgbColor rgb="FFFBE9E7"/>
      <rgbColor rgb="FFFF99CC"/>
      <rgbColor rgb="FFCC99FF"/>
      <rgbColor rgb="FFFFD6D0"/>
      <rgbColor rgb="FF4F81BD"/>
      <rgbColor rgb="FF33CCCC"/>
      <rgbColor rgb="FF99CC00"/>
      <rgbColor rgb="FFFFCC00"/>
      <rgbColor rgb="FFFF9900"/>
      <rgbColor rgb="FFFF6600"/>
      <rgbColor rgb="FF7A6E66"/>
      <rgbColor rgb="FFC8A265"/>
      <rgbColor rgb="FF003366"/>
      <rgbColor rgb="FF2E7D32"/>
      <rgbColor rgb="FF003300"/>
      <rgbColor rgb="FF1F1A17"/>
      <rgbColor rgb="FFB3261E"/>
      <rgbColor rgb="FF8D6E63"/>
      <rgbColor rgb="FF333399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Recette et dépenses, jour par jour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'RECAP DU JOURNAL'!F8</c:f>
              <c:strCache>
                <c:ptCount val="1"/>
                <c:pt idx="0">
                  <c:v>TOTAL
RECETTE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'RECAP DU JOURNAL'!$A$9:$A$39</c:f>
              <c:strCache>
                <c:ptCount val="31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  <c:pt idx="30">
                  <c:v/>
                </c:pt>
              </c:strCache>
            </c:strRef>
          </c:cat>
          <c:val>
            <c:numRef>
              <c:f>'RECAP DU JOURNAL'!$F$9:$F$39</c:f>
              <c:numCache>
                <c:formatCode>#,##0" DH";[RED]\-#,##0" DH";\–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strRef>
              <c:f>'RECAP DU JOURNAL'!K8</c:f>
              <c:strCache>
                <c:ptCount val="1"/>
                <c:pt idx="0">
                  <c:v>TOTAL
DÉPENSES</c:v>
                </c:pt>
              </c:strCache>
            </c:strRef>
          </c:tx>
          <c:spPr>
            <a:solidFill>
              <a:srgbClr val="b326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'RECAP DU JOURNAL'!$A$9:$A$39</c:f>
              <c:strCache>
                <c:ptCount val="31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  <c:pt idx="30">
                  <c:v/>
                </c:pt>
              </c:strCache>
            </c:strRef>
          </c:cat>
          <c:val>
            <c:numRef>
              <c:f>'RECAP DU JOURNAL'!$K$9:$K$39</c:f>
              <c:numCache>
                <c:formatCode>#,##0" DH";[RED]\-#,##0" DH";\–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40"/>
        <c:overlap val="0"/>
        <c:axId val="90999345"/>
        <c:axId val="69445505"/>
      </c:barChart>
      <c:catAx>
        <c:axId val="90999345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45505"/>
        <c:crosses val="autoZero"/>
        <c:auto val="1"/>
        <c:lblAlgn val="ctr"/>
        <c:lblOffset val="100"/>
        <c:noMultiLvlLbl val="0"/>
      </c:catAx>
      <c:valAx>
        <c:axId val="69445505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9934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Caisse en fin de journée, au fil du mois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'RECAP DU JOURNAL'!M8</c:f>
              <c:strCache>
                <c:ptCount val="1"/>
                <c:pt idx="0">
                  <c:v>CAISSE
CE SOIR</c:v>
                </c:pt>
              </c:strCache>
            </c:strRef>
          </c:tx>
          <c:spPr>
            <a:solidFill>
              <a:srgbClr val="3e2723"/>
            </a:solidFill>
            <a:ln w="28080">
              <a:solidFill>
                <a:srgbClr val="3e2723"/>
              </a:solidFill>
              <a:round/>
            </a:ln>
          </c:spPr>
          <c:marker>
            <c:symbol val="circle"/>
            <c:size val="5"/>
            <c:spPr>
              <a:solidFill>
                <a:srgbClr val="3e27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'RECAP DU JOURNAL'!$A$9:$A$39</c:f>
              <c:strCache>
                <c:ptCount val="31"/>
                <c:pt idx="0">
                  <c:v>01/09/2026</c:v>
                </c:pt>
                <c:pt idx="1">
                  <c:v>02/09/2026</c:v>
                </c:pt>
                <c:pt idx="2">
                  <c:v>03/09/2026</c:v>
                </c:pt>
                <c:pt idx="3">
                  <c:v>04/09/2026</c:v>
                </c:pt>
                <c:pt idx="4">
                  <c:v>05/09/2026</c:v>
                </c:pt>
                <c:pt idx="5">
                  <c:v>06/09/2026</c:v>
                </c:pt>
                <c:pt idx="6">
                  <c:v>07/09/2026</c:v>
                </c:pt>
                <c:pt idx="7">
                  <c:v>08/09/2026</c:v>
                </c:pt>
                <c:pt idx="8">
                  <c:v>09/09/2026</c:v>
                </c:pt>
                <c:pt idx="9">
                  <c:v>10/09/2026</c:v>
                </c:pt>
                <c:pt idx="10">
                  <c:v>11/09/2026</c:v>
                </c:pt>
                <c:pt idx="11">
                  <c:v>12/09/2026</c:v>
                </c:pt>
                <c:pt idx="12">
                  <c:v>13/09/2026</c:v>
                </c:pt>
                <c:pt idx="13">
                  <c:v>14/09/2026</c:v>
                </c:pt>
                <c:pt idx="14">
                  <c:v>15/09/2026</c:v>
                </c:pt>
                <c:pt idx="15">
                  <c:v>16/09/2026</c:v>
                </c:pt>
                <c:pt idx="16">
                  <c:v>17/09/2026</c:v>
                </c:pt>
                <c:pt idx="17">
                  <c:v>18/09/2026</c:v>
                </c:pt>
                <c:pt idx="18">
                  <c:v>19/09/2026</c:v>
                </c:pt>
                <c:pt idx="19">
                  <c:v>20/09/2026</c:v>
                </c:pt>
                <c:pt idx="20">
                  <c:v>21/09/2026</c:v>
                </c:pt>
                <c:pt idx="21">
                  <c:v>22/09/2026</c:v>
                </c:pt>
                <c:pt idx="22">
                  <c:v>23/09/2026</c:v>
                </c:pt>
                <c:pt idx="23">
                  <c:v>24/09/2026</c:v>
                </c:pt>
                <c:pt idx="24">
                  <c:v>25/09/2026</c:v>
                </c:pt>
                <c:pt idx="25">
                  <c:v>26/09/2026</c:v>
                </c:pt>
                <c:pt idx="26">
                  <c:v>27/09/2026</c:v>
                </c:pt>
                <c:pt idx="27">
                  <c:v>28/09/2026</c:v>
                </c:pt>
                <c:pt idx="28">
                  <c:v>29/09/2026</c:v>
                </c:pt>
                <c:pt idx="29">
                  <c:v>30/09/2026</c:v>
                </c:pt>
                <c:pt idx="30">
                  <c:v/>
                </c:pt>
              </c:strCache>
            </c:strRef>
          </c:cat>
          <c:val>
            <c:numRef>
              <c:f>'RECAP DU JOURNAL'!$M$9:$M$39</c:f>
              <c:numCache>
                <c:formatCode>#,##0" DH";[RED]\-#,##0" DH";\–</c:formatCode>
                <c:ptCount val="31"/>
                <c:pt idx="0">
                  <c:v>4223</c:v>
                </c:pt>
                <c:pt idx="1">
                  <c:v>4223</c:v>
                </c:pt>
                <c:pt idx="2">
                  <c:v>4223</c:v>
                </c:pt>
                <c:pt idx="3">
                  <c:v>4223</c:v>
                </c:pt>
                <c:pt idx="4">
                  <c:v>4223</c:v>
                </c:pt>
                <c:pt idx="5">
                  <c:v>4223</c:v>
                </c:pt>
                <c:pt idx="6">
                  <c:v>4223</c:v>
                </c:pt>
                <c:pt idx="7">
                  <c:v>4223</c:v>
                </c:pt>
                <c:pt idx="8">
                  <c:v>4223</c:v>
                </c:pt>
                <c:pt idx="9">
                  <c:v>4223</c:v>
                </c:pt>
                <c:pt idx="10">
                  <c:v>4223</c:v>
                </c:pt>
                <c:pt idx="11">
                  <c:v>4223</c:v>
                </c:pt>
                <c:pt idx="12">
                  <c:v>4223</c:v>
                </c:pt>
                <c:pt idx="13">
                  <c:v>4223</c:v>
                </c:pt>
                <c:pt idx="14">
                  <c:v>4223</c:v>
                </c:pt>
                <c:pt idx="15">
                  <c:v>4223</c:v>
                </c:pt>
                <c:pt idx="16">
                  <c:v>4223</c:v>
                </c:pt>
                <c:pt idx="17">
                  <c:v>4223</c:v>
                </c:pt>
                <c:pt idx="18">
                  <c:v>4223</c:v>
                </c:pt>
                <c:pt idx="19">
                  <c:v>4223</c:v>
                </c:pt>
                <c:pt idx="20">
                  <c:v>4223</c:v>
                </c:pt>
                <c:pt idx="21">
                  <c:v>4223</c:v>
                </c:pt>
                <c:pt idx="22">
                  <c:v>4223</c:v>
                </c:pt>
                <c:pt idx="23">
                  <c:v>4223</c:v>
                </c:pt>
                <c:pt idx="24">
                  <c:v>4223</c:v>
                </c:pt>
                <c:pt idx="25">
                  <c:v>4223</c:v>
                </c:pt>
                <c:pt idx="26">
                  <c:v>4223</c:v>
                </c:pt>
                <c:pt idx="27">
                  <c:v>4223</c:v>
                </c:pt>
                <c:pt idx="28">
                  <c:v>4223</c:v>
                </c:pt>
                <c:pt idx="29">
                  <c:v>4223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1882567"/>
        <c:axId val="4569086"/>
      </c:lineChart>
      <c:catAx>
        <c:axId val="61882567"/>
        <c:scaling>
          <c:orientation val="minMax"/>
        </c:scaling>
        <c:delete val="0"/>
        <c:axPos val="b"/>
        <c:numFmt formatCode="dd/mm/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9086"/>
        <c:crosses val="autoZero"/>
        <c:auto val="1"/>
        <c:lblAlgn val="ctr"/>
        <c:lblOffset val="100"/>
        <c:noMultiLvlLbl val="0"/>
      </c:catAx>
      <c:valAx>
        <c:axId val="4569086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82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Où part l’argent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BORD'!B55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c8a265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5d4037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26a0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d6e6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BORD'!$A$56:$A$59</c:f>
              <c:strCache>
                <c:ptCount val="4"/>
                <c:pt idx="0">
                  <c:v>Achats de marchandise</c:v>
                </c:pt>
                <c:pt idx="1">
                  <c:v>Charges fixes</c:v>
                </c:pt>
                <c:pt idx="2">
                  <c:v>Salaires et avances</c:v>
                </c:pt>
                <c:pt idx="3">
                  <c:v>Virements et divers</c:v>
                </c:pt>
              </c:strCache>
            </c:strRef>
          </c:cat>
          <c:val>
            <c:numRef>
              <c:f>'TABLEAU DE BORD'!$B$56:$B$59</c:f>
              <c:numCache>
                <c:formatCode>#,##0" DH";[RED]\-#,##0" DH";\–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40"/>
        <c:overlap val="0"/>
        <c:axId val="61723847"/>
        <c:axId val="86920242"/>
      </c:barChart>
      <c:catAx>
        <c:axId val="61723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20242"/>
        <c:crosses val="autoZero"/>
        <c:auto val="1"/>
        <c:lblAlgn val="ctr"/>
        <c:lblOffset val="100"/>
        <c:noMultiLvlLbl val="0"/>
      </c:catAx>
      <c:valAx>
        <c:axId val="86920242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238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Principaux fournisseurs du mois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'TABLEAU DE BORD'!G55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8d6e6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BORD'!$F$56:$F$67</c:f>
              <c:strCache>
                <c:ptCount val="12"/>
                <c:pt idx="0">
                  <c:v>BIM</c:v>
                </c:pt>
                <c:pt idx="1">
                  <c:v>AIN SAISS</c:v>
                </c:pt>
                <c:pt idx="2">
                  <c:v>NADAFA</c:v>
                </c:pt>
                <c:pt idx="3">
                  <c:v>CAFE</c:v>
                </c:pt>
                <c:pt idx="4">
                  <c:v>ORANGE</c:v>
                </c:pt>
                <c:pt idx="5">
                  <c:v>BOULANGERIE</c:v>
                </c:pt>
                <c:pt idx="6">
                  <c:v>COCA</c:v>
                </c:pt>
                <c:pt idx="7">
                  <c:v>MECAFE</c:v>
                </c:pt>
                <c:pt idx="8">
                  <c:v>OULMES</c:v>
                </c:pt>
                <c:pt idx="9">
                  <c:v>FRUITS</c:v>
                </c:pt>
                <c:pt idx="10">
                  <c:v>KHLII</c:v>
                </c:pt>
                <c:pt idx="11">
                  <c:v>CITRIN</c:v>
                </c:pt>
              </c:strCache>
            </c:strRef>
          </c:cat>
          <c:val>
            <c:numRef>
              <c:f>'TABLEAU DE BORD'!$G$56:$G$67</c:f>
              <c:numCache>
                <c:formatCode>#,##0" DH";[RED]\-#,##0" DH";\–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40"/>
        <c:overlap val="0"/>
        <c:axId val="61517126"/>
        <c:axId val="61433110"/>
      </c:barChart>
      <c:catAx>
        <c:axId val="615171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433110"/>
        <c:crosses val="autoZero"/>
        <c:auto val="1"/>
        <c:lblAlgn val="ctr"/>
        <c:lblOffset val="100"/>
        <c:noMultiLvlLbl val="0"/>
      </c:catAx>
      <c:valAx>
        <c:axId val="61433110"/>
        <c:scaling>
          <c:orientation val="minMax"/>
        </c:scaling>
        <c:delete val="0"/>
        <c:axPos val="l"/>
        <c:majorGridlines>
          <c:spPr>
            <a:ln w="9360">
              <a:solidFill>
                <a:srgbClr val="e8dcc8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5171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Charges fixes : budget contre réalisé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'CHARGES FIXES'!C4</c:f>
              <c:strCache>
                <c:ptCount val="1"/>
                <c:pt idx="0">
                  <c:v>BUDGET / MOIS</c:v>
                </c:pt>
              </c:strCache>
            </c:strRef>
          </c:tx>
          <c:spPr>
            <a:solidFill>
              <a:srgbClr val="c8a26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'CHARGES FIXES'!$B$5:$B$12</c:f>
              <c:strCache>
                <c:ptCount val="8"/>
                <c:pt idx="0">
                  <c:v>LOYER</c:v>
                </c:pt>
                <c:pt idx="1">
                  <c:v>EAU + ÉLECTRICITÉ</c:v>
                </c:pt>
                <c:pt idx="2">
                  <c:v>INTERNET &amp; TÉLÉPHONE</c:v>
                </c:pt>
                <c:pt idx="3">
                  <c:v>TAXES &amp; IMPÔTS</c:v>
                </c:pt>
                <c:pt idx="4">
                  <c:v>ASSURANCE</c:v>
                </c:pt>
                <c:pt idx="5">
                  <c:v>ABONNEMENTS TV</c:v>
                </c:pt>
                <c:pt idx="6">
                  <c:v>ENTRETIEN &amp; RÉPARATION</c:v>
                </c:pt>
                <c:pt idx="7">
                  <c:v>AUTRE CHARGE FIXE</c:v>
                </c:pt>
              </c:strCache>
            </c:strRef>
          </c:cat>
          <c:val>
            <c:numRef>
              <c:f>'CHARGES FIXES'!$C$5:$C$12</c:f>
              <c:numCache>
                <c:formatCode>#,##0" DH";[RED]\-#,##0" DH";\–</c:formatCode>
                <c:ptCount val="8"/>
                <c:pt idx="0">
                  <c:v>17000</c:v>
                </c:pt>
                <c:pt idx="1">
                  <c:v>4000</c:v>
                </c:pt>
                <c:pt idx="2">
                  <c:v>500</c:v>
                </c:pt>
                <c:pt idx="3">
                  <c:v>0</c:v>
                </c:pt>
                <c:pt idx="4">
                  <c:v>0</c:v>
                </c:pt>
                <c:pt idx="5">
                  <c:v>500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'CHARGES FIXES'!D4</c:f>
              <c:strCache>
                <c:ptCount val="1"/>
                <c:pt idx="0">
                  <c:v>RÉALISÉ DU MOIS</c:v>
                </c:pt>
              </c:strCache>
            </c:strRef>
          </c:tx>
          <c:spPr>
            <a:solidFill>
              <a:srgbClr val="5d403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'CHARGES FIXES'!$B$5:$B$12</c:f>
              <c:strCache>
                <c:ptCount val="8"/>
                <c:pt idx="0">
                  <c:v>LOYER</c:v>
                </c:pt>
                <c:pt idx="1">
                  <c:v>EAU + ÉLECTRICITÉ</c:v>
                </c:pt>
                <c:pt idx="2">
                  <c:v>INTERNET &amp; TÉLÉPHONE</c:v>
                </c:pt>
                <c:pt idx="3">
                  <c:v>TAXES &amp; IMPÔTS</c:v>
                </c:pt>
                <c:pt idx="4">
                  <c:v>ASSURANCE</c:v>
                </c:pt>
                <c:pt idx="5">
                  <c:v>ABONNEMENTS TV</c:v>
                </c:pt>
                <c:pt idx="6">
                  <c:v>ENTRETIEN &amp; RÉPARATION</c:v>
                </c:pt>
                <c:pt idx="7">
                  <c:v>AUTRE CHARGE FIXE</c:v>
                </c:pt>
              </c:strCache>
            </c:strRef>
          </c:cat>
          <c:val>
            <c:numRef>
              <c:f>'CHARGES FIXES'!$D$5:$D$12</c:f>
              <c:numCache>
                <c:formatCode>#,##0" DH";[RED]\-#,##0" DH";\–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5"/>
        <c:overlap val="0"/>
        <c:axId val="57426473"/>
        <c:axId val="15676267"/>
      </c:barChart>
      <c:catAx>
        <c:axId val="574264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76267"/>
        <c:crosses val="autoZero"/>
        <c:auto val="1"/>
        <c:lblAlgn val="ctr"/>
        <c:lblOffset val="100"/>
        <c:noMultiLvlLbl val="0"/>
      </c:catAx>
      <c:valAx>
        <c:axId val="15676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26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Recette et dépenses, mois par mois (DH)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'SUIVI MENSUEL'!C4</c:f>
              <c:strCache>
                <c:ptCount val="1"/>
                <c:pt idx="0">
                  <c:v>RECETTE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MENSUEL'!$B$5:$B$16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'SUIVI MENSUEL'!$C$5:$C$16</c:f>
              <c:numCache>
                <c:formatCode>#,##0" DH";[RED]\-#,##0" DH";\–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'SUIVI MENSUEL'!G4</c:f>
              <c:strCache>
                <c:ptCount val="1"/>
                <c:pt idx="0">
                  <c:v>TOTAL
DÉPENSES</c:v>
                </c:pt>
              </c:strCache>
            </c:strRef>
          </c:tx>
          <c:spPr>
            <a:solidFill>
              <a:srgbClr val="b3261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'SUIVI MENSUEL'!$B$5:$B$16</c:f>
              <c:strCache>
                <c:ptCount val="12"/>
                <c:pt idx="0">
                  <c:v>janvier 2026</c:v>
                </c:pt>
                <c:pt idx="1">
                  <c:v>février 2026</c:v>
                </c:pt>
                <c:pt idx="2">
                  <c:v>mars 2026</c:v>
                </c:pt>
                <c:pt idx="3">
                  <c:v>avril 2026</c:v>
                </c:pt>
                <c:pt idx="4">
                  <c:v>mai 2026</c:v>
                </c:pt>
                <c:pt idx="5">
                  <c:v>juin 2026</c:v>
                </c:pt>
                <c:pt idx="6">
                  <c:v>juillet 2026</c:v>
                </c:pt>
                <c:pt idx="7">
                  <c:v>août 2026</c:v>
                </c:pt>
                <c:pt idx="8">
                  <c:v>septembre 2026</c:v>
                </c:pt>
                <c:pt idx="9">
                  <c:v>octobre 2026</c:v>
                </c:pt>
                <c:pt idx="10">
                  <c:v>novembre 2026</c:v>
                </c:pt>
                <c:pt idx="11">
                  <c:v>décembre 2026</c:v>
                </c:pt>
              </c:strCache>
            </c:strRef>
          </c:cat>
          <c:val>
            <c:numRef>
              <c:f>'SUIVI MENSUEL'!$G$5:$G$16</c:f>
              <c:numCache>
                <c:formatCode>#,##0" DH";[RED]\-#,##0" DH";\–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35"/>
        <c:overlap val="0"/>
        <c:axId val="96482979"/>
        <c:axId val="9009203"/>
      </c:barChart>
      <c:catAx>
        <c:axId val="96482979"/>
        <c:scaling>
          <c:orientation val="minMax"/>
        </c:scaling>
        <c:delete val="0"/>
        <c:axPos val="b"/>
        <c:numFmt formatCode="[$-40C]m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9203"/>
        <c:crosses val="autoZero"/>
        <c:auto val="1"/>
        <c:lblAlgn val="ctr"/>
        <c:lblOffset val="100"/>
        <c:noMultiLvlLbl val="0"/>
      </c:catAx>
      <c:valAx>
        <c:axId val="9009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482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5</xdr:col>
      <xdr:colOff>569880</xdr:colOff>
      <xdr:row>31</xdr:row>
      <xdr:rowOff>119880</xdr:rowOff>
    </xdr:to>
    <xdr:graphicFrame>
      <xdr:nvGraphicFramePr>
        <xdr:cNvPr id="0" name="Chart 1"/>
        <xdr:cNvGraphicFramePr/>
      </xdr:nvGraphicFramePr>
      <xdr:xfrm>
        <a:off x="0" y="3772080"/>
        <a:ext cx="665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14</xdr:col>
      <xdr:colOff>468000</xdr:colOff>
      <xdr:row>31</xdr:row>
      <xdr:rowOff>119880</xdr:rowOff>
    </xdr:to>
    <xdr:graphicFrame>
      <xdr:nvGraphicFramePr>
        <xdr:cNvPr id="1" name="Chart 2"/>
        <xdr:cNvGraphicFramePr/>
      </xdr:nvGraphicFramePr>
      <xdr:xfrm>
        <a:off x="11157120" y="3772080"/>
        <a:ext cx="557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5</xdr:col>
      <xdr:colOff>29880</xdr:colOff>
      <xdr:row>50</xdr:row>
      <xdr:rowOff>11520</xdr:rowOff>
    </xdr:to>
    <xdr:graphicFrame>
      <xdr:nvGraphicFramePr>
        <xdr:cNvPr id="2" name="Chart 3"/>
        <xdr:cNvGraphicFramePr/>
      </xdr:nvGraphicFramePr>
      <xdr:xfrm>
        <a:off x="0" y="750564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15</xdr:col>
      <xdr:colOff>165600</xdr:colOff>
      <xdr:row>52</xdr:row>
      <xdr:rowOff>170640</xdr:rowOff>
    </xdr:to>
    <xdr:graphicFrame>
      <xdr:nvGraphicFramePr>
        <xdr:cNvPr id="3" name="Chart 4"/>
        <xdr:cNvGraphicFramePr/>
      </xdr:nvGraphicFramePr>
      <xdr:xfrm>
        <a:off x="11157120" y="7505640"/>
        <a:ext cx="62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</xdr:row>
      <xdr:rowOff>0</xdr:rowOff>
    </xdr:from>
    <xdr:to>
      <xdr:col>16</xdr:col>
      <xdr:colOff>10080</xdr:colOff>
      <xdr:row>14</xdr:row>
      <xdr:rowOff>344160</xdr:rowOff>
    </xdr:to>
    <xdr:graphicFrame>
      <xdr:nvGraphicFramePr>
        <xdr:cNvPr id="4" name="Chart 1"/>
        <xdr:cNvGraphicFramePr/>
      </xdr:nvGraphicFramePr>
      <xdr:xfrm>
        <a:off x="9601200" y="895320"/>
        <a:ext cx="68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3</xdr:row>
      <xdr:rowOff>0</xdr:rowOff>
    </xdr:from>
    <xdr:to>
      <xdr:col>20</xdr:col>
      <xdr:colOff>331200</xdr:colOff>
      <xdr:row>16</xdr:row>
      <xdr:rowOff>1080</xdr:rowOff>
    </xdr:to>
    <xdr:graphicFrame>
      <xdr:nvGraphicFramePr>
        <xdr:cNvPr id="5" name="Chart 1"/>
        <xdr:cNvGraphicFramePr/>
      </xdr:nvGraphicFramePr>
      <xdr:xfrm>
        <a:off x="10845720" y="8953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E2723"/>
    <pageSetUpPr fitToPage="true"/>
  </sheetPr>
  <dimension ref="A1:P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.5"/>
    <col collapsed="false" customWidth="true" hidden="false" outlineLevel="0" max="6" min="6" style="0" width="2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6" min="10" style="0" width="11.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5.5" hidden="false" customHeight="true" outlineLevel="0" collapsed="false">
      <c r="A4" s="3" t="n">
        <f aca="false">'RECAP DU JOURNAL'!$F$3</f>
        <v>46266</v>
      </c>
      <c r="B4" s="3"/>
      <c r="C4" s="3"/>
      <c r="D4" s="3"/>
      <c r="E4" s="3"/>
      <c r="F4" s="3"/>
      <c r="K4" s="4" t="s">
        <v>2</v>
      </c>
      <c r="L4" s="4"/>
      <c r="M4" s="4"/>
      <c r="N4" s="4"/>
      <c r="O4" s="4"/>
      <c r="P4" s="4"/>
    </row>
    <row r="6" customFormat="false" ht="15.75" hidden="false" customHeight="true" outlineLevel="0" collapsed="false">
      <c r="A6" s="5" t="s">
        <v>3</v>
      </c>
      <c r="B6" s="5"/>
      <c r="C6" s="5"/>
      <c r="E6" s="6" t="s">
        <v>4</v>
      </c>
      <c r="F6" s="6"/>
      <c r="G6" s="6"/>
      <c r="I6" s="7" t="s">
        <v>5</v>
      </c>
      <c r="J6" s="7"/>
      <c r="K6" s="7"/>
      <c r="M6" s="8" t="s">
        <v>6</v>
      </c>
      <c r="N6" s="8"/>
      <c r="O6" s="8"/>
    </row>
    <row r="7" customFormat="false" ht="27.75" hidden="false" customHeight="true" outlineLevel="0" collapsed="false">
      <c r="A7" s="9" t="n">
        <f aca="false">'RECAP DU JOURNAL'!$F$40</f>
        <v>0</v>
      </c>
      <c r="B7" s="9"/>
      <c r="C7" s="9"/>
      <c r="E7" s="10" t="n">
        <f aca="false">'RECAP DU JOURNAL'!$K$40</f>
        <v>0</v>
      </c>
      <c r="F7" s="10"/>
      <c r="G7" s="10"/>
      <c r="I7" s="11" t="n">
        <f aca="false">'RECAP DU JOURNAL'!$F$40-'RECAP DU JOURNAL'!$K$40</f>
        <v>0</v>
      </c>
      <c r="J7" s="11"/>
      <c r="K7" s="11"/>
      <c r="M7" s="12" t="n">
        <f aca="false">IFERROR(('RECAP DU JOURNAL'!$F$40-'RECAP DU JOURNAL'!$K$40)/'RECAP DU JOURNAL'!$F$40,0)</f>
        <v>0</v>
      </c>
      <c r="N7" s="12"/>
      <c r="O7" s="12"/>
    </row>
    <row r="8" customFormat="false" ht="15" hidden="false" customHeight="true" outlineLevel="0" collapsed="false">
      <c r="A8" s="13" t="s">
        <v>7</v>
      </c>
      <c r="B8" s="13"/>
      <c r="C8" s="13"/>
      <c r="E8" s="13" t="s">
        <v>8</v>
      </c>
      <c r="F8" s="13"/>
      <c r="G8" s="13"/>
      <c r="I8" s="13" t="s">
        <v>9</v>
      </c>
      <c r="J8" s="13"/>
      <c r="K8" s="13"/>
      <c r="M8" s="13" t="s">
        <v>10</v>
      </c>
      <c r="N8" s="13"/>
      <c r="O8" s="13"/>
    </row>
    <row r="10" customFormat="false" ht="15.75" hidden="false" customHeight="true" outlineLevel="0" collapsed="false">
      <c r="A10" s="14" t="s">
        <v>11</v>
      </c>
      <c r="B10" s="14"/>
      <c r="C10" s="14"/>
      <c r="E10" s="5" t="s">
        <v>12</v>
      </c>
      <c r="F10" s="5"/>
      <c r="G10" s="5"/>
      <c r="I10" s="7" t="s">
        <v>13</v>
      </c>
      <c r="J10" s="7"/>
      <c r="K10" s="7"/>
      <c r="M10" s="14" t="s">
        <v>14</v>
      </c>
      <c r="N10" s="14"/>
      <c r="O10" s="14"/>
    </row>
    <row r="11" customFormat="false" ht="27.75" hidden="false" customHeight="true" outlineLevel="0" collapsed="false">
      <c r="A11" s="15" t="n">
        <f aca="false">IFERROR('RECAP DU JOURNAL'!$F$40/COUNTIF('RECAP DU JOURNAL'!$F$9:$F$39,"&gt;0"),0)</f>
        <v>0</v>
      </c>
      <c r="B11" s="15"/>
      <c r="C11" s="15"/>
      <c r="E11" s="9" t="n">
        <f aca="false">IFERROR(MAX('RECAP DU JOURNAL'!$F$9:$F$39),0)</f>
        <v>0</v>
      </c>
      <c r="F11" s="9"/>
      <c r="G11" s="9"/>
      <c r="I11" s="11" t="n">
        <f aca="false">'RECAP DU JOURNAL'!$M$40</f>
        <v>4223</v>
      </c>
      <c r="J11" s="11"/>
      <c r="K11" s="11"/>
      <c r="M11" s="16" t="n">
        <f aca="false">COUNTIF('RECAP DU JOURNAL'!$F$9:$F$39,"&gt;0")</f>
        <v>0</v>
      </c>
      <c r="N11" s="16"/>
      <c r="O11" s="16"/>
    </row>
    <row r="12" customFormat="false" ht="15" hidden="false" customHeight="true" outlineLevel="0" collapsed="false">
      <c r="A12" s="13" t="s">
        <v>15</v>
      </c>
      <c r="B12" s="13"/>
      <c r="C12" s="13"/>
      <c r="E12" s="13" t="s">
        <v>16</v>
      </c>
      <c r="F12" s="13"/>
      <c r="G12" s="13"/>
      <c r="I12" s="13" t="s">
        <v>17</v>
      </c>
      <c r="J12" s="13"/>
      <c r="K12" s="13"/>
      <c r="M12" s="13" t="s">
        <v>18</v>
      </c>
      <c r="N12" s="13"/>
      <c r="O12" s="13"/>
    </row>
    <row r="15" customFormat="false" ht="24" hidden="false" customHeight="true" outlineLevel="0" collapsed="false">
      <c r="A15" s="17" t="s">
        <v>19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34" customFormat="false" ht="24" hidden="false" customHeight="true" outlineLevel="0" collapsed="false">
      <c r="A34" s="17" t="s">
        <v>20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54" customFormat="false" ht="24" hidden="false" customHeight="true" outlineLevel="0" collapsed="false">
      <c r="A54" s="17" t="s">
        <v>21</v>
      </c>
      <c r="B54" s="17"/>
      <c r="C54" s="17"/>
      <c r="D54" s="17"/>
      <c r="F54" s="17" t="s">
        <v>22</v>
      </c>
      <c r="G54" s="17"/>
      <c r="H54" s="17"/>
      <c r="I54" s="17"/>
    </row>
    <row r="55" customFormat="false" ht="30" hidden="false" customHeight="true" outlineLevel="0" collapsed="false">
      <c r="A55" s="18" t="s">
        <v>23</v>
      </c>
      <c r="B55" s="18" t="s">
        <v>24</v>
      </c>
      <c r="C55" s="18" t="s">
        <v>25</v>
      </c>
      <c r="D55" s="18" t="s">
        <v>26</v>
      </c>
      <c r="F55" s="18" t="s">
        <v>27</v>
      </c>
      <c r="G55" s="18" t="s">
        <v>24</v>
      </c>
      <c r="H55" s="18" t="s">
        <v>25</v>
      </c>
      <c r="I55" s="18" t="s">
        <v>26</v>
      </c>
    </row>
    <row r="56" customFormat="false" ht="15" hidden="false" customHeight="false" outlineLevel="0" collapsed="false">
      <c r="A56" s="19" t="s">
        <v>28</v>
      </c>
      <c r="B56" s="20" t="n">
        <f aca="false">'RECAP DU JOURNAL'!$G$40</f>
        <v>0</v>
      </c>
      <c r="C56" s="21" t="n">
        <f aca="false">IFERROR($B56/'RECAP DU JOURNAL'!$K$40,0)</f>
        <v>0</v>
      </c>
      <c r="D56" s="22" t="n">
        <f aca="false">IFERROR($B56/COUNTIF('RECAP DU JOURNAL'!$F$9:$F$39,"&gt;0"),0)</f>
        <v>0</v>
      </c>
      <c r="F56" s="19" t="s">
        <v>29</v>
      </c>
      <c r="G56" s="20" t="n">
        <f aca="false">SUMIF('01'!$B$12:$B$25,$F56,'01'!$C$12:$C$25)+SUMIF('02'!$B$12:$B$25,$F56,'02'!$C$12:$C$25)+SUMIF('03'!$B$12:$B$25,$F56,'03'!$C$12:$C$25)+SUMIF('04'!$B$12:$B$25,$F56,'04'!$C$12:$C$25)+SUMIF('05'!$B$12:$B$25,$F56,'05'!$C$12:$C$25)+SUMIF('06'!$B$12:$B$25,$F56,'06'!$C$12:$C$25)+SUMIF('07'!$B$12:$B$25,$F56,'07'!$C$12:$C$25)+SUMIF('08'!$B$12:$B$25,$F56,'08'!$C$12:$C$25)+SUMIF('09'!$B$12:$B$25,$F56,'09'!$C$12:$C$25)+SUMIF('10'!$B$12:$B$25,$F56,'10'!$C$12:$C$25)+SUMIF('11'!$B$12:$B$25,$F56,'11'!$C$12:$C$25)+SUMIF('12'!$B$12:$B$25,$F56,'12'!$C$12:$C$25)+SUMIF('13'!$B$12:$B$25,$F56,'13'!$C$12:$C$25)+SUMIF('14'!$B$12:$B$25,$F56,'14'!$C$12:$C$25)+SUMIF('15'!$B$12:$B$25,$F56,'15'!$C$12:$C$25)+SUMIF('16'!$B$12:$B$25,$F56,'16'!$C$12:$C$25)+SUMIF('17'!$B$12:$B$25,$F56,'17'!$C$12:$C$25)+SUMIF('18'!$B$12:$B$25,$F56,'18'!$C$12:$C$25)+SUMIF('19'!$B$12:$B$25,$F56,'19'!$C$12:$C$25)+SUMIF('20'!$B$12:$B$25,$F56,'20'!$C$12:$C$25)+SUMIF('21'!$B$12:$B$25,$F56,'21'!$C$12:$C$25)+SUMIF('22'!$B$12:$B$25,$F56,'22'!$C$12:$C$25)+SUMIF('23'!$B$12:$B$25,$F56,'23'!$C$12:$C$25)+SUMIF('24'!$B$12:$B$25,$F56,'24'!$C$12:$C$25)+SUMIF('25'!$B$12:$B$25,$F56,'25'!$C$12:$C$25)+SUMIF('26'!$B$12:$B$25,$F56,'26'!$C$12:$C$25)+SUMIF('27'!$B$12:$B$25,$F56,'27'!$C$12:$C$25)+SUMIF('28'!$B$12:$B$25,$F56,'28'!$C$12:$C$25)+SUMIF('29'!$B$12:$B$25,$F56,'29'!$C$12:$C$25)+SUMIF('30'!$B$12:$B$25,$F56,'30'!$C$12:$C$25)+SUMIF('31'!$B$12:$B$25,$F56,'31'!$C$12:$C$25)</f>
        <v>0</v>
      </c>
      <c r="H56" s="21" t="n">
        <f aca="false">IFERROR($G56/'RECAP DU JOURNAL'!$G$40,0)</f>
        <v>0</v>
      </c>
      <c r="I56" s="22" t="n">
        <f aca="false">IFERROR($G56/COUNTIF('RECAP DU JOURNAL'!$F$9:$F$39,"&gt;0"),0)</f>
        <v>0</v>
      </c>
    </row>
    <row r="57" customFormat="false" ht="15" hidden="false" customHeight="false" outlineLevel="0" collapsed="false">
      <c r="A57" s="23" t="s">
        <v>30</v>
      </c>
      <c r="B57" s="24" t="n">
        <f aca="false">'RECAP DU JOURNAL'!$H$40</f>
        <v>0</v>
      </c>
      <c r="C57" s="25" t="n">
        <f aca="false">IFERROR($B57/'RECAP DU JOURNAL'!$K$40,0)</f>
        <v>0</v>
      </c>
      <c r="D57" s="26" t="n">
        <f aca="false">IFERROR($B57/COUNTIF('RECAP DU JOURNAL'!$F$9:$F$39,"&gt;0"),0)</f>
        <v>0</v>
      </c>
      <c r="F57" s="23" t="s">
        <v>31</v>
      </c>
      <c r="G57" s="24" t="n">
        <f aca="false">SUMIF('01'!$B$12:$B$25,$F57,'01'!$C$12:$C$25)+SUMIF('02'!$B$12:$B$25,$F57,'02'!$C$12:$C$25)+SUMIF('03'!$B$12:$B$25,$F57,'03'!$C$12:$C$25)+SUMIF('04'!$B$12:$B$25,$F57,'04'!$C$12:$C$25)+SUMIF('05'!$B$12:$B$25,$F57,'05'!$C$12:$C$25)+SUMIF('06'!$B$12:$B$25,$F57,'06'!$C$12:$C$25)+SUMIF('07'!$B$12:$B$25,$F57,'07'!$C$12:$C$25)+SUMIF('08'!$B$12:$B$25,$F57,'08'!$C$12:$C$25)+SUMIF('09'!$B$12:$B$25,$F57,'09'!$C$12:$C$25)+SUMIF('10'!$B$12:$B$25,$F57,'10'!$C$12:$C$25)+SUMIF('11'!$B$12:$B$25,$F57,'11'!$C$12:$C$25)+SUMIF('12'!$B$12:$B$25,$F57,'12'!$C$12:$C$25)+SUMIF('13'!$B$12:$B$25,$F57,'13'!$C$12:$C$25)+SUMIF('14'!$B$12:$B$25,$F57,'14'!$C$12:$C$25)+SUMIF('15'!$B$12:$B$25,$F57,'15'!$C$12:$C$25)+SUMIF('16'!$B$12:$B$25,$F57,'16'!$C$12:$C$25)+SUMIF('17'!$B$12:$B$25,$F57,'17'!$C$12:$C$25)+SUMIF('18'!$B$12:$B$25,$F57,'18'!$C$12:$C$25)+SUMIF('19'!$B$12:$B$25,$F57,'19'!$C$12:$C$25)+SUMIF('20'!$B$12:$B$25,$F57,'20'!$C$12:$C$25)+SUMIF('21'!$B$12:$B$25,$F57,'21'!$C$12:$C$25)+SUMIF('22'!$B$12:$B$25,$F57,'22'!$C$12:$C$25)+SUMIF('23'!$B$12:$B$25,$F57,'23'!$C$12:$C$25)+SUMIF('24'!$B$12:$B$25,$F57,'24'!$C$12:$C$25)+SUMIF('25'!$B$12:$B$25,$F57,'25'!$C$12:$C$25)+SUMIF('26'!$B$12:$B$25,$F57,'26'!$C$12:$C$25)+SUMIF('27'!$B$12:$B$25,$F57,'27'!$C$12:$C$25)+SUMIF('28'!$B$12:$B$25,$F57,'28'!$C$12:$C$25)+SUMIF('29'!$B$12:$B$25,$F57,'29'!$C$12:$C$25)+SUMIF('30'!$B$12:$B$25,$F57,'30'!$C$12:$C$25)+SUMIF('31'!$B$12:$B$25,$F57,'31'!$C$12:$C$25)</f>
        <v>0</v>
      </c>
      <c r="H57" s="25" t="n">
        <f aca="false">IFERROR($G57/'RECAP DU JOURNAL'!$G$40,0)</f>
        <v>0</v>
      </c>
      <c r="I57" s="26" t="n">
        <f aca="false">IFERROR($G57/COUNTIF('RECAP DU JOURNAL'!$F$9:$F$39,"&gt;0"),0)</f>
        <v>0</v>
      </c>
    </row>
    <row r="58" customFormat="false" ht="15" hidden="false" customHeight="false" outlineLevel="0" collapsed="false">
      <c r="A58" s="19" t="s">
        <v>32</v>
      </c>
      <c r="B58" s="20" t="n">
        <f aca="false">'RECAP DU JOURNAL'!$I$40</f>
        <v>0</v>
      </c>
      <c r="C58" s="21" t="n">
        <f aca="false">IFERROR($B58/'RECAP DU JOURNAL'!$K$40,0)</f>
        <v>0</v>
      </c>
      <c r="D58" s="22" t="n">
        <f aca="false">IFERROR($B58/COUNTIF('RECAP DU JOURNAL'!$F$9:$F$39,"&gt;0"),0)</f>
        <v>0</v>
      </c>
      <c r="F58" s="19" t="s">
        <v>33</v>
      </c>
      <c r="G58" s="20" t="n">
        <f aca="false">SUMIF('01'!$B$12:$B$25,$F58,'01'!$C$12:$C$25)+SUMIF('02'!$B$12:$B$25,$F58,'02'!$C$12:$C$25)+SUMIF('03'!$B$12:$B$25,$F58,'03'!$C$12:$C$25)+SUMIF('04'!$B$12:$B$25,$F58,'04'!$C$12:$C$25)+SUMIF('05'!$B$12:$B$25,$F58,'05'!$C$12:$C$25)+SUMIF('06'!$B$12:$B$25,$F58,'06'!$C$12:$C$25)+SUMIF('07'!$B$12:$B$25,$F58,'07'!$C$12:$C$25)+SUMIF('08'!$B$12:$B$25,$F58,'08'!$C$12:$C$25)+SUMIF('09'!$B$12:$B$25,$F58,'09'!$C$12:$C$25)+SUMIF('10'!$B$12:$B$25,$F58,'10'!$C$12:$C$25)+SUMIF('11'!$B$12:$B$25,$F58,'11'!$C$12:$C$25)+SUMIF('12'!$B$12:$B$25,$F58,'12'!$C$12:$C$25)+SUMIF('13'!$B$12:$B$25,$F58,'13'!$C$12:$C$25)+SUMIF('14'!$B$12:$B$25,$F58,'14'!$C$12:$C$25)+SUMIF('15'!$B$12:$B$25,$F58,'15'!$C$12:$C$25)+SUMIF('16'!$B$12:$B$25,$F58,'16'!$C$12:$C$25)+SUMIF('17'!$B$12:$B$25,$F58,'17'!$C$12:$C$25)+SUMIF('18'!$B$12:$B$25,$F58,'18'!$C$12:$C$25)+SUMIF('19'!$B$12:$B$25,$F58,'19'!$C$12:$C$25)+SUMIF('20'!$B$12:$B$25,$F58,'20'!$C$12:$C$25)+SUMIF('21'!$B$12:$B$25,$F58,'21'!$C$12:$C$25)+SUMIF('22'!$B$12:$B$25,$F58,'22'!$C$12:$C$25)+SUMIF('23'!$B$12:$B$25,$F58,'23'!$C$12:$C$25)+SUMIF('24'!$B$12:$B$25,$F58,'24'!$C$12:$C$25)+SUMIF('25'!$B$12:$B$25,$F58,'25'!$C$12:$C$25)+SUMIF('26'!$B$12:$B$25,$F58,'26'!$C$12:$C$25)+SUMIF('27'!$B$12:$B$25,$F58,'27'!$C$12:$C$25)+SUMIF('28'!$B$12:$B$25,$F58,'28'!$C$12:$C$25)+SUMIF('29'!$B$12:$B$25,$F58,'29'!$C$12:$C$25)+SUMIF('30'!$B$12:$B$25,$F58,'30'!$C$12:$C$25)+SUMIF('31'!$B$12:$B$25,$F58,'31'!$C$12:$C$25)</f>
        <v>0</v>
      </c>
      <c r="H58" s="21" t="n">
        <f aca="false">IFERROR($G58/'RECAP DU JOURNAL'!$G$40,0)</f>
        <v>0</v>
      </c>
      <c r="I58" s="22" t="n">
        <f aca="false">IFERROR($G58/COUNTIF('RECAP DU JOURNAL'!$F$9:$F$39,"&gt;0"),0)</f>
        <v>0</v>
      </c>
    </row>
    <row r="59" customFormat="false" ht="15" hidden="false" customHeight="false" outlineLevel="0" collapsed="false">
      <c r="A59" s="23" t="s">
        <v>34</v>
      </c>
      <c r="B59" s="24" t="n">
        <f aca="false">'RECAP DU JOURNAL'!$J$40</f>
        <v>0</v>
      </c>
      <c r="C59" s="25" t="n">
        <f aca="false">IFERROR($B59/'RECAP DU JOURNAL'!$K$40,0)</f>
        <v>0</v>
      </c>
      <c r="D59" s="26" t="n">
        <f aca="false">IFERROR($B59/COUNTIF('RECAP DU JOURNAL'!$F$9:$F$39,"&gt;0"),0)</f>
        <v>0</v>
      </c>
      <c r="F59" s="23" t="s">
        <v>35</v>
      </c>
      <c r="G59" s="24" t="n">
        <f aca="false">SUMIF('01'!$B$12:$B$25,$F59,'01'!$C$12:$C$25)+SUMIF('02'!$B$12:$B$25,$F59,'02'!$C$12:$C$25)+SUMIF('03'!$B$12:$B$25,$F59,'03'!$C$12:$C$25)+SUMIF('04'!$B$12:$B$25,$F59,'04'!$C$12:$C$25)+SUMIF('05'!$B$12:$B$25,$F59,'05'!$C$12:$C$25)+SUMIF('06'!$B$12:$B$25,$F59,'06'!$C$12:$C$25)+SUMIF('07'!$B$12:$B$25,$F59,'07'!$C$12:$C$25)+SUMIF('08'!$B$12:$B$25,$F59,'08'!$C$12:$C$25)+SUMIF('09'!$B$12:$B$25,$F59,'09'!$C$12:$C$25)+SUMIF('10'!$B$12:$B$25,$F59,'10'!$C$12:$C$25)+SUMIF('11'!$B$12:$B$25,$F59,'11'!$C$12:$C$25)+SUMIF('12'!$B$12:$B$25,$F59,'12'!$C$12:$C$25)+SUMIF('13'!$B$12:$B$25,$F59,'13'!$C$12:$C$25)+SUMIF('14'!$B$12:$B$25,$F59,'14'!$C$12:$C$25)+SUMIF('15'!$B$12:$B$25,$F59,'15'!$C$12:$C$25)+SUMIF('16'!$B$12:$B$25,$F59,'16'!$C$12:$C$25)+SUMIF('17'!$B$12:$B$25,$F59,'17'!$C$12:$C$25)+SUMIF('18'!$B$12:$B$25,$F59,'18'!$C$12:$C$25)+SUMIF('19'!$B$12:$B$25,$F59,'19'!$C$12:$C$25)+SUMIF('20'!$B$12:$B$25,$F59,'20'!$C$12:$C$25)+SUMIF('21'!$B$12:$B$25,$F59,'21'!$C$12:$C$25)+SUMIF('22'!$B$12:$B$25,$F59,'22'!$C$12:$C$25)+SUMIF('23'!$B$12:$B$25,$F59,'23'!$C$12:$C$25)+SUMIF('24'!$B$12:$B$25,$F59,'24'!$C$12:$C$25)+SUMIF('25'!$B$12:$B$25,$F59,'25'!$C$12:$C$25)+SUMIF('26'!$B$12:$B$25,$F59,'26'!$C$12:$C$25)+SUMIF('27'!$B$12:$B$25,$F59,'27'!$C$12:$C$25)+SUMIF('28'!$B$12:$B$25,$F59,'28'!$C$12:$C$25)+SUMIF('29'!$B$12:$B$25,$F59,'29'!$C$12:$C$25)+SUMIF('30'!$B$12:$B$25,$F59,'30'!$C$12:$C$25)+SUMIF('31'!$B$12:$B$25,$F59,'31'!$C$12:$C$25)</f>
        <v>0</v>
      </c>
      <c r="H59" s="25" t="n">
        <f aca="false">IFERROR($G59/'RECAP DU JOURNAL'!$G$40,0)</f>
        <v>0</v>
      </c>
      <c r="I59" s="26" t="n">
        <f aca="false">IFERROR($G59/COUNTIF('RECAP DU JOURNAL'!$F$9:$F$39,"&gt;0"),0)</f>
        <v>0</v>
      </c>
    </row>
    <row r="60" customFormat="false" ht="24" hidden="false" customHeight="true" outlineLevel="0" collapsed="false">
      <c r="A60" s="27" t="s">
        <v>36</v>
      </c>
      <c r="B60" s="28" t="n">
        <f aca="false">SUM($B$56:$B$59)</f>
        <v>0</v>
      </c>
      <c r="C60" s="29" t="n">
        <f aca="false">IFERROR($B60/$B60,0)</f>
        <v>0</v>
      </c>
      <c r="D60" s="28" t="n">
        <f aca="false">IFERROR($B60/COUNTIF('RECAP DU JOURNAL'!$F$9:$F$39,"&gt;0"),0)</f>
        <v>0</v>
      </c>
      <c r="F60" s="19" t="s">
        <v>37</v>
      </c>
      <c r="G60" s="20" t="n">
        <f aca="false">SUMIF('01'!$B$12:$B$25,$F60,'01'!$C$12:$C$25)+SUMIF('02'!$B$12:$B$25,$F60,'02'!$C$12:$C$25)+SUMIF('03'!$B$12:$B$25,$F60,'03'!$C$12:$C$25)+SUMIF('04'!$B$12:$B$25,$F60,'04'!$C$12:$C$25)+SUMIF('05'!$B$12:$B$25,$F60,'05'!$C$12:$C$25)+SUMIF('06'!$B$12:$B$25,$F60,'06'!$C$12:$C$25)+SUMIF('07'!$B$12:$B$25,$F60,'07'!$C$12:$C$25)+SUMIF('08'!$B$12:$B$25,$F60,'08'!$C$12:$C$25)+SUMIF('09'!$B$12:$B$25,$F60,'09'!$C$12:$C$25)+SUMIF('10'!$B$12:$B$25,$F60,'10'!$C$12:$C$25)+SUMIF('11'!$B$12:$B$25,$F60,'11'!$C$12:$C$25)+SUMIF('12'!$B$12:$B$25,$F60,'12'!$C$12:$C$25)+SUMIF('13'!$B$12:$B$25,$F60,'13'!$C$12:$C$25)+SUMIF('14'!$B$12:$B$25,$F60,'14'!$C$12:$C$25)+SUMIF('15'!$B$12:$B$25,$F60,'15'!$C$12:$C$25)+SUMIF('16'!$B$12:$B$25,$F60,'16'!$C$12:$C$25)+SUMIF('17'!$B$12:$B$25,$F60,'17'!$C$12:$C$25)+SUMIF('18'!$B$12:$B$25,$F60,'18'!$C$12:$C$25)+SUMIF('19'!$B$12:$B$25,$F60,'19'!$C$12:$C$25)+SUMIF('20'!$B$12:$B$25,$F60,'20'!$C$12:$C$25)+SUMIF('21'!$B$12:$B$25,$F60,'21'!$C$12:$C$25)+SUMIF('22'!$B$12:$B$25,$F60,'22'!$C$12:$C$25)+SUMIF('23'!$B$12:$B$25,$F60,'23'!$C$12:$C$25)+SUMIF('24'!$B$12:$B$25,$F60,'24'!$C$12:$C$25)+SUMIF('25'!$B$12:$B$25,$F60,'25'!$C$12:$C$25)+SUMIF('26'!$B$12:$B$25,$F60,'26'!$C$12:$C$25)+SUMIF('27'!$B$12:$B$25,$F60,'27'!$C$12:$C$25)+SUMIF('28'!$B$12:$B$25,$F60,'28'!$C$12:$C$25)+SUMIF('29'!$B$12:$B$25,$F60,'29'!$C$12:$C$25)+SUMIF('30'!$B$12:$B$25,$F60,'30'!$C$12:$C$25)+SUMIF('31'!$B$12:$B$25,$F60,'31'!$C$12:$C$25)</f>
        <v>0</v>
      </c>
      <c r="H60" s="21" t="n">
        <f aca="false">IFERROR($G60/'RECAP DU JOURNAL'!$G$40,0)</f>
        <v>0</v>
      </c>
      <c r="I60" s="22" t="n">
        <f aca="false">IFERROR($G60/COUNTIF('RECAP DU JOURNAL'!$F$9:$F$39,"&gt;0"),0)</f>
        <v>0</v>
      </c>
    </row>
    <row r="61" customFormat="false" ht="15" hidden="false" customHeight="false" outlineLevel="0" collapsed="false">
      <c r="F61" s="23" t="s">
        <v>38</v>
      </c>
      <c r="G61" s="24" t="n">
        <f aca="false">SUMIF('01'!$B$12:$B$25,$F61,'01'!$C$12:$C$25)+SUMIF('02'!$B$12:$B$25,$F61,'02'!$C$12:$C$25)+SUMIF('03'!$B$12:$B$25,$F61,'03'!$C$12:$C$25)+SUMIF('04'!$B$12:$B$25,$F61,'04'!$C$12:$C$25)+SUMIF('05'!$B$12:$B$25,$F61,'05'!$C$12:$C$25)+SUMIF('06'!$B$12:$B$25,$F61,'06'!$C$12:$C$25)+SUMIF('07'!$B$12:$B$25,$F61,'07'!$C$12:$C$25)+SUMIF('08'!$B$12:$B$25,$F61,'08'!$C$12:$C$25)+SUMIF('09'!$B$12:$B$25,$F61,'09'!$C$12:$C$25)+SUMIF('10'!$B$12:$B$25,$F61,'10'!$C$12:$C$25)+SUMIF('11'!$B$12:$B$25,$F61,'11'!$C$12:$C$25)+SUMIF('12'!$B$12:$B$25,$F61,'12'!$C$12:$C$25)+SUMIF('13'!$B$12:$B$25,$F61,'13'!$C$12:$C$25)+SUMIF('14'!$B$12:$B$25,$F61,'14'!$C$12:$C$25)+SUMIF('15'!$B$12:$B$25,$F61,'15'!$C$12:$C$25)+SUMIF('16'!$B$12:$B$25,$F61,'16'!$C$12:$C$25)+SUMIF('17'!$B$12:$B$25,$F61,'17'!$C$12:$C$25)+SUMIF('18'!$B$12:$B$25,$F61,'18'!$C$12:$C$25)+SUMIF('19'!$B$12:$B$25,$F61,'19'!$C$12:$C$25)+SUMIF('20'!$B$12:$B$25,$F61,'20'!$C$12:$C$25)+SUMIF('21'!$B$12:$B$25,$F61,'21'!$C$12:$C$25)+SUMIF('22'!$B$12:$B$25,$F61,'22'!$C$12:$C$25)+SUMIF('23'!$B$12:$B$25,$F61,'23'!$C$12:$C$25)+SUMIF('24'!$B$12:$B$25,$F61,'24'!$C$12:$C$25)+SUMIF('25'!$B$12:$B$25,$F61,'25'!$C$12:$C$25)+SUMIF('26'!$B$12:$B$25,$F61,'26'!$C$12:$C$25)+SUMIF('27'!$B$12:$B$25,$F61,'27'!$C$12:$C$25)+SUMIF('28'!$B$12:$B$25,$F61,'28'!$C$12:$C$25)+SUMIF('29'!$B$12:$B$25,$F61,'29'!$C$12:$C$25)+SUMIF('30'!$B$12:$B$25,$F61,'30'!$C$12:$C$25)+SUMIF('31'!$B$12:$B$25,$F61,'31'!$C$12:$C$25)</f>
        <v>0</v>
      </c>
      <c r="H61" s="25" t="n">
        <f aca="false">IFERROR($G61/'RECAP DU JOURNAL'!$G$40,0)</f>
        <v>0</v>
      </c>
      <c r="I61" s="26" t="n">
        <f aca="false">IFERROR($G61/COUNTIF('RECAP DU JOURNAL'!$F$9:$F$39,"&gt;0"),0)</f>
        <v>0</v>
      </c>
    </row>
    <row r="62" customFormat="false" ht="15" hidden="false" customHeight="false" outlineLevel="0" collapsed="false">
      <c r="F62" s="19" t="s">
        <v>39</v>
      </c>
      <c r="G62" s="20" t="n">
        <f aca="false">SUMIF('01'!$B$12:$B$25,$F62,'01'!$C$12:$C$25)+SUMIF('02'!$B$12:$B$25,$F62,'02'!$C$12:$C$25)+SUMIF('03'!$B$12:$B$25,$F62,'03'!$C$12:$C$25)+SUMIF('04'!$B$12:$B$25,$F62,'04'!$C$12:$C$25)+SUMIF('05'!$B$12:$B$25,$F62,'05'!$C$12:$C$25)+SUMIF('06'!$B$12:$B$25,$F62,'06'!$C$12:$C$25)+SUMIF('07'!$B$12:$B$25,$F62,'07'!$C$12:$C$25)+SUMIF('08'!$B$12:$B$25,$F62,'08'!$C$12:$C$25)+SUMIF('09'!$B$12:$B$25,$F62,'09'!$C$12:$C$25)+SUMIF('10'!$B$12:$B$25,$F62,'10'!$C$12:$C$25)+SUMIF('11'!$B$12:$B$25,$F62,'11'!$C$12:$C$25)+SUMIF('12'!$B$12:$B$25,$F62,'12'!$C$12:$C$25)+SUMIF('13'!$B$12:$B$25,$F62,'13'!$C$12:$C$25)+SUMIF('14'!$B$12:$B$25,$F62,'14'!$C$12:$C$25)+SUMIF('15'!$B$12:$B$25,$F62,'15'!$C$12:$C$25)+SUMIF('16'!$B$12:$B$25,$F62,'16'!$C$12:$C$25)+SUMIF('17'!$B$12:$B$25,$F62,'17'!$C$12:$C$25)+SUMIF('18'!$B$12:$B$25,$F62,'18'!$C$12:$C$25)+SUMIF('19'!$B$12:$B$25,$F62,'19'!$C$12:$C$25)+SUMIF('20'!$B$12:$B$25,$F62,'20'!$C$12:$C$25)+SUMIF('21'!$B$12:$B$25,$F62,'21'!$C$12:$C$25)+SUMIF('22'!$B$12:$B$25,$F62,'22'!$C$12:$C$25)+SUMIF('23'!$B$12:$B$25,$F62,'23'!$C$12:$C$25)+SUMIF('24'!$B$12:$B$25,$F62,'24'!$C$12:$C$25)+SUMIF('25'!$B$12:$B$25,$F62,'25'!$C$12:$C$25)+SUMIF('26'!$B$12:$B$25,$F62,'26'!$C$12:$C$25)+SUMIF('27'!$B$12:$B$25,$F62,'27'!$C$12:$C$25)+SUMIF('28'!$B$12:$B$25,$F62,'28'!$C$12:$C$25)+SUMIF('29'!$B$12:$B$25,$F62,'29'!$C$12:$C$25)+SUMIF('30'!$B$12:$B$25,$F62,'30'!$C$12:$C$25)+SUMIF('31'!$B$12:$B$25,$F62,'31'!$C$12:$C$25)</f>
        <v>0</v>
      </c>
      <c r="H62" s="21" t="n">
        <f aca="false">IFERROR($G62/'RECAP DU JOURNAL'!$G$40,0)</f>
        <v>0</v>
      </c>
      <c r="I62" s="22" t="n">
        <f aca="false">IFERROR($G62/COUNTIF('RECAP DU JOURNAL'!$F$9:$F$39,"&gt;0"),0)</f>
        <v>0</v>
      </c>
    </row>
    <row r="63" customFormat="false" ht="15" hidden="false" customHeight="false" outlineLevel="0" collapsed="false">
      <c r="F63" s="23" t="s">
        <v>40</v>
      </c>
      <c r="G63" s="24" t="n">
        <f aca="false">SUMIF('01'!$B$12:$B$25,$F63,'01'!$C$12:$C$25)+SUMIF('02'!$B$12:$B$25,$F63,'02'!$C$12:$C$25)+SUMIF('03'!$B$12:$B$25,$F63,'03'!$C$12:$C$25)+SUMIF('04'!$B$12:$B$25,$F63,'04'!$C$12:$C$25)+SUMIF('05'!$B$12:$B$25,$F63,'05'!$C$12:$C$25)+SUMIF('06'!$B$12:$B$25,$F63,'06'!$C$12:$C$25)+SUMIF('07'!$B$12:$B$25,$F63,'07'!$C$12:$C$25)+SUMIF('08'!$B$12:$B$25,$F63,'08'!$C$12:$C$25)+SUMIF('09'!$B$12:$B$25,$F63,'09'!$C$12:$C$25)+SUMIF('10'!$B$12:$B$25,$F63,'10'!$C$12:$C$25)+SUMIF('11'!$B$12:$B$25,$F63,'11'!$C$12:$C$25)+SUMIF('12'!$B$12:$B$25,$F63,'12'!$C$12:$C$25)+SUMIF('13'!$B$12:$B$25,$F63,'13'!$C$12:$C$25)+SUMIF('14'!$B$12:$B$25,$F63,'14'!$C$12:$C$25)+SUMIF('15'!$B$12:$B$25,$F63,'15'!$C$12:$C$25)+SUMIF('16'!$B$12:$B$25,$F63,'16'!$C$12:$C$25)+SUMIF('17'!$B$12:$B$25,$F63,'17'!$C$12:$C$25)+SUMIF('18'!$B$12:$B$25,$F63,'18'!$C$12:$C$25)+SUMIF('19'!$B$12:$B$25,$F63,'19'!$C$12:$C$25)+SUMIF('20'!$B$12:$B$25,$F63,'20'!$C$12:$C$25)+SUMIF('21'!$B$12:$B$25,$F63,'21'!$C$12:$C$25)+SUMIF('22'!$B$12:$B$25,$F63,'22'!$C$12:$C$25)+SUMIF('23'!$B$12:$B$25,$F63,'23'!$C$12:$C$25)+SUMIF('24'!$B$12:$B$25,$F63,'24'!$C$12:$C$25)+SUMIF('25'!$B$12:$B$25,$F63,'25'!$C$12:$C$25)+SUMIF('26'!$B$12:$B$25,$F63,'26'!$C$12:$C$25)+SUMIF('27'!$B$12:$B$25,$F63,'27'!$C$12:$C$25)+SUMIF('28'!$B$12:$B$25,$F63,'28'!$C$12:$C$25)+SUMIF('29'!$B$12:$B$25,$F63,'29'!$C$12:$C$25)+SUMIF('30'!$B$12:$B$25,$F63,'30'!$C$12:$C$25)+SUMIF('31'!$B$12:$B$25,$F63,'31'!$C$12:$C$25)</f>
        <v>0</v>
      </c>
      <c r="H63" s="25" t="n">
        <f aca="false">IFERROR($G63/'RECAP DU JOURNAL'!$G$40,0)</f>
        <v>0</v>
      </c>
      <c r="I63" s="26" t="n">
        <f aca="false">IFERROR($G63/COUNTIF('RECAP DU JOURNAL'!$F$9:$F$39,"&gt;0"),0)</f>
        <v>0</v>
      </c>
    </row>
    <row r="64" customFormat="false" ht="15" hidden="false" customHeight="false" outlineLevel="0" collapsed="false">
      <c r="F64" s="19" t="s">
        <v>41</v>
      </c>
      <c r="G64" s="20" t="n">
        <f aca="false">SUMIF('01'!$B$12:$B$25,$F64,'01'!$C$12:$C$25)+SUMIF('02'!$B$12:$B$25,$F64,'02'!$C$12:$C$25)+SUMIF('03'!$B$12:$B$25,$F64,'03'!$C$12:$C$25)+SUMIF('04'!$B$12:$B$25,$F64,'04'!$C$12:$C$25)+SUMIF('05'!$B$12:$B$25,$F64,'05'!$C$12:$C$25)+SUMIF('06'!$B$12:$B$25,$F64,'06'!$C$12:$C$25)+SUMIF('07'!$B$12:$B$25,$F64,'07'!$C$12:$C$25)+SUMIF('08'!$B$12:$B$25,$F64,'08'!$C$12:$C$25)+SUMIF('09'!$B$12:$B$25,$F64,'09'!$C$12:$C$25)+SUMIF('10'!$B$12:$B$25,$F64,'10'!$C$12:$C$25)+SUMIF('11'!$B$12:$B$25,$F64,'11'!$C$12:$C$25)+SUMIF('12'!$B$12:$B$25,$F64,'12'!$C$12:$C$25)+SUMIF('13'!$B$12:$B$25,$F64,'13'!$C$12:$C$25)+SUMIF('14'!$B$12:$B$25,$F64,'14'!$C$12:$C$25)+SUMIF('15'!$B$12:$B$25,$F64,'15'!$C$12:$C$25)+SUMIF('16'!$B$12:$B$25,$F64,'16'!$C$12:$C$25)+SUMIF('17'!$B$12:$B$25,$F64,'17'!$C$12:$C$25)+SUMIF('18'!$B$12:$B$25,$F64,'18'!$C$12:$C$25)+SUMIF('19'!$B$12:$B$25,$F64,'19'!$C$12:$C$25)+SUMIF('20'!$B$12:$B$25,$F64,'20'!$C$12:$C$25)+SUMIF('21'!$B$12:$B$25,$F64,'21'!$C$12:$C$25)+SUMIF('22'!$B$12:$B$25,$F64,'22'!$C$12:$C$25)+SUMIF('23'!$B$12:$B$25,$F64,'23'!$C$12:$C$25)+SUMIF('24'!$B$12:$B$25,$F64,'24'!$C$12:$C$25)+SUMIF('25'!$B$12:$B$25,$F64,'25'!$C$12:$C$25)+SUMIF('26'!$B$12:$B$25,$F64,'26'!$C$12:$C$25)+SUMIF('27'!$B$12:$B$25,$F64,'27'!$C$12:$C$25)+SUMIF('28'!$B$12:$B$25,$F64,'28'!$C$12:$C$25)+SUMIF('29'!$B$12:$B$25,$F64,'29'!$C$12:$C$25)+SUMIF('30'!$B$12:$B$25,$F64,'30'!$C$12:$C$25)+SUMIF('31'!$B$12:$B$25,$F64,'31'!$C$12:$C$25)</f>
        <v>0</v>
      </c>
      <c r="H64" s="21" t="n">
        <f aca="false">IFERROR($G64/'RECAP DU JOURNAL'!$G$40,0)</f>
        <v>0</v>
      </c>
      <c r="I64" s="22" t="n">
        <f aca="false">IFERROR($G64/COUNTIF('RECAP DU JOURNAL'!$F$9:$F$39,"&gt;0"),0)</f>
        <v>0</v>
      </c>
    </row>
    <row r="65" customFormat="false" ht="15" hidden="false" customHeight="false" outlineLevel="0" collapsed="false">
      <c r="F65" s="23" t="s">
        <v>42</v>
      </c>
      <c r="G65" s="24" t="n">
        <f aca="false">SUMIF('01'!$B$12:$B$25,$F65,'01'!$C$12:$C$25)+SUMIF('02'!$B$12:$B$25,$F65,'02'!$C$12:$C$25)+SUMIF('03'!$B$12:$B$25,$F65,'03'!$C$12:$C$25)+SUMIF('04'!$B$12:$B$25,$F65,'04'!$C$12:$C$25)+SUMIF('05'!$B$12:$B$25,$F65,'05'!$C$12:$C$25)+SUMIF('06'!$B$12:$B$25,$F65,'06'!$C$12:$C$25)+SUMIF('07'!$B$12:$B$25,$F65,'07'!$C$12:$C$25)+SUMIF('08'!$B$12:$B$25,$F65,'08'!$C$12:$C$25)+SUMIF('09'!$B$12:$B$25,$F65,'09'!$C$12:$C$25)+SUMIF('10'!$B$12:$B$25,$F65,'10'!$C$12:$C$25)+SUMIF('11'!$B$12:$B$25,$F65,'11'!$C$12:$C$25)+SUMIF('12'!$B$12:$B$25,$F65,'12'!$C$12:$C$25)+SUMIF('13'!$B$12:$B$25,$F65,'13'!$C$12:$C$25)+SUMIF('14'!$B$12:$B$25,$F65,'14'!$C$12:$C$25)+SUMIF('15'!$B$12:$B$25,$F65,'15'!$C$12:$C$25)+SUMIF('16'!$B$12:$B$25,$F65,'16'!$C$12:$C$25)+SUMIF('17'!$B$12:$B$25,$F65,'17'!$C$12:$C$25)+SUMIF('18'!$B$12:$B$25,$F65,'18'!$C$12:$C$25)+SUMIF('19'!$B$12:$B$25,$F65,'19'!$C$12:$C$25)+SUMIF('20'!$B$12:$B$25,$F65,'20'!$C$12:$C$25)+SUMIF('21'!$B$12:$B$25,$F65,'21'!$C$12:$C$25)+SUMIF('22'!$B$12:$B$25,$F65,'22'!$C$12:$C$25)+SUMIF('23'!$B$12:$B$25,$F65,'23'!$C$12:$C$25)+SUMIF('24'!$B$12:$B$25,$F65,'24'!$C$12:$C$25)+SUMIF('25'!$B$12:$B$25,$F65,'25'!$C$12:$C$25)+SUMIF('26'!$B$12:$B$25,$F65,'26'!$C$12:$C$25)+SUMIF('27'!$B$12:$B$25,$F65,'27'!$C$12:$C$25)+SUMIF('28'!$B$12:$B$25,$F65,'28'!$C$12:$C$25)+SUMIF('29'!$B$12:$B$25,$F65,'29'!$C$12:$C$25)+SUMIF('30'!$B$12:$B$25,$F65,'30'!$C$12:$C$25)+SUMIF('31'!$B$12:$B$25,$F65,'31'!$C$12:$C$25)</f>
        <v>0</v>
      </c>
      <c r="H65" s="25" t="n">
        <f aca="false">IFERROR($G65/'RECAP DU JOURNAL'!$G$40,0)</f>
        <v>0</v>
      </c>
      <c r="I65" s="26" t="n">
        <f aca="false">IFERROR($G65/COUNTIF('RECAP DU JOURNAL'!$F$9:$F$39,"&gt;0"),0)</f>
        <v>0</v>
      </c>
    </row>
    <row r="66" customFormat="false" ht="15" hidden="false" customHeight="false" outlineLevel="0" collapsed="false">
      <c r="F66" s="19" t="s">
        <v>43</v>
      </c>
      <c r="G66" s="20" t="n">
        <f aca="false">SUMIF('01'!$B$12:$B$25,$F66,'01'!$C$12:$C$25)+SUMIF('02'!$B$12:$B$25,$F66,'02'!$C$12:$C$25)+SUMIF('03'!$B$12:$B$25,$F66,'03'!$C$12:$C$25)+SUMIF('04'!$B$12:$B$25,$F66,'04'!$C$12:$C$25)+SUMIF('05'!$B$12:$B$25,$F66,'05'!$C$12:$C$25)+SUMIF('06'!$B$12:$B$25,$F66,'06'!$C$12:$C$25)+SUMIF('07'!$B$12:$B$25,$F66,'07'!$C$12:$C$25)+SUMIF('08'!$B$12:$B$25,$F66,'08'!$C$12:$C$25)+SUMIF('09'!$B$12:$B$25,$F66,'09'!$C$12:$C$25)+SUMIF('10'!$B$12:$B$25,$F66,'10'!$C$12:$C$25)+SUMIF('11'!$B$12:$B$25,$F66,'11'!$C$12:$C$25)+SUMIF('12'!$B$12:$B$25,$F66,'12'!$C$12:$C$25)+SUMIF('13'!$B$12:$B$25,$F66,'13'!$C$12:$C$25)+SUMIF('14'!$B$12:$B$25,$F66,'14'!$C$12:$C$25)+SUMIF('15'!$B$12:$B$25,$F66,'15'!$C$12:$C$25)+SUMIF('16'!$B$12:$B$25,$F66,'16'!$C$12:$C$25)+SUMIF('17'!$B$12:$B$25,$F66,'17'!$C$12:$C$25)+SUMIF('18'!$B$12:$B$25,$F66,'18'!$C$12:$C$25)+SUMIF('19'!$B$12:$B$25,$F66,'19'!$C$12:$C$25)+SUMIF('20'!$B$12:$B$25,$F66,'20'!$C$12:$C$25)+SUMIF('21'!$B$12:$B$25,$F66,'21'!$C$12:$C$25)+SUMIF('22'!$B$12:$B$25,$F66,'22'!$C$12:$C$25)+SUMIF('23'!$B$12:$B$25,$F66,'23'!$C$12:$C$25)+SUMIF('24'!$B$12:$B$25,$F66,'24'!$C$12:$C$25)+SUMIF('25'!$B$12:$B$25,$F66,'25'!$C$12:$C$25)+SUMIF('26'!$B$12:$B$25,$F66,'26'!$C$12:$C$25)+SUMIF('27'!$B$12:$B$25,$F66,'27'!$C$12:$C$25)+SUMIF('28'!$B$12:$B$25,$F66,'28'!$C$12:$C$25)+SUMIF('29'!$B$12:$B$25,$F66,'29'!$C$12:$C$25)+SUMIF('30'!$B$12:$B$25,$F66,'30'!$C$12:$C$25)+SUMIF('31'!$B$12:$B$25,$F66,'31'!$C$12:$C$25)</f>
        <v>0</v>
      </c>
      <c r="H66" s="21" t="n">
        <f aca="false">IFERROR($G66/'RECAP DU JOURNAL'!$G$40,0)</f>
        <v>0</v>
      </c>
      <c r="I66" s="22" t="n">
        <f aca="false">IFERROR($G66/COUNTIF('RECAP DU JOURNAL'!$F$9:$F$39,"&gt;0"),0)</f>
        <v>0</v>
      </c>
    </row>
    <row r="67" customFormat="false" ht="15" hidden="false" customHeight="false" outlineLevel="0" collapsed="false">
      <c r="F67" s="23" t="s">
        <v>44</v>
      </c>
      <c r="G67" s="24" t="n">
        <f aca="false">SUMIF('01'!$B$12:$B$25,$F67,'01'!$C$12:$C$25)+SUMIF('02'!$B$12:$B$25,$F67,'02'!$C$12:$C$25)+SUMIF('03'!$B$12:$B$25,$F67,'03'!$C$12:$C$25)+SUMIF('04'!$B$12:$B$25,$F67,'04'!$C$12:$C$25)+SUMIF('05'!$B$12:$B$25,$F67,'05'!$C$12:$C$25)+SUMIF('06'!$B$12:$B$25,$F67,'06'!$C$12:$C$25)+SUMIF('07'!$B$12:$B$25,$F67,'07'!$C$12:$C$25)+SUMIF('08'!$B$12:$B$25,$F67,'08'!$C$12:$C$25)+SUMIF('09'!$B$12:$B$25,$F67,'09'!$C$12:$C$25)+SUMIF('10'!$B$12:$B$25,$F67,'10'!$C$12:$C$25)+SUMIF('11'!$B$12:$B$25,$F67,'11'!$C$12:$C$25)+SUMIF('12'!$B$12:$B$25,$F67,'12'!$C$12:$C$25)+SUMIF('13'!$B$12:$B$25,$F67,'13'!$C$12:$C$25)+SUMIF('14'!$B$12:$B$25,$F67,'14'!$C$12:$C$25)+SUMIF('15'!$B$12:$B$25,$F67,'15'!$C$12:$C$25)+SUMIF('16'!$B$12:$B$25,$F67,'16'!$C$12:$C$25)+SUMIF('17'!$B$12:$B$25,$F67,'17'!$C$12:$C$25)+SUMIF('18'!$B$12:$B$25,$F67,'18'!$C$12:$C$25)+SUMIF('19'!$B$12:$B$25,$F67,'19'!$C$12:$C$25)+SUMIF('20'!$B$12:$B$25,$F67,'20'!$C$12:$C$25)+SUMIF('21'!$B$12:$B$25,$F67,'21'!$C$12:$C$25)+SUMIF('22'!$B$12:$B$25,$F67,'22'!$C$12:$C$25)+SUMIF('23'!$B$12:$B$25,$F67,'23'!$C$12:$C$25)+SUMIF('24'!$B$12:$B$25,$F67,'24'!$C$12:$C$25)+SUMIF('25'!$B$12:$B$25,$F67,'25'!$C$12:$C$25)+SUMIF('26'!$B$12:$B$25,$F67,'26'!$C$12:$C$25)+SUMIF('27'!$B$12:$B$25,$F67,'27'!$C$12:$C$25)+SUMIF('28'!$B$12:$B$25,$F67,'28'!$C$12:$C$25)+SUMIF('29'!$B$12:$B$25,$F67,'29'!$C$12:$C$25)+SUMIF('30'!$B$12:$B$25,$F67,'30'!$C$12:$C$25)+SUMIF('31'!$B$12:$B$25,$F67,'31'!$C$12:$C$25)</f>
        <v>0</v>
      </c>
      <c r="H67" s="25" t="n">
        <f aca="false">IFERROR($G67/'RECAP DU JOURNAL'!$G$40,0)</f>
        <v>0</v>
      </c>
      <c r="I67" s="26" t="n">
        <f aca="false">IFERROR($G67/COUNTIF('RECAP DU JOURNAL'!$F$9:$F$39,"&gt;0"),0)</f>
        <v>0</v>
      </c>
    </row>
    <row r="70" customFormat="false" ht="39.75" hidden="false" customHeight="true" outlineLevel="0" collapsed="false">
      <c r="A70" s="30" t="s">
        <v>45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</sheetData>
  <mergeCells count="33">
    <mergeCell ref="A1:P1"/>
    <mergeCell ref="A2:P2"/>
    <mergeCell ref="A4:F4"/>
    <mergeCell ref="K4:P4"/>
    <mergeCell ref="A6:C6"/>
    <mergeCell ref="E6:G6"/>
    <mergeCell ref="I6:K6"/>
    <mergeCell ref="M6:O6"/>
    <mergeCell ref="A7:C7"/>
    <mergeCell ref="E7:G7"/>
    <mergeCell ref="I7:K7"/>
    <mergeCell ref="M7:O7"/>
    <mergeCell ref="A8:C8"/>
    <mergeCell ref="E8:G8"/>
    <mergeCell ref="I8:K8"/>
    <mergeCell ref="M8:O8"/>
    <mergeCell ref="A10:C10"/>
    <mergeCell ref="E10:G10"/>
    <mergeCell ref="I10:K10"/>
    <mergeCell ref="M10:O10"/>
    <mergeCell ref="A11:C11"/>
    <mergeCell ref="E11:G11"/>
    <mergeCell ref="I11:K11"/>
    <mergeCell ref="M11:O11"/>
    <mergeCell ref="A12:C12"/>
    <mergeCell ref="E12:G12"/>
    <mergeCell ref="I12:K12"/>
    <mergeCell ref="M12:O12"/>
    <mergeCell ref="A15:P15"/>
    <mergeCell ref="A34:P34"/>
    <mergeCell ref="A54:D54"/>
    <mergeCell ref="F54:I54"/>
    <mergeCell ref="A70:P70"/>
  </mergeCells>
  <conditionalFormatting sqref="I7:K7">
    <cfRule type="cellIs" priority="2" operator="lessThan" aboveAverage="0" equalAverage="0" bottom="0" percent="0" rank="0" text="" dxfId="0">
      <formula>0</formula>
    </cfRule>
  </conditionalFormatting>
  <conditionalFormatting sqref="M7:O7">
    <cfRule type="cellIs" priority="3" operator="lessThan" aboveAverage="0" equalAverage="0" bottom="0" percent="0" rank="0" text="" dxfId="0">
      <formula>0</formula>
    </cfRule>
  </conditionalFormatting>
  <conditionalFormatting sqref="G56:G67">
    <cfRule type="dataBar" priority="4">
      <dataBar showValue="1" minLength="10" maxLength="90">
        <cfvo type="num" val="0"/>
        <cfvo type="percentile" val="100"/>
        <color rgb="FF8D6E63"/>
      </dataBar>
      <extLst>
        <ext xmlns:x14="http://schemas.microsoft.com/office/spreadsheetml/2009/9/main" uri="{B025F937-C7B1-47D3-B67F-A62EFF666E3E}">
          <x14:id>{B05824DE-3AD1-4CA3-874A-C23FA017689B}</x14:id>
        </ext>
      </extLst>
    </cfRule>
  </conditionalFormatting>
  <conditionalFormatting sqref="B56:B59">
    <cfRule type="dataBar" priority="5">
      <dataBar showValue="1" minLength="10" maxLength="90">
        <cfvo type="num" val="0"/>
        <cfvo type="percentile" val="100"/>
        <color rgb="FFC8A265"/>
      </dataBar>
      <extLst>
        <ext xmlns:x14="http://schemas.microsoft.com/office/spreadsheetml/2009/9/main" uri="{B025F937-C7B1-47D3-B67F-A62EFF666E3E}">
          <x14:id>{E321B88E-E7DF-456E-BCD8-64B2B94317AA}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5824DE-3AD1-4CA3-874A-C23FA017689B}">
            <x14:dataBar minLength="10" maxLength="90" axisPosition="none" gradient="true">
              <x14:cfvo type="num">
                <xm:f>0</xm:f>
              </x14:cfvo>
              <x14:cfvo type="percentile">
                <xm:f>100</xm:f>
              </x14:cfvo>
              <x14:negativeFillColor rgb="FF8D6E63"/>
              <x14:axisColor rgb="FF000000"/>
            </x14:dataBar>
          </x14:cfRule>
          <xm:sqref>G56:G67</xm:sqref>
        </x14:conditionalFormatting>
        <x14:conditionalFormatting xmlns:xm="http://schemas.microsoft.com/office/excel/2006/main">
          <x14:cfRule type="dataBar" id="{E321B88E-E7DF-456E-BCD8-64B2B94317AA}">
            <x14:dataBar minLength="10" maxLength="90" axisPosition="none" gradient="true">
              <x14:cfvo type="num">
                <xm:f>0</xm:f>
              </x14:cfvo>
              <x14:cfvo type="percentile">
                <xm:f>100</xm:f>
              </x14:cfvo>
              <x14:negativeFillColor rgb="FFC8A265"/>
              <x14:axisColor rgb="FF000000"/>
            </x14:dataBar>
          </x14:cfRule>
          <xm:sqref>B56:B59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tru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3" min="11" style="0" width="15"/>
    <col collapsed="false" customWidth="true" hidden="false" outlineLevel="0" max="14" min="14" style="0" width="12"/>
  </cols>
  <sheetData>
    <row r="1" customFormat="false" ht="37.5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.75" hidden="false" customHeight="true" outlineLevel="0" collapsed="false">
      <c r="A3" s="31" t="s">
        <v>48</v>
      </c>
      <c r="B3" s="31"/>
      <c r="C3" s="32" t="n">
        <v>2026</v>
      </c>
      <c r="E3" s="31" t="s">
        <v>49</v>
      </c>
      <c r="F3" s="33" t="n">
        <f aca="false">DATE($C$3,$C$4,1)</f>
        <v>46266</v>
      </c>
      <c r="H3" s="34" t="n">
        <f aca="false">$F$3</f>
        <v>46266</v>
      </c>
      <c r="I3" s="34"/>
      <c r="J3" s="34"/>
      <c r="K3" s="34"/>
      <c r="L3" s="34"/>
      <c r="M3" s="34"/>
      <c r="N3" s="34"/>
    </row>
    <row r="4" customFormat="false" ht="18.75" hidden="false" customHeight="true" outlineLevel="0" collapsed="false">
      <c r="A4" s="31" t="s">
        <v>50</v>
      </c>
      <c r="B4" s="31"/>
      <c r="C4" s="32" t="n">
        <v>9</v>
      </c>
      <c r="E4" s="31" t="s">
        <v>51</v>
      </c>
      <c r="F4" s="35" t="n">
        <f aca="false">DAY(EOMONTH($F$3,0))</f>
        <v>30</v>
      </c>
      <c r="H4" s="34"/>
      <c r="I4" s="34"/>
      <c r="J4" s="34"/>
      <c r="K4" s="34"/>
      <c r="L4" s="34"/>
      <c r="M4" s="34"/>
      <c r="N4" s="34"/>
    </row>
    <row r="5" customFormat="false" ht="18.75" hidden="false" customHeight="true" outlineLevel="0" collapsed="false">
      <c r="A5" s="31" t="s">
        <v>52</v>
      </c>
      <c r="B5" s="31"/>
      <c r="C5" s="36" t="n">
        <v>4223</v>
      </c>
    </row>
    <row r="6" customFormat="false" ht="18.75" hidden="false" customHeight="true" outlineLevel="0" collapsed="false">
      <c r="A6" s="31" t="s">
        <v>53</v>
      </c>
      <c r="B6" s="31"/>
      <c r="C6" s="36" t="n">
        <v>2200</v>
      </c>
    </row>
    <row r="8" customFormat="false" ht="30" hidden="false" customHeight="true" outlineLevel="0" collapsed="false">
      <c r="A8" s="18" t="s">
        <v>54</v>
      </c>
      <c r="B8" s="18" t="s">
        <v>55</v>
      </c>
      <c r="C8" s="18" t="s">
        <v>56</v>
      </c>
      <c r="D8" s="18" t="s">
        <v>57</v>
      </c>
      <c r="E8" s="18" t="s">
        <v>58</v>
      </c>
      <c r="F8" s="18" t="s">
        <v>59</v>
      </c>
      <c r="G8" s="18" t="s">
        <v>60</v>
      </c>
      <c r="H8" s="18" t="s">
        <v>61</v>
      </c>
      <c r="I8" s="18" t="s">
        <v>62</v>
      </c>
      <c r="J8" s="18" t="s">
        <v>63</v>
      </c>
      <c r="K8" s="18" t="s">
        <v>64</v>
      </c>
      <c r="L8" s="18" t="s">
        <v>65</v>
      </c>
      <c r="M8" s="18" t="s">
        <v>66</v>
      </c>
      <c r="N8" s="18" t="s">
        <v>67</v>
      </c>
    </row>
    <row r="9" customFormat="false" ht="18" hidden="false" customHeight="true" outlineLevel="0" collapsed="false">
      <c r="A9" s="37" t="n">
        <f aca="false">IF(1&gt;$F$4,"",DATE($C$3,$C$4,1))</f>
        <v>46266</v>
      </c>
      <c r="B9" s="38" t="str">
        <f aca="false">IF($A9="","",CHOOSE(WEEKDAY($A9,2),"Lundi","Mardi","Mercredi","Jeudi","Vendredi","Samedi","Dimanche"))</f>
        <v>Mardi</v>
      </c>
      <c r="C9" s="39" t="n">
        <f aca="false">IF($A9="","",'01'!$C$29)</f>
        <v>0</v>
      </c>
      <c r="D9" s="39" t="n">
        <f aca="false">IF($A9="","",'01'!$C$30)</f>
        <v>0</v>
      </c>
      <c r="E9" s="39" t="n">
        <f aca="false">IF($A9="","",'01'!$C$31)</f>
        <v>0</v>
      </c>
      <c r="F9" s="40" t="n">
        <f aca="false">IF($A9="","",'01'!$C$32)</f>
        <v>0</v>
      </c>
      <c r="G9" s="39" t="n">
        <f aca="false">IF($A9="","",'01'!$C$26)</f>
        <v>0</v>
      </c>
      <c r="H9" s="39" t="n">
        <f aca="false">IF($A9="","",'01'!$F$26)</f>
        <v>0</v>
      </c>
      <c r="I9" s="39" t="n">
        <f aca="false">IF($A9="","",'01'!$I$26)</f>
        <v>0</v>
      </c>
      <c r="J9" s="39" t="n">
        <f aca="false">IF($A9="","",'01'!$L$26)</f>
        <v>0</v>
      </c>
      <c r="K9" s="41" t="n">
        <f aca="false">IF($A9="","",SUM($G9:$J9))</f>
        <v>0</v>
      </c>
      <c r="L9" s="42" t="n">
        <f aca="false">IF($A9="","",$F9-$K9)</f>
        <v>0</v>
      </c>
      <c r="M9" s="43" t="n">
        <f aca="false">IF($A9="","",'01'!$I$32)</f>
        <v>4223</v>
      </c>
      <c r="N9" s="39" t="str">
        <f aca="false">IF($A9="","",IF($F9=0,"—",$F9-$C$6))</f>
        <v>—</v>
      </c>
    </row>
    <row r="10" customFormat="false" ht="18" hidden="false" customHeight="true" outlineLevel="0" collapsed="false">
      <c r="A10" s="44" t="n">
        <f aca="false">IF(2&gt;$F$4,"",DATE($C$3,$C$4,2))</f>
        <v>46267</v>
      </c>
      <c r="B10" s="45" t="str">
        <f aca="false">IF($A10="","",CHOOSE(WEEKDAY($A10,2),"Lundi","Mardi","Mercredi","Jeudi","Vendredi","Samedi","Dimanche"))</f>
        <v>Mercredi</v>
      </c>
      <c r="C10" s="46" t="n">
        <f aca="false">IF($A10="","",'02'!$C$29)</f>
        <v>0</v>
      </c>
      <c r="D10" s="46" t="n">
        <f aca="false">IF($A10="","",'02'!$C$30)</f>
        <v>0</v>
      </c>
      <c r="E10" s="46" t="n">
        <f aca="false">IF($A10="","",'02'!$C$31)</f>
        <v>0</v>
      </c>
      <c r="F10" s="47" t="n">
        <f aca="false">IF($A10="","",'02'!$C$32)</f>
        <v>0</v>
      </c>
      <c r="G10" s="46" t="n">
        <f aca="false">IF($A10="","",'02'!$C$26)</f>
        <v>0</v>
      </c>
      <c r="H10" s="46" t="n">
        <f aca="false">IF($A10="","",'02'!$F$26)</f>
        <v>0</v>
      </c>
      <c r="I10" s="46" t="n">
        <f aca="false">IF($A10="","",'02'!$I$26)</f>
        <v>0</v>
      </c>
      <c r="J10" s="46" t="n">
        <f aca="false">IF($A10="","",'02'!$L$26)</f>
        <v>0</v>
      </c>
      <c r="K10" s="48" t="n">
        <f aca="false">IF($A10="","",SUM($G10:$J10))</f>
        <v>0</v>
      </c>
      <c r="L10" s="49" t="n">
        <f aca="false">IF($A10="","",$F10-$K10)</f>
        <v>0</v>
      </c>
      <c r="M10" s="50" t="n">
        <f aca="false">IF($A10="","",'02'!$I$32)</f>
        <v>4223</v>
      </c>
      <c r="N10" s="46" t="str">
        <f aca="false">IF($A10="","",IF($F10=0,"—",$F10-$C$6))</f>
        <v>—</v>
      </c>
    </row>
    <row r="11" customFormat="false" ht="18" hidden="false" customHeight="true" outlineLevel="0" collapsed="false">
      <c r="A11" s="37" t="n">
        <f aca="false">IF(3&gt;$F$4,"",DATE($C$3,$C$4,3))</f>
        <v>46268</v>
      </c>
      <c r="B11" s="38" t="str">
        <f aca="false">IF($A11="","",CHOOSE(WEEKDAY($A11,2),"Lundi","Mardi","Mercredi","Jeudi","Vendredi","Samedi","Dimanche"))</f>
        <v>Jeudi</v>
      </c>
      <c r="C11" s="39" t="n">
        <f aca="false">IF($A11="","",'03'!$C$29)</f>
        <v>0</v>
      </c>
      <c r="D11" s="39" t="n">
        <f aca="false">IF($A11="","",'03'!$C$30)</f>
        <v>0</v>
      </c>
      <c r="E11" s="39" t="n">
        <f aca="false">IF($A11="","",'03'!$C$31)</f>
        <v>0</v>
      </c>
      <c r="F11" s="40" t="n">
        <f aca="false">IF($A11="","",'03'!$C$32)</f>
        <v>0</v>
      </c>
      <c r="G11" s="39" t="n">
        <f aca="false">IF($A11="","",'03'!$C$26)</f>
        <v>0</v>
      </c>
      <c r="H11" s="39" t="n">
        <f aca="false">IF($A11="","",'03'!$F$26)</f>
        <v>0</v>
      </c>
      <c r="I11" s="39" t="n">
        <f aca="false">IF($A11="","",'03'!$I$26)</f>
        <v>0</v>
      </c>
      <c r="J11" s="39" t="n">
        <f aca="false">IF($A11="","",'03'!$L$26)</f>
        <v>0</v>
      </c>
      <c r="K11" s="41" t="n">
        <f aca="false">IF($A11="","",SUM($G11:$J11))</f>
        <v>0</v>
      </c>
      <c r="L11" s="42" t="n">
        <f aca="false">IF($A11="","",$F11-$K11)</f>
        <v>0</v>
      </c>
      <c r="M11" s="43" t="n">
        <f aca="false">IF($A11="","",'03'!$I$32)</f>
        <v>4223</v>
      </c>
      <c r="N11" s="39" t="str">
        <f aca="false">IF($A11="","",IF($F11=0,"—",$F11-$C$6))</f>
        <v>—</v>
      </c>
    </row>
    <row r="12" customFormat="false" ht="18" hidden="false" customHeight="true" outlineLevel="0" collapsed="false">
      <c r="A12" s="44" t="n">
        <f aca="false">IF(4&gt;$F$4,"",DATE($C$3,$C$4,4))</f>
        <v>46269</v>
      </c>
      <c r="B12" s="45" t="str">
        <f aca="false">IF($A12="","",CHOOSE(WEEKDAY($A12,2),"Lundi","Mardi","Mercredi","Jeudi","Vendredi","Samedi","Dimanche"))</f>
        <v>Vendredi</v>
      </c>
      <c r="C12" s="46" t="n">
        <f aca="false">IF($A12="","",'04'!$C$29)</f>
        <v>0</v>
      </c>
      <c r="D12" s="46" t="n">
        <f aca="false">IF($A12="","",'04'!$C$30)</f>
        <v>0</v>
      </c>
      <c r="E12" s="46" t="n">
        <f aca="false">IF($A12="","",'04'!$C$31)</f>
        <v>0</v>
      </c>
      <c r="F12" s="47" t="n">
        <f aca="false">IF($A12="","",'04'!$C$32)</f>
        <v>0</v>
      </c>
      <c r="G12" s="46" t="n">
        <f aca="false">IF($A12="","",'04'!$C$26)</f>
        <v>0</v>
      </c>
      <c r="H12" s="46" t="n">
        <f aca="false">IF($A12="","",'04'!$F$26)</f>
        <v>0</v>
      </c>
      <c r="I12" s="46" t="n">
        <f aca="false">IF($A12="","",'04'!$I$26)</f>
        <v>0</v>
      </c>
      <c r="J12" s="46" t="n">
        <f aca="false">IF($A12="","",'04'!$L$26)</f>
        <v>0</v>
      </c>
      <c r="K12" s="48" t="n">
        <f aca="false">IF($A12="","",SUM($G12:$J12))</f>
        <v>0</v>
      </c>
      <c r="L12" s="49" t="n">
        <f aca="false">IF($A12="","",$F12-$K12)</f>
        <v>0</v>
      </c>
      <c r="M12" s="50" t="n">
        <f aca="false">IF($A12="","",'04'!$I$32)</f>
        <v>4223</v>
      </c>
      <c r="N12" s="46" t="str">
        <f aca="false">IF($A12="","",IF($F12=0,"—",$F12-$C$6))</f>
        <v>—</v>
      </c>
    </row>
    <row r="13" customFormat="false" ht="18" hidden="false" customHeight="true" outlineLevel="0" collapsed="false">
      <c r="A13" s="37" t="n">
        <f aca="false">IF(5&gt;$F$4,"",DATE($C$3,$C$4,5))</f>
        <v>46270</v>
      </c>
      <c r="B13" s="38" t="str">
        <f aca="false">IF($A13="","",CHOOSE(WEEKDAY($A13,2),"Lundi","Mardi","Mercredi","Jeudi","Vendredi","Samedi","Dimanche"))</f>
        <v>Samedi</v>
      </c>
      <c r="C13" s="39" t="n">
        <f aca="false">IF($A13="","",'05'!$C$29)</f>
        <v>0</v>
      </c>
      <c r="D13" s="39" t="n">
        <f aca="false">IF($A13="","",'05'!$C$30)</f>
        <v>0</v>
      </c>
      <c r="E13" s="39" t="n">
        <f aca="false">IF($A13="","",'05'!$C$31)</f>
        <v>0</v>
      </c>
      <c r="F13" s="40" t="n">
        <f aca="false">IF($A13="","",'05'!$C$32)</f>
        <v>0</v>
      </c>
      <c r="G13" s="39" t="n">
        <f aca="false">IF($A13="","",'05'!$C$26)</f>
        <v>0</v>
      </c>
      <c r="H13" s="39" t="n">
        <f aca="false">IF($A13="","",'05'!$F$26)</f>
        <v>0</v>
      </c>
      <c r="I13" s="39" t="n">
        <f aca="false">IF($A13="","",'05'!$I$26)</f>
        <v>0</v>
      </c>
      <c r="J13" s="39" t="n">
        <f aca="false">IF($A13="","",'05'!$L$26)</f>
        <v>0</v>
      </c>
      <c r="K13" s="41" t="n">
        <f aca="false">IF($A13="","",SUM($G13:$J13))</f>
        <v>0</v>
      </c>
      <c r="L13" s="42" t="n">
        <f aca="false">IF($A13="","",$F13-$K13)</f>
        <v>0</v>
      </c>
      <c r="M13" s="43" t="n">
        <f aca="false">IF($A13="","",'05'!$I$32)</f>
        <v>4223</v>
      </c>
      <c r="N13" s="39" t="str">
        <f aca="false">IF($A13="","",IF($F13=0,"—",$F13-$C$6))</f>
        <v>—</v>
      </c>
    </row>
    <row r="14" customFormat="false" ht="18" hidden="false" customHeight="true" outlineLevel="0" collapsed="false">
      <c r="A14" s="44" t="n">
        <f aca="false">IF(6&gt;$F$4,"",DATE($C$3,$C$4,6))</f>
        <v>46271</v>
      </c>
      <c r="B14" s="45" t="str">
        <f aca="false">IF($A14="","",CHOOSE(WEEKDAY($A14,2),"Lundi","Mardi","Mercredi","Jeudi","Vendredi","Samedi","Dimanche"))</f>
        <v>Dimanche</v>
      </c>
      <c r="C14" s="46" t="n">
        <f aca="false">IF($A14="","",'06'!$C$29)</f>
        <v>0</v>
      </c>
      <c r="D14" s="46" t="n">
        <f aca="false">IF($A14="","",'06'!$C$30)</f>
        <v>0</v>
      </c>
      <c r="E14" s="46" t="n">
        <f aca="false">IF($A14="","",'06'!$C$31)</f>
        <v>0</v>
      </c>
      <c r="F14" s="47" t="n">
        <f aca="false">IF($A14="","",'06'!$C$32)</f>
        <v>0</v>
      </c>
      <c r="G14" s="46" t="n">
        <f aca="false">IF($A14="","",'06'!$C$26)</f>
        <v>0</v>
      </c>
      <c r="H14" s="46" t="n">
        <f aca="false">IF($A14="","",'06'!$F$26)</f>
        <v>0</v>
      </c>
      <c r="I14" s="46" t="n">
        <f aca="false">IF($A14="","",'06'!$I$26)</f>
        <v>0</v>
      </c>
      <c r="J14" s="46" t="n">
        <f aca="false">IF($A14="","",'06'!$L$26)</f>
        <v>0</v>
      </c>
      <c r="K14" s="48" t="n">
        <f aca="false">IF($A14="","",SUM($G14:$J14))</f>
        <v>0</v>
      </c>
      <c r="L14" s="49" t="n">
        <f aca="false">IF($A14="","",$F14-$K14)</f>
        <v>0</v>
      </c>
      <c r="M14" s="50" t="n">
        <f aca="false">IF($A14="","",'06'!$I$32)</f>
        <v>4223</v>
      </c>
      <c r="N14" s="46" t="str">
        <f aca="false">IF($A14="","",IF($F14=0,"—",$F14-$C$6))</f>
        <v>—</v>
      </c>
    </row>
    <row r="15" customFormat="false" ht="18" hidden="false" customHeight="true" outlineLevel="0" collapsed="false">
      <c r="A15" s="37" t="n">
        <f aca="false">IF(7&gt;$F$4,"",DATE($C$3,$C$4,7))</f>
        <v>46272</v>
      </c>
      <c r="B15" s="38" t="str">
        <f aca="false">IF($A15="","",CHOOSE(WEEKDAY($A15,2),"Lundi","Mardi","Mercredi","Jeudi","Vendredi","Samedi","Dimanche"))</f>
        <v>Lundi</v>
      </c>
      <c r="C15" s="39" t="n">
        <f aca="false">IF($A15="","",'07'!$C$29)</f>
        <v>0</v>
      </c>
      <c r="D15" s="39" t="n">
        <f aca="false">IF($A15="","",'07'!$C$30)</f>
        <v>0</v>
      </c>
      <c r="E15" s="39" t="n">
        <f aca="false">IF($A15="","",'07'!$C$31)</f>
        <v>0</v>
      </c>
      <c r="F15" s="40" t="n">
        <f aca="false">IF($A15="","",'07'!$C$32)</f>
        <v>0</v>
      </c>
      <c r="G15" s="39" t="n">
        <f aca="false">IF($A15="","",'07'!$C$26)</f>
        <v>0</v>
      </c>
      <c r="H15" s="39" t="n">
        <f aca="false">IF($A15="","",'07'!$F$26)</f>
        <v>0</v>
      </c>
      <c r="I15" s="39" t="n">
        <f aca="false">IF($A15="","",'07'!$I$26)</f>
        <v>0</v>
      </c>
      <c r="J15" s="39" t="n">
        <f aca="false">IF($A15="","",'07'!$L$26)</f>
        <v>0</v>
      </c>
      <c r="K15" s="41" t="n">
        <f aca="false">IF($A15="","",SUM($G15:$J15))</f>
        <v>0</v>
      </c>
      <c r="L15" s="42" t="n">
        <f aca="false">IF($A15="","",$F15-$K15)</f>
        <v>0</v>
      </c>
      <c r="M15" s="43" t="n">
        <f aca="false">IF($A15="","",'07'!$I$32)</f>
        <v>4223</v>
      </c>
      <c r="N15" s="39" t="str">
        <f aca="false">IF($A15="","",IF($F15=0,"—",$F15-$C$6))</f>
        <v>—</v>
      </c>
    </row>
    <row r="16" customFormat="false" ht="18" hidden="false" customHeight="true" outlineLevel="0" collapsed="false">
      <c r="A16" s="44" t="n">
        <f aca="false">IF(8&gt;$F$4,"",DATE($C$3,$C$4,8))</f>
        <v>46273</v>
      </c>
      <c r="B16" s="45" t="str">
        <f aca="false">IF($A16="","",CHOOSE(WEEKDAY($A16,2),"Lundi","Mardi","Mercredi","Jeudi","Vendredi","Samedi","Dimanche"))</f>
        <v>Mardi</v>
      </c>
      <c r="C16" s="46" t="n">
        <f aca="false">IF($A16="","",'08'!$C$29)</f>
        <v>0</v>
      </c>
      <c r="D16" s="46" t="n">
        <f aca="false">IF($A16="","",'08'!$C$30)</f>
        <v>0</v>
      </c>
      <c r="E16" s="46" t="n">
        <f aca="false">IF($A16="","",'08'!$C$31)</f>
        <v>0</v>
      </c>
      <c r="F16" s="47" t="n">
        <f aca="false">IF($A16="","",'08'!$C$32)</f>
        <v>0</v>
      </c>
      <c r="G16" s="46" t="n">
        <f aca="false">IF($A16="","",'08'!$C$26)</f>
        <v>0</v>
      </c>
      <c r="H16" s="46" t="n">
        <f aca="false">IF($A16="","",'08'!$F$26)</f>
        <v>0</v>
      </c>
      <c r="I16" s="46" t="n">
        <f aca="false">IF($A16="","",'08'!$I$26)</f>
        <v>0</v>
      </c>
      <c r="J16" s="46" t="n">
        <f aca="false">IF($A16="","",'08'!$L$26)</f>
        <v>0</v>
      </c>
      <c r="K16" s="48" t="n">
        <f aca="false">IF($A16="","",SUM($G16:$J16))</f>
        <v>0</v>
      </c>
      <c r="L16" s="49" t="n">
        <f aca="false">IF($A16="","",$F16-$K16)</f>
        <v>0</v>
      </c>
      <c r="M16" s="50" t="n">
        <f aca="false">IF($A16="","",'08'!$I$32)</f>
        <v>4223</v>
      </c>
      <c r="N16" s="46" t="str">
        <f aca="false">IF($A16="","",IF($F16=0,"—",$F16-$C$6))</f>
        <v>—</v>
      </c>
    </row>
    <row r="17" customFormat="false" ht="18" hidden="false" customHeight="true" outlineLevel="0" collapsed="false">
      <c r="A17" s="37" t="n">
        <f aca="false">IF(9&gt;$F$4,"",DATE($C$3,$C$4,9))</f>
        <v>46274</v>
      </c>
      <c r="B17" s="38" t="str">
        <f aca="false">IF($A17="","",CHOOSE(WEEKDAY($A17,2),"Lundi","Mardi","Mercredi","Jeudi","Vendredi","Samedi","Dimanche"))</f>
        <v>Mercredi</v>
      </c>
      <c r="C17" s="39" t="n">
        <f aca="false">IF($A17="","",'09'!$C$29)</f>
        <v>0</v>
      </c>
      <c r="D17" s="39" t="n">
        <f aca="false">IF($A17="","",'09'!$C$30)</f>
        <v>0</v>
      </c>
      <c r="E17" s="39" t="n">
        <f aca="false">IF($A17="","",'09'!$C$31)</f>
        <v>0</v>
      </c>
      <c r="F17" s="40" t="n">
        <f aca="false">IF($A17="","",'09'!$C$32)</f>
        <v>0</v>
      </c>
      <c r="G17" s="39" t="n">
        <f aca="false">IF($A17="","",'09'!$C$26)</f>
        <v>0</v>
      </c>
      <c r="H17" s="39" t="n">
        <f aca="false">IF($A17="","",'09'!$F$26)</f>
        <v>0</v>
      </c>
      <c r="I17" s="39" t="n">
        <f aca="false">IF($A17="","",'09'!$I$26)</f>
        <v>0</v>
      </c>
      <c r="J17" s="39" t="n">
        <f aca="false">IF($A17="","",'09'!$L$26)</f>
        <v>0</v>
      </c>
      <c r="K17" s="41" t="n">
        <f aca="false">IF($A17="","",SUM($G17:$J17))</f>
        <v>0</v>
      </c>
      <c r="L17" s="42" t="n">
        <f aca="false">IF($A17="","",$F17-$K17)</f>
        <v>0</v>
      </c>
      <c r="M17" s="43" t="n">
        <f aca="false">IF($A17="","",'09'!$I$32)</f>
        <v>4223</v>
      </c>
      <c r="N17" s="39" t="str">
        <f aca="false">IF($A17="","",IF($F17=0,"—",$F17-$C$6))</f>
        <v>—</v>
      </c>
    </row>
    <row r="18" customFormat="false" ht="18" hidden="false" customHeight="true" outlineLevel="0" collapsed="false">
      <c r="A18" s="44" t="n">
        <f aca="false">IF(10&gt;$F$4,"",DATE($C$3,$C$4,10))</f>
        <v>46275</v>
      </c>
      <c r="B18" s="45" t="str">
        <f aca="false">IF($A18="","",CHOOSE(WEEKDAY($A18,2),"Lundi","Mardi","Mercredi","Jeudi","Vendredi","Samedi","Dimanche"))</f>
        <v>Jeudi</v>
      </c>
      <c r="C18" s="46" t="n">
        <f aca="false">IF($A18="","",'10'!$C$29)</f>
        <v>0</v>
      </c>
      <c r="D18" s="46" t="n">
        <f aca="false">IF($A18="","",'10'!$C$30)</f>
        <v>0</v>
      </c>
      <c r="E18" s="46" t="n">
        <f aca="false">IF($A18="","",'10'!$C$31)</f>
        <v>0</v>
      </c>
      <c r="F18" s="47" t="n">
        <f aca="false">IF($A18="","",'10'!$C$32)</f>
        <v>0</v>
      </c>
      <c r="G18" s="46" t="n">
        <f aca="false">IF($A18="","",'10'!$C$26)</f>
        <v>0</v>
      </c>
      <c r="H18" s="46" t="n">
        <f aca="false">IF($A18="","",'10'!$F$26)</f>
        <v>0</v>
      </c>
      <c r="I18" s="46" t="n">
        <f aca="false">IF($A18="","",'10'!$I$26)</f>
        <v>0</v>
      </c>
      <c r="J18" s="46" t="n">
        <f aca="false">IF($A18="","",'10'!$L$26)</f>
        <v>0</v>
      </c>
      <c r="K18" s="48" t="n">
        <f aca="false">IF($A18="","",SUM($G18:$J18))</f>
        <v>0</v>
      </c>
      <c r="L18" s="49" t="n">
        <f aca="false">IF($A18="","",$F18-$K18)</f>
        <v>0</v>
      </c>
      <c r="M18" s="50" t="n">
        <f aca="false">IF($A18="","",'10'!$I$32)</f>
        <v>4223</v>
      </c>
      <c r="N18" s="46" t="str">
        <f aca="false">IF($A18="","",IF($F18=0,"—",$F18-$C$6))</f>
        <v>—</v>
      </c>
    </row>
    <row r="19" customFormat="false" ht="18" hidden="false" customHeight="true" outlineLevel="0" collapsed="false">
      <c r="A19" s="37" t="n">
        <f aca="false">IF(11&gt;$F$4,"",DATE($C$3,$C$4,11))</f>
        <v>46276</v>
      </c>
      <c r="B19" s="38" t="str">
        <f aca="false">IF($A19="","",CHOOSE(WEEKDAY($A19,2),"Lundi","Mardi","Mercredi","Jeudi","Vendredi","Samedi","Dimanche"))</f>
        <v>Vendredi</v>
      </c>
      <c r="C19" s="39" t="n">
        <f aca="false">IF($A19="","",'11'!$C$29)</f>
        <v>0</v>
      </c>
      <c r="D19" s="39" t="n">
        <f aca="false">IF($A19="","",'11'!$C$30)</f>
        <v>0</v>
      </c>
      <c r="E19" s="39" t="n">
        <f aca="false">IF($A19="","",'11'!$C$31)</f>
        <v>0</v>
      </c>
      <c r="F19" s="40" t="n">
        <f aca="false">IF($A19="","",'11'!$C$32)</f>
        <v>0</v>
      </c>
      <c r="G19" s="39" t="n">
        <f aca="false">IF($A19="","",'11'!$C$26)</f>
        <v>0</v>
      </c>
      <c r="H19" s="39" t="n">
        <f aca="false">IF($A19="","",'11'!$F$26)</f>
        <v>0</v>
      </c>
      <c r="I19" s="39" t="n">
        <f aca="false">IF($A19="","",'11'!$I$26)</f>
        <v>0</v>
      </c>
      <c r="J19" s="39" t="n">
        <f aca="false">IF($A19="","",'11'!$L$26)</f>
        <v>0</v>
      </c>
      <c r="K19" s="41" t="n">
        <f aca="false">IF($A19="","",SUM($G19:$J19))</f>
        <v>0</v>
      </c>
      <c r="L19" s="42" t="n">
        <f aca="false">IF($A19="","",$F19-$K19)</f>
        <v>0</v>
      </c>
      <c r="M19" s="43" t="n">
        <f aca="false">IF($A19="","",'11'!$I$32)</f>
        <v>4223</v>
      </c>
      <c r="N19" s="39" t="str">
        <f aca="false">IF($A19="","",IF($F19=0,"—",$F19-$C$6))</f>
        <v>—</v>
      </c>
    </row>
    <row r="20" customFormat="false" ht="18" hidden="false" customHeight="true" outlineLevel="0" collapsed="false">
      <c r="A20" s="44" t="n">
        <f aca="false">IF(12&gt;$F$4,"",DATE($C$3,$C$4,12))</f>
        <v>46277</v>
      </c>
      <c r="B20" s="45" t="str">
        <f aca="false">IF($A20="","",CHOOSE(WEEKDAY($A20,2),"Lundi","Mardi","Mercredi","Jeudi","Vendredi","Samedi","Dimanche"))</f>
        <v>Samedi</v>
      </c>
      <c r="C20" s="46" t="n">
        <f aca="false">IF($A20="","",'12'!$C$29)</f>
        <v>0</v>
      </c>
      <c r="D20" s="46" t="n">
        <f aca="false">IF($A20="","",'12'!$C$30)</f>
        <v>0</v>
      </c>
      <c r="E20" s="46" t="n">
        <f aca="false">IF($A20="","",'12'!$C$31)</f>
        <v>0</v>
      </c>
      <c r="F20" s="47" t="n">
        <f aca="false">IF($A20="","",'12'!$C$32)</f>
        <v>0</v>
      </c>
      <c r="G20" s="46" t="n">
        <f aca="false">IF($A20="","",'12'!$C$26)</f>
        <v>0</v>
      </c>
      <c r="H20" s="46" t="n">
        <f aca="false">IF($A20="","",'12'!$F$26)</f>
        <v>0</v>
      </c>
      <c r="I20" s="46" t="n">
        <f aca="false">IF($A20="","",'12'!$I$26)</f>
        <v>0</v>
      </c>
      <c r="J20" s="46" t="n">
        <f aca="false">IF($A20="","",'12'!$L$26)</f>
        <v>0</v>
      </c>
      <c r="K20" s="48" t="n">
        <f aca="false">IF($A20="","",SUM($G20:$J20))</f>
        <v>0</v>
      </c>
      <c r="L20" s="49" t="n">
        <f aca="false">IF($A20="","",$F20-$K20)</f>
        <v>0</v>
      </c>
      <c r="M20" s="50" t="n">
        <f aca="false">IF($A20="","",'12'!$I$32)</f>
        <v>4223</v>
      </c>
      <c r="N20" s="46" t="str">
        <f aca="false">IF($A20="","",IF($F20=0,"—",$F20-$C$6))</f>
        <v>—</v>
      </c>
    </row>
    <row r="21" customFormat="false" ht="18" hidden="false" customHeight="true" outlineLevel="0" collapsed="false">
      <c r="A21" s="37" t="n">
        <f aca="false">IF(13&gt;$F$4,"",DATE($C$3,$C$4,13))</f>
        <v>46278</v>
      </c>
      <c r="B21" s="38" t="str">
        <f aca="false">IF($A21="","",CHOOSE(WEEKDAY($A21,2),"Lundi","Mardi","Mercredi","Jeudi","Vendredi","Samedi","Dimanche"))</f>
        <v>Dimanche</v>
      </c>
      <c r="C21" s="39" t="n">
        <f aca="false">IF($A21="","",'13'!$C$29)</f>
        <v>0</v>
      </c>
      <c r="D21" s="39" t="n">
        <f aca="false">IF($A21="","",'13'!$C$30)</f>
        <v>0</v>
      </c>
      <c r="E21" s="39" t="n">
        <f aca="false">IF($A21="","",'13'!$C$31)</f>
        <v>0</v>
      </c>
      <c r="F21" s="40" t="n">
        <f aca="false">IF($A21="","",'13'!$C$32)</f>
        <v>0</v>
      </c>
      <c r="G21" s="39" t="n">
        <f aca="false">IF($A21="","",'13'!$C$26)</f>
        <v>0</v>
      </c>
      <c r="H21" s="39" t="n">
        <f aca="false">IF($A21="","",'13'!$F$26)</f>
        <v>0</v>
      </c>
      <c r="I21" s="39" t="n">
        <f aca="false">IF($A21="","",'13'!$I$26)</f>
        <v>0</v>
      </c>
      <c r="J21" s="39" t="n">
        <f aca="false">IF($A21="","",'13'!$L$26)</f>
        <v>0</v>
      </c>
      <c r="K21" s="41" t="n">
        <f aca="false">IF($A21="","",SUM($G21:$J21))</f>
        <v>0</v>
      </c>
      <c r="L21" s="42" t="n">
        <f aca="false">IF($A21="","",$F21-$K21)</f>
        <v>0</v>
      </c>
      <c r="M21" s="43" t="n">
        <f aca="false">IF($A21="","",'13'!$I$32)</f>
        <v>4223</v>
      </c>
      <c r="N21" s="39" t="str">
        <f aca="false">IF($A21="","",IF($F21=0,"—",$F21-$C$6))</f>
        <v>—</v>
      </c>
    </row>
    <row r="22" customFormat="false" ht="18" hidden="false" customHeight="true" outlineLevel="0" collapsed="false">
      <c r="A22" s="44" t="n">
        <f aca="false">IF(14&gt;$F$4,"",DATE($C$3,$C$4,14))</f>
        <v>46279</v>
      </c>
      <c r="B22" s="45" t="str">
        <f aca="false">IF($A22="","",CHOOSE(WEEKDAY($A22,2),"Lundi","Mardi","Mercredi","Jeudi","Vendredi","Samedi","Dimanche"))</f>
        <v>Lundi</v>
      </c>
      <c r="C22" s="46" t="n">
        <f aca="false">IF($A22="","",'14'!$C$29)</f>
        <v>0</v>
      </c>
      <c r="D22" s="46" t="n">
        <f aca="false">IF($A22="","",'14'!$C$30)</f>
        <v>0</v>
      </c>
      <c r="E22" s="46" t="n">
        <f aca="false">IF($A22="","",'14'!$C$31)</f>
        <v>0</v>
      </c>
      <c r="F22" s="47" t="n">
        <f aca="false">IF($A22="","",'14'!$C$32)</f>
        <v>0</v>
      </c>
      <c r="G22" s="46" t="n">
        <f aca="false">IF($A22="","",'14'!$C$26)</f>
        <v>0</v>
      </c>
      <c r="H22" s="46" t="n">
        <f aca="false">IF($A22="","",'14'!$F$26)</f>
        <v>0</v>
      </c>
      <c r="I22" s="46" t="n">
        <f aca="false">IF($A22="","",'14'!$I$26)</f>
        <v>0</v>
      </c>
      <c r="J22" s="46" t="n">
        <f aca="false">IF($A22="","",'14'!$L$26)</f>
        <v>0</v>
      </c>
      <c r="K22" s="48" t="n">
        <f aca="false">IF($A22="","",SUM($G22:$J22))</f>
        <v>0</v>
      </c>
      <c r="L22" s="49" t="n">
        <f aca="false">IF($A22="","",$F22-$K22)</f>
        <v>0</v>
      </c>
      <c r="M22" s="50" t="n">
        <f aca="false">IF($A22="","",'14'!$I$32)</f>
        <v>4223</v>
      </c>
      <c r="N22" s="46" t="str">
        <f aca="false">IF($A22="","",IF($F22=0,"—",$F22-$C$6))</f>
        <v>—</v>
      </c>
    </row>
    <row r="23" customFormat="false" ht="18" hidden="false" customHeight="true" outlineLevel="0" collapsed="false">
      <c r="A23" s="37" t="n">
        <f aca="false">IF(15&gt;$F$4,"",DATE($C$3,$C$4,15))</f>
        <v>46280</v>
      </c>
      <c r="B23" s="38" t="str">
        <f aca="false">IF($A23="","",CHOOSE(WEEKDAY($A23,2),"Lundi","Mardi","Mercredi","Jeudi","Vendredi","Samedi","Dimanche"))</f>
        <v>Mardi</v>
      </c>
      <c r="C23" s="39" t="n">
        <f aca="false">IF($A23="","",'15'!$C$29)</f>
        <v>0</v>
      </c>
      <c r="D23" s="39" t="n">
        <f aca="false">IF($A23="","",'15'!$C$30)</f>
        <v>0</v>
      </c>
      <c r="E23" s="39" t="n">
        <f aca="false">IF($A23="","",'15'!$C$31)</f>
        <v>0</v>
      </c>
      <c r="F23" s="40" t="n">
        <f aca="false">IF($A23="","",'15'!$C$32)</f>
        <v>0</v>
      </c>
      <c r="G23" s="39" t="n">
        <f aca="false">IF($A23="","",'15'!$C$26)</f>
        <v>0</v>
      </c>
      <c r="H23" s="39" t="n">
        <f aca="false">IF($A23="","",'15'!$F$26)</f>
        <v>0</v>
      </c>
      <c r="I23" s="39" t="n">
        <f aca="false">IF($A23="","",'15'!$I$26)</f>
        <v>0</v>
      </c>
      <c r="J23" s="39" t="n">
        <f aca="false">IF($A23="","",'15'!$L$26)</f>
        <v>0</v>
      </c>
      <c r="K23" s="41" t="n">
        <f aca="false">IF($A23="","",SUM($G23:$J23))</f>
        <v>0</v>
      </c>
      <c r="L23" s="42" t="n">
        <f aca="false">IF($A23="","",$F23-$K23)</f>
        <v>0</v>
      </c>
      <c r="M23" s="43" t="n">
        <f aca="false">IF($A23="","",'15'!$I$32)</f>
        <v>4223</v>
      </c>
      <c r="N23" s="39" t="str">
        <f aca="false">IF($A23="","",IF($F23=0,"—",$F23-$C$6))</f>
        <v>—</v>
      </c>
    </row>
    <row r="24" customFormat="false" ht="18" hidden="false" customHeight="true" outlineLevel="0" collapsed="false">
      <c r="A24" s="44" t="n">
        <f aca="false">IF(16&gt;$F$4,"",DATE($C$3,$C$4,16))</f>
        <v>46281</v>
      </c>
      <c r="B24" s="45" t="str">
        <f aca="false">IF($A24="","",CHOOSE(WEEKDAY($A24,2),"Lundi","Mardi","Mercredi","Jeudi","Vendredi","Samedi","Dimanche"))</f>
        <v>Mercredi</v>
      </c>
      <c r="C24" s="46" t="n">
        <f aca="false">IF($A24="","",'16'!$C$29)</f>
        <v>0</v>
      </c>
      <c r="D24" s="46" t="n">
        <f aca="false">IF($A24="","",'16'!$C$30)</f>
        <v>0</v>
      </c>
      <c r="E24" s="46" t="n">
        <f aca="false">IF($A24="","",'16'!$C$31)</f>
        <v>0</v>
      </c>
      <c r="F24" s="47" t="n">
        <f aca="false">IF($A24="","",'16'!$C$32)</f>
        <v>0</v>
      </c>
      <c r="G24" s="46" t="n">
        <f aca="false">IF($A24="","",'16'!$C$26)</f>
        <v>0</v>
      </c>
      <c r="H24" s="46" t="n">
        <f aca="false">IF($A24="","",'16'!$F$26)</f>
        <v>0</v>
      </c>
      <c r="I24" s="46" t="n">
        <f aca="false">IF($A24="","",'16'!$I$26)</f>
        <v>0</v>
      </c>
      <c r="J24" s="46" t="n">
        <f aca="false">IF($A24="","",'16'!$L$26)</f>
        <v>0</v>
      </c>
      <c r="K24" s="48" t="n">
        <f aca="false">IF($A24="","",SUM($G24:$J24))</f>
        <v>0</v>
      </c>
      <c r="L24" s="49" t="n">
        <f aca="false">IF($A24="","",$F24-$K24)</f>
        <v>0</v>
      </c>
      <c r="M24" s="50" t="n">
        <f aca="false">IF($A24="","",'16'!$I$32)</f>
        <v>4223</v>
      </c>
      <c r="N24" s="46" t="str">
        <f aca="false">IF($A24="","",IF($F24=0,"—",$F24-$C$6))</f>
        <v>—</v>
      </c>
    </row>
    <row r="25" customFormat="false" ht="18" hidden="false" customHeight="true" outlineLevel="0" collapsed="false">
      <c r="A25" s="37" t="n">
        <f aca="false">IF(17&gt;$F$4,"",DATE($C$3,$C$4,17))</f>
        <v>46282</v>
      </c>
      <c r="B25" s="38" t="str">
        <f aca="false">IF($A25="","",CHOOSE(WEEKDAY($A25,2),"Lundi","Mardi","Mercredi","Jeudi","Vendredi","Samedi","Dimanche"))</f>
        <v>Jeudi</v>
      </c>
      <c r="C25" s="39" t="n">
        <f aca="false">IF($A25="","",'17'!$C$29)</f>
        <v>0</v>
      </c>
      <c r="D25" s="39" t="n">
        <f aca="false">IF($A25="","",'17'!$C$30)</f>
        <v>0</v>
      </c>
      <c r="E25" s="39" t="n">
        <f aca="false">IF($A25="","",'17'!$C$31)</f>
        <v>0</v>
      </c>
      <c r="F25" s="40" t="n">
        <f aca="false">IF($A25="","",'17'!$C$32)</f>
        <v>0</v>
      </c>
      <c r="G25" s="39" t="n">
        <f aca="false">IF($A25="","",'17'!$C$26)</f>
        <v>0</v>
      </c>
      <c r="H25" s="39" t="n">
        <f aca="false">IF($A25="","",'17'!$F$26)</f>
        <v>0</v>
      </c>
      <c r="I25" s="39" t="n">
        <f aca="false">IF($A25="","",'17'!$I$26)</f>
        <v>0</v>
      </c>
      <c r="J25" s="39" t="n">
        <f aca="false">IF($A25="","",'17'!$L$26)</f>
        <v>0</v>
      </c>
      <c r="K25" s="41" t="n">
        <f aca="false">IF($A25="","",SUM($G25:$J25))</f>
        <v>0</v>
      </c>
      <c r="L25" s="42" t="n">
        <f aca="false">IF($A25="","",$F25-$K25)</f>
        <v>0</v>
      </c>
      <c r="M25" s="43" t="n">
        <f aca="false">IF($A25="","",'17'!$I$32)</f>
        <v>4223</v>
      </c>
      <c r="N25" s="39" t="str">
        <f aca="false">IF($A25="","",IF($F25=0,"—",$F25-$C$6))</f>
        <v>—</v>
      </c>
    </row>
    <row r="26" customFormat="false" ht="18" hidden="false" customHeight="true" outlineLevel="0" collapsed="false">
      <c r="A26" s="44" t="n">
        <f aca="false">IF(18&gt;$F$4,"",DATE($C$3,$C$4,18))</f>
        <v>46283</v>
      </c>
      <c r="B26" s="45" t="str">
        <f aca="false">IF($A26="","",CHOOSE(WEEKDAY($A26,2),"Lundi","Mardi","Mercredi","Jeudi","Vendredi","Samedi","Dimanche"))</f>
        <v>Vendredi</v>
      </c>
      <c r="C26" s="46" t="n">
        <f aca="false">IF($A26="","",'18'!$C$29)</f>
        <v>0</v>
      </c>
      <c r="D26" s="46" t="n">
        <f aca="false">IF($A26="","",'18'!$C$30)</f>
        <v>0</v>
      </c>
      <c r="E26" s="46" t="n">
        <f aca="false">IF($A26="","",'18'!$C$31)</f>
        <v>0</v>
      </c>
      <c r="F26" s="47" t="n">
        <f aca="false">IF($A26="","",'18'!$C$32)</f>
        <v>0</v>
      </c>
      <c r="G26" s="46" t="n">
        <f aca="false">IF($A26="","",'18'!$C$26)</f>
        <v>0</v>
      </c>
      <c r="H26" s="46" t="n">
        <f aca="false">IF($A26="","",'18'!$F$26)</f>
        <v>0</v>
      </c>
      <c r="I26" s="46" t="n">
        <f aca="false">IF($A26="","",'18'!$I$26)</f>
        <v>0</v>
      </c>
      <c r="J26" s="46" t="n">
        <f aca="false">IF($A26="","",'18'!$L$26)</f>
        <v>0</v>
      </c>
      <c r="K26" s="48" t="n">
        <f aca="false">IF($A26="","",SUM($G26:$J26))</f>
        <v>0</v>
      </c>
      <c r="L26" s="49" t="n">
        <f aca="false">IF($A26="","",$F26-$K26)</f>
        <v>0</v>
      </c>
      <c r="M26" s="50" t="n">
        <f aca="false">IF($A26="","",'18'!$I$32)</f>
        <v>4223</v>
      </c>
      <c r="N26" s="46" t="str">
        <f aca="false">IF($A26="","",IF($F26=0,"—",$F26-$C$6))</f>
        <v>—</v>
      </c>
    </row>
    <row r="27" customFormat="false" ht="18" hidden="false" customHeight="true" outlineLevel="0" collapsed="false">
      <c r="A27" s="37" t="n">
        <f aca="false">IF(19&gt;$F$4,"",DATE($C$3,$C$4,19))</f>
        <v>46284</v>
      </c>
      <c r="B27" s="38" t="str">
        <f aca="false">IF($A27="","",CHOOSE(WEEKDAY($A27,2),"Lundi","Mardi","Mercredi","Jeudi","Vendredi","Samedi","Dimanche"))</f>
        <v>Samedi</v>
      </c>
      <c r="C27" s="39" t="n">
        <f aca="false">IF($A27="","",'19'!$C$29)</f>
        <v>0</v>
      </c>
      <c r="D27" s="39" t="n">
        <f aca="false">IF($A27="","",'19'!$C$30)</f>
        <v>0</v>
      </c>
      <c r="E27" s="39" t="n">
        <f aca="false">IF($A27="","",'19'!$C$31)</f>
        <v>0</v>
      </c>
      <c r="F27" s="40" t="n">
        <f aca="false">IF($A27="","",'19'!$C$32)</f>
        <v>0</v>
      </c>
      <c r="G27" s="39" t="n">
        <f aca="false">IF($A27="","",'19'!$C$26)</f>
        <v>0</v>
      </c>
      <c r="H27" s="39" t="n">
        <f aca="false">IF($A27="","",'19'!$F$26)</f>
        <v>0</v>
      </c>
      <c r="I27" s="39" t="n">
        <f aca="false">IF($A27="","",'19'!$I$26)</f>
        <v>0</v>
      </c>
      <c r="J27" s="39" t="n">
        <f aca="false">IF($A27="","",'19'!$L$26)</f>
        <v>0</v>
      </c>
      <c r="K27" s="41" t="n">
        <f aca="false">IF($A27="","",SUM($G27:$J27))</f>
        <v>0</v>
      </c>
      <c r="L27" s="42" t="n">
        <f aca="false">IF($A27="","",$F27-$K27)</f>
        <v>0</v>
      </c>
      <c r="M27" s="43" t="n">
        <f aca="false">IF($A27="","",'19'!$I$32)</f>
        <v>4223</v>
      </c>
      <c r="N27" s="39" t="str">
        <f aca="false">IF($A27="","",IF($F27=0,"—",$F27-$C$6))</f>
        <v>—</v>
      </c>
    </row>
    <row r="28" customFormat="false" ht="18" hidden="false" customHeight="true" outlineLevel="0" collapsed="false">
      <c r="A28" s="44" t="n">
        <f aca="false">IF(20&gt;$F$4,"",DATE($C$3,$C$4,20))</f>
        <v>46285</v>
      </c>
      <c r="B28" s="45" t="str">
        <f aca="false">IF($A28="","",CHOOSE(WEEKDAY($A28,2),"Lundi","Mardi","Mercredi","Jeudi","Vendredi","Samedi","Dimanche"))</f>
        <v>Dimanche</v>
      </c>
      <c r="C28" s="46" t="n">
        <f aca="false">IF($A28="","",'20'!$C$29)</f>
        <v>0</v>
      </c>
      <c r="D28" s="46" t="n">
        <f aca="false">IF($A28="","",'20'!$C$30)</f>
        <v>0</v>
      </c>
      <c r="E28" s="46" t="n">
        <f aca="false">IF($A28="","",'20'!$C$31)</f>
        <v>0</v>
      </c>
      <c r="F28" s="47" t="n">
        <f aca="false">IF($A28="","",'20'!$C$32)</f>
        <v>0</v>
      </c>
      <c r="G28" s="46" t="n">
        <f aca="false">IF($A28="","",'20'!$C$26)</f>
        <v>0</v>
      </c>
      <c r="H28" s="46" t="n">
        <f aca="false">IF($A28="","",'20'!$F$26)</f>
        <v>0</v>
      </c>
      <c r="I28" s="46" t="n">
        <f aca="false">IF($A28="","",'20'!$I$26)</f>
        <v>0</v>
      </c>
      <c r="J28" s="46" t="n">
        <f aca="false">IF($A28="","",'20'!$L$26)</f>
        <v>0</v>
      </c>
      <c r="K28" s="48" t="n">
        <f aca="false">IF($A28="","",SUM($G28:$J28))</f>
        <v>0</v>
      </c>
      <c r="L28" s="49" t="n">
        <f aca="false">IF($A28="","",$F28-$K28)</f>
        <v>0</v>
      </c>
      <c r="M28" s="50" t="n">
        <f aca="false">IF($A28="","",'20'!$I$32)</f>
        <v>4223</v>
      </c>
      <c r="N28" s="46" t="str">
        <f aca="false">IF($A28="","",IF($F28=0,"—",$F28-$C$6))</f>
        <v>—</v>
      </c>
    </row>
    <row r="29" customFormat="false" ht="18" hidden="false" customHeight="true" outlineLevel="0" collapsed="false">
      <c r="A29" s="37" t="n">
        <f aca="false">IF(21&gt;$F$4,"",DATE($C$3,$C$4,21))</f>
        <v>46286</v>
      </c>
      <c r="B29" s="38" t="str">
        <f aca="false">IF($A29="","",CHOOSE(WEEKDAY($A29,2),"Lundi","Mardi","Mercredi","Jeudi","Vendredi","Samedi","Dimanche"))</f>
        <v>Lundi</v>
      </c>
      <c r="C29" s="39" t="n">
        <f aca="false">IF($A29="","",'21'!$C$29)</f>
        <v>0</v>
      </c>
      <c r="D29" s="39" t="n">
        <f aca="false">IF($A29="","",'21'!$C$30)</f>
        <v>0</v>
      </c>
      <c r="E29" s="39" t="n">
        <f aca="false">IF($A29="","",'21'!$C$31)</f>
        <v>0</v>
      </c>
      <c r="F29" s="40" t="n">
        <f aca="false">IF($A29="","",'21'!$C$32)</f>
        <v>0</v>
      </c>
      <c r="G29" s="39" t="n">
        <f aca="false">IF($A29="","",'21'!$C$26)</f>
        <v>0</v>
      </c>
      <c r="H29" s="39" t="n">
        <f aca="false">IF($A29="","",'21'!$F$26)</f>
        <v>0</v>
      </c>
      <c r="I29" s="39" t="n">
        <f aca="false">IF($A29="","",'21'!$I$26)</f>
        <v>0</v>
      </c>
      <c r="J29" s="39" t="n">
        <f aca="false">IF($A29="","",'21'!$L$26)</f>
        <v>0</v>
      </c>
      <c r="K29" s="41" t="n">
        <f aca="false">IF($A29="","",SUM($G29:$J29))</f>
        <v>0</v>
      </c>
      <c r="L29" s="42" t="n">
        <f aca="false">IF($A29="","",$F29-$K29)</f>
        <v>0</v>
      </c>
      <c r="M29" s="43" t="n">
        <f aca="false">IF($A29="","",'21'!$I$32)</f>
        <v>4223</v>
      </c>
      <c r="N29" s="39" t="str">
        <f aca="false">IF($A29="","",IF($F29=0,"—",$F29-$C$6))</f>
        <v>—</v>
      </c>
    </row>
    <row r="30" customFormat="false" ht="18" hidden="false" customHeight="true" outlineLevel="0" collapsed="false">
      <c r="A30" s="44" t="n">
        <f aca="false">IF(22&gt;$F$4,"",DATE($C$3,$C$4,22))</f>
        <v>46287</v>
      </c>
      <c r="B30" s="45" t="str">
        <f aca="false">IF($A30="","",CHOOSE(WEEKDAY($A30,2),"Lundi","Mardi","Mercredi","Jeudi","Vendredi","Samedi","Dimanche"))</f>
        <v>Mardi</v>
      </c>
      <c r="C30" s="46" t="n">
        <f aca="false">IF($A30="","",'22'!$C$29)</f>
        <v>0</v>
      </c>
      <c r="D30" s="46" t="n">
        <f aca="false">IF($A30="","",'22'!$C$30)</f>
        <v>0</v>
      </c>
      <c r="E30" s="46" t="n">
        <f aca="false">IF($A30="","",'22'!$C$31)</f>
        <v>0</v>
      </c>
      <c r="F30" s="47" t="n">
        <f aca="false">IF($A30="","",'22'!$C$32)</f>
        <v>0</v>
      </c>
      <c r="G30" s="46" t="n">
        <f aca="false">IF($A30="","",'22'!$C$26)</f>
        <v>0</v>
      </c>
      <c r="H30" s="46" t="n">
        <f aca="false">IF($A30="","",'22'!$F$26)</f>
        <v>0</v>
      </c>
      <c r="I30" s="46" t="n">
        <f aca="false">IF($A30="","",'22'!$I$26)</f>
        <v>0</v>
      </c>
      <c r="J30" s="46" t="n">
        <f aca="false">IF($A30="","",'22'!$L$26)</f>
        <v>0</v>
      </c>
      <c r="K30" s="48" t="n">
        <f aca="false">IF($A30="","",SUM($G30:$J30))</f>
        <v>0</v>
      </c>
      <c r="L30" s="49" t="n">
        <f aca="false">IF($A30="","",$F30-$K30)</f>
        <v>0</v>
      </c>
      <c r="M30" s="50" t="n">
        <f aca="false">IF($A30="","",'22'!$I$32)</f>
        <v>4223</v>
      </c>
      <c r="N30" s="46" t="str">
        <f aca="false">IF($A30="","",IF($F30=0,"—",$F30-$C$6))</f>
        <v>—</v>
      </c>
    </row>
    <row r="31" customFormat="false" ht="18" hidden="false" customHeight="true" outlineLevel="0" collapsed="false">
      <c r="A31" s="37" t="n">
        <f aca="false">IF(23&gt;$F$4,"",DATE($C$3,$C$4,23))</f>
        <v>46288</v>
      </c>
      <c r="B31" s="38" t="str">
        <f aca="false">IF($A31="","",CHOOSE(WEEKDAY($A31,2),"Lundi","Mardi","Mercredi","Jeudi","Vendredi","Samedi","Dimanche"))</f>
        <v>Mercredi</v>
      </c>
      <c r="C31" s="39" t="n">
        <f aca="false">IF($A31="","",'23'!$C$29)</f>
        <v>0</v>
      </c>
      <c r="D31" s="39" t="n">
        <f aca="false">IF($A31="","",'23'!$C$30)</f>
        <v>0</v>
      </c>
      <c r="E31" s="39" t="n">
        <f aca="false">IF($A31="","",'23'!$C$31)</f>
        <v>0</v>
      </c>
      <c r="F31" s="40" t="n">
        <f aca="false">IF($A31="","",'23'!$C$32)</f>
        <v>0</v>
      </c>
      <c r="G31" s="39" t="n">
        <f aca="false">IF($A31="","",'23'!$C$26)</f>
        <v>0</v>
      </c>
      <c r="H31" s="39" t="n">
        <f aca="false">IF($A31="","",'23'!$F$26)</f>
        <v>0</v>
      </c>
      <c r="I31" s="39" t="n">
        <f aca="false">IF($A31="","",'23'!$I$26)</f>
        <v>0</v>
      </c>
      <c r="J31" s="39" t="n">
        <f aca="false">IF($A31="","",'23'!$L$26)</f>
        <v>0</v>
      </c>
      <c r="K31" s="41" t="n">
        <f aca="false">IF($A31="","",SUM($G31:$J31))</f>
        <v>0</v>
      </c>
      <c r="L31" s="42" t="n">
        <f aca="false">IF($A31="","",$F31-$K31)</f>
        <v>0</v>
      </c>
      <c r="M31" s="43" t="n">
        <f aca="false">IF($A31="","",'23'!$I$32)</f>
        <v>4223</v>
      </c>
      <c r="N31" s="39" t="str">
        <f aca="false">IF($A31="","",IF($F31=0,"—",$F31-$C$6))</f>
        <v>—</v>
      </c>
    </row>
    <row r="32" customFormat="false" ht="18" hidden="false" customHeight="true" outlineLevel="0" collapsed="false">
      <c r="A32" s="44" t="n">
        <f aca="false">IF(24&gt;$F$4,"",DATE($C$3,$C$4,24))</f>
        <v>46289</v>
      </c>
      <c r="B32" s="45" t="str">
        <f aca="false">IF($A32="","",CHOOSE(WEEKDAY($A32,2),"Lundi","Mardi","Mercredi","Jeudi","Vendredi","Samedi","Dimanche"))</f>
        <v>Jeudi</v>
      </c>
      <c r="C32" s="46" t="n">
        <f aca="false">IF($A32="","",'24'!$C$29)</f>
        <v>0</v>
      </c>
      <c r="D32" s="46" t="n">
        <f aca="false">IF($A32="","",'24'!$C$30)</f>
        <v>0</v>
      </c>
      <c r="E32" s="46" t="n">
        <f aca="false">IF($A32="","",'24'!$C$31)</f>
        <v>0</v>
      </c>
      <c r="F32" s="47" t="n">
        <f aca="false">IF($A32="","",'24'!$C$32)</f>
        <v>0</v>
      </c>
      <c r="G32" s="46" t="n">
        <f aca="false">IF($A32="","",'24'!$C$26)</f>
        <v>0</v>
      </c>
      <c r="H32" s="46" t="n">
        <f aca="false">IF($A32="","",'24'!$F$26)</f>
        <v>0</v>
      </c>
      <c r="I32" s="46" t="n">
        <f aca="false">IF($A32="","",'24'!$I$26)</f>
        <v>0</v>
      </c>
      <c r="J32" s="46" t="n">
        <f aca="false">IF($A32="","",'24'!$L$26)</f>
        <v>0</v>
      </c>
      <c r="K32" s="48" t="n">
        <f aca="false">IF($A32="","",SUM($G32:$J32))</f>
        <v>0</v>
      </c>
      <c r="L32" s="49" t="n">
        <f aca="false">IF($A32="","",$F32-$K32)</f>
        <v>0</v>
      </c>
      <c r="M32" s="50" t="n">
        <f aca="false">IF($A32="","",'24'!$I$32)</f>
        <v>4223</v>
      </c>
      <c r="N32" s="46" t="str">
        <f aca="false">IF($A32="","",IF($F32=0,"—",$F32-$C$6))</f>
        <v>—</v>
      </c>
    </row>
    <row r="33" customFormat="false" ht="18" hidden="false" customHeight="true" outlineLevel="0" collapsed="false">
      <c r="A33" s="37" t="n">
        <f aca="false">IF(25&gt;$F$4,"",DATE($C$3,$C$4,25))</f>
        <v>46290</v>
      </c>
      <c r="B33" s="38" t="str">
        <f aca="false">IF($A33="","",CHOOSE(WEEKDAY($A33,2),"Lundi","Mardi","Mercredi","Jeudi","Vendredi","Samedi","Dimanche"))</f>
        <v>Vendredi</v>
      </c>
      <c r="C33" s="39" t="n">
        <f aca="false">IF($A33="","",'25'!$C$29)</f>
        <v>0</v>
      </c>
      <c r="D33" s="39" t="n">
        <f aca="false">IF($A33="","",'25'!$C$30)</f>
        <v>0</v>
      </c>
      <c r="E33" s="39" t="n">
        <f aca="false">IF($A33="","",'25'!$C$31)</f>
        <v>0</v>
      </c>
      <c r="F33" s="40" t="n">
        <f aca="false">IF($A33="","",'25'!$C$32)</f>
        <v>0</v>
      </c>
      <c r="G33" s="39" t="n">
        <f aca="false">IF($A33="","",'25'!$C$26)</f>
        <v>0</v>
      </c>
      <c r="H33" s="39" t="n">
        <f aca="false">IF($A33="","",'25'!$F$26)</f>
        <v>0</v>
      </c>
      <c r="I33" s="39" t="n">
        <f aca="false">IF($A33="","",'25'!$I$26)</f>
        <v>0</v>
      </c>
      <c r="J33" s="39" t="n">
        <f aca="false">IF($A33="","",'25'!$L$26)</f>
        <v>0</v>
      </c>
      <c r="K33" s="41" t="n">
        <f aca="false">IF($A33="","",SUM($G33:$J33))</f>
        <v>0</v>
      </c>
      <c r="L33" s="42" t="n">
        <f aca="false">IF($A33="","",$F33-$K33)</f>
        <v>0</v>
      </c>
      <c r="M33" s="43" t="n">
        <f aca="false">IF($A33="","",'25'!$I$32)</f>
        <v>4223</v>
      </c>
      <c r="N33" s="39" t="str">
        <f aca="false">IF($A33="","",IF($F33=0,"—",$F33-$C$6))</f>
        <v>—</v>
      </c>
    </row>
    <row r="34" customFormat="false" ht="18" hidden="false" customHeight="true" outlineLevel="0" collapsed="false">
      <c r="A34" s="44" t="n">
        <f aca="false">IF(26&gt;$F$4,"",DATE($C$3,$C$4,26))</f>
        <v>46291</v>
      </c>
      <c r="B34" s="45" t="str">
        <f aca="false">IF($A34="","",CHOOSE(WEEKDAY($A34,2),"Lundi","Mardi","Mercredi","Jeudi","Vendredi","Samedi","Dimanche"))</f>
        <v>Samedi</v>
      </c>
      <c r="C34" s="46" t="n">
        <f aca="false">IF($A34="","",'26'!$C$29)</f>
        <v>0</v>
      </c>
      <c r="D34" s="46" t="n">
        <f aca="false">IF($A34="","",'26'!$C$30)</f>
        <v>0</v>
      </c>
      <c r="E34" s="46" t="n">
        <f aca="false">IF($A34="","",'26'!$C$31)</f>
        <v>0</v>
      </c>
      <c r="F34" s="47" t="n">
        <f aca="false">IF($A34="","",'26'!$C$32)</f>
        <v>0</v>
      </c>
      <c r="G34" s="46" t="n">
        <f aca="false">IF($A34="","",'26'!$C$26)</f>
        <v>0</v>
      </c>
      <c r="H34" s="46" t="n">
        <f aca="false">IF($A34="","",'26'!$F$26)</f>
        <v>0</v>
      </c>
      <c r="I34" s="46" t="n">
        <f aca="false">IF($A34="","",'26'!$I$26)</f>
        <v>0</v>
      </c>
      <c r="J34" s="46" t="n">
        <f aca="false">IF($A34="","",'26'!$L$26)</f>
        <v>0</v>
      </c>
      <c r="K34" s="48" t="n">
        <f aca="false">IF($A34="","",SUM($G34:$J34))</f>
        <v>0</v>
      </c>
      <c r="L34" s="49" t="n">
        <f aca="false">IF($A34="","",$F34-$K34)</f>
        <v>0</v>
      </c>
      <c r="M34" s="50" t="n">
        <f aca="false">IF($A34="","",'26'!$I$32)</f>
        <v>4223</v>
      </c>
      <c r="N34" s="46" t="str">
        <f aca="false">IF($A34="","",IF($F34=0,"—",$F34-$C$6))</f>
        <v>—</v>
      </c>
    </row>
    <row r="35" customFormat="false" ht="18" hidden="false" customHeight="true" outlineLevel="0" collapsed="false">
      <c r="A35" s="37" t="n">
        <f aca="false">IF(27&gt;$F$4,"",DATE($C$3,$C$4,27))</f>
        <v>46292</v>
      </c>
      <c r="B35" s="38" t="str">
        <f aca="false">IF($A35="","",CHOOSE(WEEKDAY($A35,2),"Lundi","Mardi","Mercredi","Jeudi","Vendredi","Samedi","Dimanche"))</f>
        <v>Dimanche</v>
      </c>
      <c r="C35" s="39" t="n">
        <f aca="false">IF($A35="","",'27'!$C$29)</f>
        <v>0</v>
      </c>
      <c r="D35" s="39" t="n">
        <f aca="false">IF($A35="","",'27'!$C$30)</f>
        <v>0</v>
      </c>
      <c r="E35" s="39" t="n">
        <f aca="false">IF($A35="","",'27'!$C$31)</f>
        <v>0</v>
      </c>
      <c r="F35" s="40" t="n">
        <f aca="false">IF($A35="","",'27'!$C$32)</f>
        <v>0</v>
      </c>
      <c r="G35" s="39" t="n">
        <f aca="false">IF($A35="","",'27'!$C$26)</f>
        <v>0</v>
      </c>
      <c r="H35" s="39" t="n">
        <f aca="false">IF($A35="","",'27'!$F$26)</f>
        <v>0</v>
      </c>
      <c r="I35" s="39" t="n">
        <f aca="false">IF($A35="","",'27'!$I$26)</f>
        <v>0</v>
      </c>
      <c r="J35" s="39" t="n">
        <f aca="false">IF($A35="","",'27'!$L$26)</f>
        <v>0</v>
      </c>
      <c r="K35" s="41" t="n">
        <f aca="false">IF($A35="","",SUM($G35:$J35))</f>
        <v>0</v>
      </c>
      <c r="L35" s="42" t="n">
        <f aca="false">IF($A35="","",$F35-$K35)</f>
        <v>0</v>
      </c>
      <c r="M35" s="43" t="n">
        <f aca="false">IF($A35="","",'27'!$I$32)</f>
        <v>4223</v>
      </c>
      <c r="N35" s="39" t="str">
        <f aca="false">IF($A35="","",IF($F35=0,"—",$F35-$C$6))</f>
        <v>—</v>
      </c>
    </row>
    <row r="36" customFormat="false" ht="18" hidden="false" customHeight="true" outlineLevel="0" collapsed="false">
      <c r="A36" s="44" t="n">
        <f aca="false">IF(28&gt;$F$4,"",DATE($C$3,$C$4,28))</f>
        <v>46293</v>
      </c>
      <c r="B36" s="45" t="str">
        <f aca="false">IF($A36="","",CHOOSE(WEEKDAY($A36,2),"Lundi","Mardi","Mercredi","Jeudi","Vendredi","Samedi","Dimanche"))</f>
        <v>Lundi</v>
      </c>
      <c r="C36" s="46" t="n">
        <f aca="false">IF($A36="","",'28'!$C$29)</f>
        <v>0</v>
      </c>
      <c r="D36" s="46" t="n">
        <f aca="false">IF($A36="","",'28'!$C$30)</f>
        <v>0</v>
      </c>
      <c r="E36" s="46" t="n">
        <f aca="false">IF($A36="","",'28'!$C$31)</f>
        <v>0</v>
      </c>
      <c r="F36" s="47" t="n">
        <f aca="false">IF($A36="","",'28'!$C$32)</f>
        <v>0</v>
      </c>
      <c r="G36" s="46" t="n">
        <f aca="false">IF($A36="","",'28'!$C$26)</f>
        <v>0</v>
      </c>
      <c r="H36" s="46" t="n">
        <f aca="false">IF($A36="","",'28'!$F$26)</f>
        <v>0</v>
      </c>
      <c r="I36" s="46" t="n">
        <f aca="false">IF($A36="","",'28'!$I$26)</f>
        <v>0</v>
      </c>
      <c r="J36" s="46" t="n">
        <f aca="false">IF($A36="","",'28'!$L$26)</f>
        <v>0</v>
      </c>
      <c r="K36" s="48" t="n">
        <f aca="false">IF($A36="","",SUM($G36:$J36))</f>
        <v>0</v>
      </c>
      <c r="L36" s="49" t="n">
        <f aca="false">IF($A36="","",$F36-$K36)</f>
        <v>0</v>
      </c>
      <c r="M36" s="50" t="n">
        <f aca="false">IF($A36="","",'28'!$I$32)</f>
        <v>4223</v>
      </c>
      <c r="N36" s="46" t="str">
        <f aca="false">IF($A36="","",IF($F36=0,"—",$F36-$C$6))</f>
        <v>—</v>
      </c>
    </row>
    <row r="37" customFormat="false" ht="18" hidden="false" customHeight="true" outlineLevel="0" collapsed="false">
      <c r="A37" s="37" t="n">
        <f aca="false">IF(29&gt;$F$4,"",DATE($C$3,$C$4,29))</f>
        <v>46294</v>
      </c>
      <c r="B37" s="38" t="str">
        <f aca="false">IF($A37="","",CHOOSE(WEEKDAY($A37,2),"Lundi","Mardi","Mercredi","Jeudi","Vendredi","Samedi","Dimanche"))</f>
        <v>Mardi</v>
      </c>
      <c r="C37" s="39" t="n">
        <f aca="false">IF($A37="","",'29'!$C$29)</f>
        <v>0</v>
      </c>
      <c r="D37" s="39" t="n">
        <f aca="false">IF($A37="","",'29'!$C$30)</f>
        <v>0</v>
      </c>
      <c r="E37" s="39" t="n">
        <f aca="false">IF($A37="","",'29'!$C$31)</f>
        <v>0</v>
      </c>
      <c r="F37" s="40" t="n">
        <f aca="false">IF($A37="","",'29'!$C$32)</f>
        <v>0</v>
      </c>
      <c r="G37" s="39" t="n">
        <f aca="false">IF($A37="","",'29'!$C$26)</f>
        <v>0</v>
      </c>
      <c r="H37" s="39" t="n">
        <f aca="false">IF($A37="","",'29'!$F$26)</f>
        <v>0</v>
      </c>
      <c r="I37" s="39" t="n">
        <f aca="false">IF($A37="","",'29'!$I$26)</f>
        <v>0</v>
      </c>
      <c r="J37" s="39" t="n">
        <f aca="false">IF($A37="","",'29'!$L$26)</f>
        <v>0</v>
      </c>
      <c r="K37" s="41" t="n">
        <f aca="false">IF($A37="","",SUM($G37:$J37))</f>
        <v>0</v>
      </c>
      <c r="L37" s="42" t="n">
        <f aca="false">IF($A37="","",$F37-$K37)</f>
        <v>0</v>
      </c>
      <c r="M37" s="43" t="n">
        <f aca="false">IF($A37="","",'29'!$I$32)</f>
        <v>4223</v>
      </c>
      <c r="N37" s="39" t="str">
        <f aca="false">IF($A37="","",IF($F37=0,"—",$F37-$C$6))</f>
        <v>—</v>
      </c>
    </row>
    <row r="38" customFormat="false" ht="18" hidden="false" customHeight="true" outlineLevel="0" collapsed="false">
      <c r="A38" s="44" t="n">
        <f aca="false">IF(30&gt;$F$4,"",DATE($C$3,$C$4,30))</f>
        <v>46295</v>
      </c>
      <c r="B38" s="45" t="str">
        <f aca="false">IF($A38="","",CHOOSE(WEEKDAY($A38,2),"Lundi","Mardi","Mercredi","Jeudi","Vendredi","Samedi","Dimanche"))</f>
        <v>Mercredi</v>
      </c>
      <c r="C38" s="46" t="n">
        <f aca="false">IF($A38="","",'30'!$C$29)</f>
        <v>0</v>
      </c>
      <c r="D38" s="46" t="n">
        <f aca="false">IF($A38="","",'30'!$C$30)</f>
        <v>0</v>
      </c>
      <c r="E38" s="46" t="n">
        <f aca="false">IF($A38="","",'30'!$C$31)</f>
        <v>0</v>
      </c>
      <c r="F38" s="47" t="n">
        <f aca="false">IF($A38="","",'30'!$C$32)</f>
        <v>0</v>
      </c>
      <c r="G38" s="46" t="n">
        <f aca="false">IF($A38="","",'30'!$C$26)</f>
        <v>0</v>
      </c>
      <c r="H38" s="46" t="n">
        <f aca="false">IF($A38="","",'30'!$F$26)</f>
        <v>0</v>
      </c>
      <c r="I38" s="46" t="n">
        <f aca="false">IF($A38="","",'30'!$I$26)</f>
        <v>0</v>
      </c>
      <c r="J38" s="46" t="n">
        <f aca="false">IF($A38="","",'30'!$L$26)</f>
        <v>0</v>
      </c>
      <c r="K38" s="48" t="n">
        <f aca="false">IF($A38="","",SUM($G38:$J38))</f>
        <v>0</v>
      </c>
      <c r="L38" s="49" t="n">
        <f aca="false">IF($A38="","",$F38-$K38)</f>
        <v>0</v>
      </c>
      <c r="M38" s="50" t="n">
        <f aca="false">IF($A38="","",'30'!$I$32)</f>
        <v>4223</v>
      </c>
      <c r="N38" s="46" t="str">
        <f aca="false">IF($A38="","",IF($F38=0,"—",$F38-$C$6))</f>
        <v>—</v>
      </c>
    </row>
    <row r="39" customFormat="false" ht="18" hidden="false" customHeight="true" outlineLevel="0" collapsed="false">
      <c r="A39" s="37" t="str">
        <f aca="false">IF(31&gt;$F$4,"",DATE($C$3,$C$4,31))</f>
        <v/>
      </c>
      <c r="B39" s="38" t="str">
        <f aca="false">IF($A39="","",CHOOSE(WEEKDAY($A39,2),"Lundi","Mardi","Mercredi","Jeudi","Vendredi","Samedi","Dimanche"))</f>
        <v/>
      </c>
      <c r="C39" s="39" t="str">
        <f aca="false">IF($A39="","",'31'!$C$29)</f>
        <v/>
      </c>
      <c r="D39" s="39" t="str">
        <f aca="false">IF($A39="","",'31'!$C$30)</f>
        <v/>
      </c>
      <c r="E39" s="39" t="str">
        <f aca="false">IF($A39="","",'31'!$C$31)</f>
        <v/>
      </c>
      <c r="F39" s="40" t="str">
        <f aca="false">IF($A39="","",'31'!$C$32)</f>
        <v/>
      </c>
      <c r="G39" s="39" t="str">
        <f aca="false">IF($A39="","",'31'!$C$26)</f>
        <v/>
      </c>
      <c r="H39" s="39" t="str">
        <f aca="false">IF($A39="","",'31'!$F$26)</f>
        <v/>
      </c>
      <c r="I39" s="39" t="str">
        <f aca="false">IF($A39="","",'31'!$I$26)</f>
        <v/>
      </c>
      <c r="J39" s="39" t="str">
        <f aca="false">IF($A39="","",'31'!$L$26)</f>
        <v/>
      </c>
      <c r="K39" s="41" t="str">
        <f aca="false">IF($A39="","",SUM($G39:$J39))</f>
        <v/>
      </c>
      <c r="L39" s="42" t="str">
        <f aca="false">IF($A39="","",$F39-$K39)</f>
        <v/>
      </c>
      <c r="M39" s="43" t="str">
        <f aca="false">IF($A39="","",'31'!$I$32)</f>
        <v/>
      </c>
      <c r="N39" s="39" t="str">
        <f aca="false">IF($A39="","",IF($F39=0,"—",$F39-$C$6))</f>
        <v/>
      </c>
    </row>
    <row r="40" customFormat="false" ht="24" hidden="false" customHeight="true" outlineLevel="0" collapsed="false">
      <c r="A40" s="27" t="s">
        <v>68</v>
      </c>
      <c r="B40" s="27"/>
      <c r="C40" s="28" t="n">
        <f aca="false">SUM(C9:C39)</f>
        <v>0</v>
      </c>
      <c r="D40" s="28" t="n">
        <f aca="false">SUM(D9:D39)</f>
        <v>0</v>
      </c>
      <c r="E40" s="28" t="n">
        <f aca="false">SUM(E9:E39)</f>
        <v>0</v>
      </c>
      <c r="F40" s="28" t="n">
        <f aca="false">SUM(F9:F39)</f>
        <v>0</v>
      </c>
      <c r="G40" s="28" t="n">
        <f aca="false">SUM(G9:G39)</f>
        <v>0</v>
      </c>
      <c r="H40" s="28" t="n">
        <f aca="false">SUM(H9:H39)</f>
        <v>0</v>
      </c>
      <c r="I40" s="28" t="n">
        <f aca="false">SUM(I9:I39)</f>
        <v>0</v>
      </c>
      <c r="J40" s="28" t="n">
        <f aca="false">SUM(J9:J39)</f>
        <v>0</v>
      </c>
      <c r="K40" s="28" t="n">
        <f aca="false">SUM(K9:K39)</f>
        <v>0</v>
      </c>
      <c r="L40" s="28" t="n">
        <f aca="false">SUM(L9:L39)</f>
        <v>0</v>
      </c>
      <c r="M40" s="28" t="n">
        <f aca="false">INDEX($M$9:$M$39,$F$4)</f>
        <v>4223</v>
      </c>
      <c r="N40" s="28" t="n">
        <f aca="false">SUMIF($F$9:$F$39,"&gt;0",$N$9:$N$39)</f>
        <v>0</v>
      </c>
    </row>
    <row r="41" customFormat="false" ht="19.5" hidden="false" customHeight="true" outlineLevel="0" collapsed="false">
      <c r="A41" s="51" t="s">
        <v>69</v>
      </c>
      <c r="B41" s="51"/>
      <c r="C41" s="52"/>
      <c r="D41" s="52"/>
      <c r="E41" s="52"/>
      <c r="F41" s="52"/>
      <c r="G41" s="53" t="n">
        <f aca="false">IFERROR(G40/$F$40,0)</f>
        <v>0</v>
      </c>
      <c r="H41" s="53" t="n">
        <f aca="false">IFERROR(H40/$F$40,0)</f>
        <v>0</v>
      </c>
      <c r="I41" s="53" t="n">
        <f aca="false">IFERROR(I40/$F$40,0)</f>
        <v>0</v>
      </c>
      <c r="J41" s="53" t="n">
        <f aca="false">IFERROR(J40/$F$40,0)</f>
        <v>0</v>
      </c>
      <c r="K41" s="53" t="n">
        <f aca="false">IFERROR(K40/$F$40,0)</f>
        <v>0</v>
      </c>
      <c r="L41" s="53" t="n">
        <f aca="false">IFERROR(L40/$F$40,0)</f>
        <v>0</v>
      </c>
      <c r="M41" s="52"/>
      <c r="N41" s="52"/>
    </row>
    <row r="43" customFormat="false" ht="45.75" hidden="false" customHeight="true" outlineLevel="0" collapsed="false">
      <c r="A43" s="30" t="s">
        <v>70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</row>
  </sheetData>
  <mergeCells count="10">
    <mergeCell ref="A1:N1"/>
    <mergeCell ref="A2:N2"/>
    <mergeCell ref="A3:B3"/>
    <mergeCell ref="H3:N4"/>
    <mergeCell ref="A4:B4"/>
    <mergeCell ref="A5:B5"/>
    <mergeCell ref="A6:B6"/>
    <mergeCell ref="A40:B40"/>
    <mergeCell ref="A41:B41"/>
    <mergeCell ref="A43:N43"/>
  </mergeCells>
  <conditionalFormatting sqref="L9:L39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conditionalFormatting sqref="M9:M39">
    <cfRule type="cellIs" priority="4" operator="lessThan" aboveAverage="0" equalAverage="0" bottom="0" percent="0" rank="0" text="" dxfId="1">
      <formula>0</formula>
    </cfRule>
  </conditionalFormatting>
  <conditionalFormatting sqref="N9:N39">
    <cfRule type="cellIs" priority="5" operator="greaterThanOrEqual" aboveAverage="0" equalAverage="0" bottom="0" percent="0" rank="0" text="" dxfId="2">
      <formula>0</formula>
    </cfRule>
    <cfRule type="cellIs" priority="6" operator="lessThan" aboveAverage="0" equalAverage="0" bottom="0" percent="0" rank="0" text="" dxfId="3">
      <formula>0</formula>
    </cfRule>
  </conditionalFormatting>
  <conditionalFormatting sqref="F9:F39">
    <cfRule type="dataBar" priority="7">
      <dataBar showValue="1" minLength="10" maxLength="90">
        <cfvo type="num" val="0"/>
        <cfvo type="percentile" val="98"/>
        <color rgb="FF9CCC9C"/>
      </dataBar>
      <extLst>
        <ext xmlns:x14="http://schemas.microsoft.com/office/spreadsheetml/2009/9/main" uri="{B025F937-C7B1-47D3-B67F-A62EFF666E3E}">
          <x14:id>{AE714A70-BD98-4D1F-80E1-F68C4AAB5454}</x14:id>
        </ext>
      </extLst>
    </cfRule>
  </conditionalFormatting>
  <conditionalFormatting sqref="A9:N39">
    <cfRule type="expression" priority="8" aboveAverage="0" equalAverage="0" bottom="0" percent="0" rank="0" text="" dxfId="4">
      <formula>AND($A9&lt;&gt;"",WEEKDAY($A9,2)&gt;5)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714A70-BD98-4D1F-80E1-F68C4AAB5454}">
            <x14:dataBar minLength="10" maxLength="90" axisPosition="none" gradient="true">
              <x14:cfvo type="num">
                <xm:f>0</xm:f>
              </x14:cfvo>
              <x14:cfvo type="percentile">
                <xm:f>98</xm:f>
              </x14:cfvo>
              <x14:negativeFillColor rgb="FF9CCC9C"/>
              <x14:axisColor rgb="FF000000"/>
            </x14:dataBar>
          </x14:cfRule>
          <xm:sqref>F9:F39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IF(1&gt;'RECAP DU JOURNAL'!$F$4,"— ce jour n'existe pas dans le mois —",DATE('RECAP DU JOURNAL'!$C$3,'RECAP DU JOURNAL'!$C$4,1))</f>
        <v>46266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75" t="n">
        <f aca="false">'RECAP DU JOURNAL'!$C$5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IF(2&gt;'RECAP DU JOURNAL'!$F$4,"— ce jour n'existe pas dans le mois —",DATE('RECAP DU JOURNAL'!$C$3,'RECAP DU JOURNAL'!$C$4,2))</f>
        <v>46267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'01'!$I$32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IF(3&gt;'RECAP DU JOURNAL'!$F$4,"— ce jour n'existe pas dans le mois —",DATE('RECAP DU JOURNAL'!$C$3,'RECAP DU JOURNAL'!$C$4,3))</f>
        <v>46268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'02'!$I$32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IF(4&gt;'RECAP DU JOURNAL'!$F$4,"— ce jour n'existe pas dans le mois —",DATE('RECAP DU JOURNAL'!$C$3,'RECAP DU JOURNAL'!$C$4,4))</f>
        <v>46269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'03'!$I$32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IF(5&gt;'RECAP DU JOURNAL'!$F$4,"— ce jour n'existe pas dans le mois —",DATE('RECAP DU JOURNAL'!$C$3,'RECAP DU JOURNAL'!$C$4,5))</f>
        <v>46270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'04'!$I$32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IF(6&gt;'RECAP DU JOURNAL'!$F$4,"— ce jour n'existe pas dans le mois —",DATE('RECAP DU JOURNAL'!$C$3,'RECAP DU JOURNAL'!$C$4,6))</f>
        <v>46271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'05'!$I$32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IF(7&gt;'RECAP DU JOURNAL'!$F$4,"— ce jour n'existe pas dans le mois —",DATE('RECAP DU JOURNAL'!$C$3,'RECAP DU JOURNAL'!$C$4,7))</f>
        <v>46272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'06'!$I$32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IF(8&gt;'RECAP DU JOURNAL'!$F$4,"— ce jour n'existe pas dans le mois —",DATE('RECAP DU JOURNAL'!$C$3,'RECAP DU JOURNAL'!$C$4,8))</f>
        <v>46273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'07'!$I$32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IF(9&gt;'RECAP DU JOURNAL'!$F$4,"— ce jour n'existe pas dans le mois —",DATE('RECAP DU JOURNAL'!$C$3,'RECAP DU JOURNAL'!$C$4,9))</f>
        <v>46274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'08'!$I$32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IF(10&gt;'RECAP DU JOURNAL'!$F$4,"— ce jour n'existe pas dans le mois —",DATE('RECAP DU JOURNAL'!$C$3,'RECAP DU JOURNAL'!$C$4,10))</f>
        <v>46275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'09'!$I$32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IF(11&gt;'RECAP DU JOURNAL'!$F$4,"— ce jour n'existe pas dans le mois —",DATE('RECAP DU JOURNAL'!$C$3,'RECAP DU JOURNAL'!$C$4,11))</f>
        <v>46276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'10'!$I$32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IF(12&gt;'RECAP DU JOURNAL'!$F$4,"— ce jour n'existe pas dans le mois —",DATE('RECAP DU JOURNAL'!$C$3,'RECAP DU JOURNAL'!$C$4,12))</f>
        <v>46277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'11'!$I$32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IF(13&gt;'RECAP DU JOURNAL'!$F$4,"— ce jour n'existe pas dans le mois —",DATE('RECAP DU JOURNAL'!$C$3,'RECAP DU JOURNAL'!$C$4,13))</f>
        <v>46278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'12'!$I$32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IF(14&gt;'RECAP DU JOURNAL'!$F$4,"— ce jour n'existe pas dans le mois —",DATE('RECAP DU JOURNAL'!$C$3,'RECAP DU JOURNAL'!$C$4,14))</f>
        <v>46279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'13'!$I$32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IF(15&gt;'RECAP DU JOURNAL'!$F$4,"— ce jour n'existe pas dans le mois —",DATE('RECAP DU JOURNAL'!$C$3,'RECAP DU JOURNAL'!$C$4,15))</f>
        <v>46280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'14'!$I$32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IF(16&gt;'RECAP DU JOURNAL'!$F$4,"— ce jour n'existe pas dans le mois —",DATE('RECAP DU JOURNAL'!$C$3,'RECAP DU JOURNAL'!$C$4,16))</f>
        <v>46281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'15'!$I$32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IF(17&gt;'RECAP DU JOURNAL'!$F$4,"— ce jour n'existe pas dans le mois —",DATE('RECAP DU JOURNAL'!$C$3,'RECAP DU JOURNAL'!$C$4,17))</f>
        <v>46282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'16'!$I$32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IF(18&gt;'RECAP DU JOURNAL'!$F$4,"— ce jour n'existe pas dans le mois —",DATE('RECAP DU JOURNAL'!$C$3,'RECAP DU JOURNAL'!$C$4,18))</f>
        <v>46283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'17'!$I$32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IF(19&gt;'RECAP DU JOURNAL'!$F$4,"— ce jour n'existe pas dans le mois —",DATE('RECAP DU JOURNAL'!$C$3,'RECAP DU JOURNAL'!$C$4,19))</f>
        <v>46284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'18'!$I$32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IF(20&gt;'RECAP DU JOURNAL'!$F$4,"— ce jour n'existe pas dans le mois —",DATE('RECAP DU JOURNAL'!$C$3,'RECAP DU JOURNAL'!$C$4,20))</f>
        <v>46285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'19'!$I$32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IF(21&gt;'RECAP DU JOURNAL'!$F$4,"— ce jour n'existe pas dans le mois —",DATE('RECAP DU JOURNAL'!$C$3,'RECAP DU JOURNAL'!$C$4,21))</f>
        <v>46286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'20'!$I$32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IF(22&gt;'RECAP DU JOURNAL'!$F$4,"— ce jour n'existe pas dans le mois —",DATE('RECAP DU JOURNAL'!$C$3,'RECAP DU JOURNAL'!$C$4,22))</f>
        <v>46287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'21'!$I$32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IF(23&gt;'RECAP DU JOURNAL'!$F$4,"— ce jour n'existe pas dans le mois —",DATE('RECAP DU JOURNAL'!$C$3,'RECAP DU JOURNAL'!$C$4,23))</f>
        <v>46288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'22'!$I$32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IF(24&gt;'RECAP DU JOURNAL'!$F$4,"— ce jour n'existe pas dans le mois —",DATE('RECAP DU JOURNAL'!$C$3,'RECAP DU JOURNAL'!$C$4,24))</f>
        <v>46289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'23'!$I$32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IF(25&gt;'RECAP DU JOURNAL'!$F$4,"— ce jour n'existe pas dans le mois —",DATE('RECAP DU JOURNAL'!$C$3,'RECAP DU JOURNAL'!$C$4,25))</f>
        <v>46290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'24'!$I$32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IF(26&gt;'RECAP DU JOURNAL'!$F$4,"— ce jour n'existe pas dans le mois —",DATE('RECAP DU JOURNAL'!$C$3,'RECAP DU JOURNAL'!$C$4,26))</f>
        <v>46291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'25'!$I$32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IF(27&gt;'RECAP DU JOURNAL'!$F$4,"— ce jour n'existe pas dans le mois —",DATE('RECAP DU JOURNAL'!$C$3,'RECAP DU JOURNAL'!$C$4,27))</f>
        <v>46292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'26'!$I$32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IF(28&gt;'RECAP DU JOURNAL'!$F$4,"— ce jour n'existe pas dans le mois —",DATE('RECAP DU JOURNAL'!$C$3,'RECAP DU JOURNAL'!$C$4,28))</f>
        <v>46293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'27'!$I$32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IF(29&gt;'RECAP DU JOURNAL'!$F$4,"— ce jour n'existe pas dans le mois —",DATE('RECAP DU JOURNAL'!$C$3,'RECAP DU JOURNAL'!$C$4,29))</f>
        <v>46294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'28'!$I$32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n">
        <f aca="false">IF(30&gt;'RECAP DU JOURNAL'!$F$4,"— ce jour n'existe pas dans le mois —",DATE('RECAP DU JOURNAL'!$C$3,'RECAP DU JOURNAL'!$C$4,30))</f>
        <v>46295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'29'!$I$32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265"/>
    <pageSetUpPr fitToPage="true"/>
  </sheetPr>
  <dimension ref="A1:M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26"/>
    <col collapsed="false" customWidth="true" hidden="false" outlineLevel="0" max="12" min="12" style="0" width="14"/>
    <col collapsed="false" customWidth="true" hidden="false" outlineLevel="0" max="13" min="13" style="0" width="3"/>
  </cols>
  <sheetData>
    <row r="1" customFormat="false" ht="36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54" t="str">
        <f aca="false">IF(31&gt;'RECAP DU JOURNAL'!$F$4,"— ce jour n'existe pas dans le mois —",DATE('RECAP DU JOURNAL'!$C$3,'RECAP DU JOURNAL'!$C$4,31))</f>
        <v>— ce jour n'existe pas dans le mois —</v>
      </c>
      <c r="B2" s="54"/>
      <c r="C2" s="54"/>
      <c r="D2" s="54"/>
      <c r="E2" s="54"/>
      <c r="F2" s="54"/>
      <c r="G2" s="55" t="s">
        <v>2</v>
      </c>
      <c r="H2" s="55"/>
      <c r="I2" s="55"/>
      <c r="J2" s="55"/>
      <c r="K2" s="55"/>
      <c r="L2" s="55"/>
      <c r="M2" s="55"/>
    </row>
    <row r="4" customFormat="false" ht="25.5" hidden="false" customHeight="true" outlineLevel="0" collapsed="false">
      <c r="A4" s="56" t="s">
        <v>72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6" customFormat="false" ht="15.75" hidden="false" customHeight="true" outlineLevel="0" collapsed="false">
      <c r="B6" s="57" t="s">
        <v>73</v>
      </c>
      <c r="C6" s="57"/>
      <c r="E6" s="58" t="s">
        <v>74</v>
      </c>
      <c r="F6" s="58"/>
      <c r="H6" s="59" t="s">
        <v>36</v>
      </c>
      <c r="I6" s="59"/>
      <c r="K6" s="60" t="s">
        <v>75</v>
      </c>
      <c r="L6" s="60"/>
    </row>
    <row r="7" customFormat="false" ht="25.5" hidden="false" customHeight="true" outlineLevel="0" collapsed="false">
      <c r="B7" s="61" t="n">
        <f aca="false">$I$29</f>
        <v>4223</v>
      </c>
      <c r="C7" s="61"/>
      <c r="E7" s="62" t="n">
        <f aca="false">$C$32</f>
        <v>0</v>
      </c>
      <c r="F7" s="62"/>
      <c r="H7" s="63" t="n">
        <f aca="false">$I$31</f>
        <v>0</v>
      </c>
      <c r="I7" s="63"/>
      <c r="K7" s="64" t="n">
        <f aca="false">$I$32</f>
        <v>4223</v>
      </c>
      <c r="L7" s="64"/>
    </row>
    <row r="10" customFormat="false" ht="15" hidden="false" customHeight="false" outlineLevel="0" collapsed="false">
      <c r="B10" s="65" t="s">
        <v>76</v>
      </c>
      <c r="C10" s="65"/>
      <c r="E10" s="65" t="s">
        <v>77</v>
      </c>
      <c r="F10" s="65"/>
      <c r="H10" s="65" t="s">
        <v>78</v>
      </c>
      <c r="I10" s="65"/>
      <c r="K10" s="65" t="s">
        <v>79</v>
      </c>
      <c r="L10" s="65"/>
    </row>
    <row r="11" customFormat="false" ht="15" hidden="false" customHeight="false" outlineLevel="0" collapsed="false">
      <c r="B11" s="66" t="s">
        <v>80</v>
      </c>
      <c r="C11" s="66" t="s">
        <v>24</v>
      </c>
      <c r="E11" s="66" t="s">
        <v>80</v>
      </c>
      <c r="F11" s="66" t="s">
        <v>24</v>
      </c>
      <c r="H11" s="66" t="s">
        <v>80</v>
      </c>
      <c r="I11" s="66" t="s">
        <v>24</v>
      </c>
      <c r="K11" s="66" t="s">
        <v>80</v>
      </c>
      <c r="L11" s="66" t="s">
        <v>24</v>
      </c>
    </row>
    <row r="12" customFormat="false" ht="16.5" hidden="false" customHeight="true" outlineLevel="0" collapsed="false">
      <c r="B12" s="67"/>
      <c r="C12" s="68"/>
      <c r="E12" s="69" t="s">
        <v>81</v>
      </c>
      <c r="F12" s="68"/>
      <c r="H12" s="69" t="s">
        <v>82</v>
      </c>
      <c r="I12" s="68"/>
      <c r="K12" s="69" t="s">
        <v>83</v>
      </c>
      <c r="L12" s="68"/>
    </row>
    <row r="13" customFormat="false" ht="16.5" hidden="false" customHeight="true" outlineLevel="0" collapsed="false">
      <c r="B13" s="70"/>
      <c r="C13" s="68"/>
      <c r="E13" s="69" t="s">
        <v>84</v>
      </c>
      <c r="F13" s="68"/>
      <c r="H13" s="69" t="s">
        <v>85</v>
      </c>
      <c r="I13" s="68"/>
      <c r="K13" s="69" t="s">
        <v>86</v>
      </c>
      <c r="L13" s="68"/>
    </row>
    <row r="14" customFormat="false" ht="16.5" hidden="false" customHeight="true" outlineLevel="0" collapsed="false">
      <c r="B14" s="67"/>
      <c r="C14" s="68"/>
      <c r="E14" s="69" t="s">
        <v>87</v>
      </c>
      <c r="F14" s="68"/>
      <c r="H14" s="69" t="s">
        <v>88</v>
      </c>
      <c r="I14" s="68"/>
      <c r="K14" s="69" t="s">
        <v>89</v>
      </c>
      <c r="L14" s="68"/>
    </row>
    <row r="15" customFormat="false" ht="16.5" hidden="false" customHeight="true" outlineLevel="0" collapsed="false">
      <c r="B15" s="70"/>
      <c r="C15" s="68"/>
      <c r="E15" s="69" t="s">
        <v>90</v>
      </c>
      <c r="F15" s="68"/>
      <c r="H15" s="69" t="s">
        <v>91</v>
      </c>
      <c r="I15" s="68"/>
      <c r="K15" s="69" t="s">
        <v>92</v>
      </c>
      <c r="L15" s="68"/>
    </row>
    <row r="16" customFormat="false" ht="16.5" hidden="false" customHeight="true" outlineLevel="0" collapsed="false">
      <c r="B16" s="67"/>
      <c r="C16" s="68"/>
      <c r="E16" s="69" t="s">
        <v>93</v>
      </c>
      <c r="F16" s="68"/>
      <c r="H16" s="69" t="s">
        <v>94</v>
      </c>
      <c r="I16" s="68"/>
      <c r="K16" s="69" t="s">
        <v>95</v>
      </c>
      <c r="L16" s="68"/>
    </row>
    <row r="17" customFormat="false" ht="16.5" hidden="false" customHeight="true" outlineLevel="0" collapsed="false">
      <c r="B17" s="70"/>
      <c r="C17" s="68"/>
      <c r="E17" s="69" t="s">
        <v>96</v>
      </c>
      <c r="F17" s="68"/>
      <c r="H17" s="69" t="s">
        <v>97</v>
      </c>
      <c r="I17" s="68"/>
      <c r="K17" s="69" t="s">
        <v>98</v>
      </c>
      <c r="L17" s="68"/>
    </row>
    <row r="18" customFormat="false" ht="16.5" hidden="false" customHeight="true" outlineLevel="0" collapsed="false">
      <c r="B18" s="67"/>
      <c r="C18" s="68"/>
      <c r="E18" s="69" t="s">
        <v>99</v>
      </c>
      <c r="F18" s="68"/>
      <c r="H18" s="69" t="s">
        <v>100</v>
      </c>
      <c r="I18" s="68"/>
      <c r="K18" s="67"/>
      <c r="L18" s="68"/>
    </row>
    <row r="19" customFormat="false" ht="16.5" hidden="false" customHeight="true" outlineLevel="0" collapsed="false">
      <c r="B19" s="70"/>
      <c r="C19" s="68"/>
      <c r="E19" s="69" t="s">
        <v>101</v>
      </c>
      <c r="F19" s="68"/>
      <c r="H19" s="69" t="s">
        <v>102</v>
      </c>
      <c r="I19" s="68"/>
      <c r="K19" s="70"/>
      <c r="L19" s="68"/>
    </row>
    <row r="20" customFormat="false" ht="16.5" hidden="false" customHeight="true" outlineLevel="0" collapsed="false">
      <c r="B20" s="67"/>
      <c r="C20" s="68"/>
      <c r="E20" s="67"/>
      <c r="F20" s="68"/>
      <c r="H20" s="69" t="s">
        <v>103</v>
      </c>
      <c r="I20" s="68"/>
      <c r="K20" s="67"/>
      <c r="L20" s="68"/>
    </row>
    <row r="21" customFormat="false" ht="16.5" hidden="false" customHeight="true" outlineLevel="0" collapsed="false">
      <c r="B21" s="70"/>
      <c r="C21" s="68"/>
      <c r="E21" s="70"/>
      <c r="F21" s="68"/>
      <c r="H21" s="69" t="s">
        <v>104</v>
      </c>
      <c r="I21" s="68"/>
      <c r="K21" s="70"/>
      <c r="L21" s="68"/>
    </row>
    <row r="22" customFormat="false" ht="16.5" hidden="false" customHeight="true" outlineLevel="0" collapsed="false">
      <c r="B22" s="67"/>
      <c r="C22" s="68"/>
      <c r="E22" s="67"/>
      <c r="F22" s="68"/>
      <c r="H22" s="69" t="s">
        <v>105</v>
      </c>
      <c r="I22" s="68"/>
      <c r="K22" s="67"/>
      <c r="L22" s="68"/>
    </row>
    <row r="23" customFormat="false" ht="16.5" hidden="false" customHeight="true" outlineLevel="0" collapsed="false">
      <c r="B23" s="70"/>
      <c r="C23" s="68"/>
      <c r="E23" s="70"/>
      <c r="F23" s="68"/>
      <c r="H23" s="70"/>
      <c r="I23" s="68"/>
      <c r="K23" s="70"/>
      <c r="L23" s="68"/>
    </row>
    <row r="24" customFormat="false" ht="16.5" hidden="false" customHeight="true" outlineLevel="0" collapsed="false">
      <c r="B24" s="67"/>
      <c r="C24" s="68"/>
      <c r="E24" s="67"/>
      <c r="F24" s="68"/>
      <c r="H24" s="67"/>
      <c r="I24" s="68"/>
      <c r="K24" s="67"/>
      <c r="L24" s="68"/>
    </row>
    <row r="25" customFormat="false" ht="16.5" hidden="false" customHeight="true" outlineLevel="0" collapsed="false">
      <c r="B25" s="70"/>
      <c r="C25" s="68"/>
      <c r="E25" s="70"/>
      <c r="F25" s="68"/>
      <c r="H25" s="70"/>
      <c r="I25" s="68"/>
      <c r="K25" s="70"/>
      <c r="L25" s="68"/>
    </row>
    <row r="26" customFormat="false" ht="21.75" hidden="false" customHeight="true" outlineLevel="0" collapsed="false">
      <c r="B26" s="71" t="s">
        <v>106</v>
      </c>
      <c r="C26" s="28" t="n">
        <f aca="false">SUM(C12:C25)</f>
        <v>0</v>
      </c>
      <c r="E26" s="71" t="s">
        <v>106</v>
      </c>
      <c r="F26" s="28" t="n">
        <f aca="false">SUM(F12:F25)</f>
        <v>0</v>
      </c>
      <c r="H26" s="71" t="s">
        <v>106</v>
      </c>
      <c r="I26" s="28" t="n">
        <f aca="false">SUM(I12:I25)</f>
        <v>0</v>
      </c>
      <c r="K26" s="71" t="s">
        <v>106</v>
      </c>
      <c r="L26" s="28" t="n">
        <f aca="false">SUM(L12:L25)</f>
        <v>0</v>
      </c>
    </row>
    <row r="28" customFormat="false" ht="21.75" hidden="false" customHeight="true" outlineLevel="0" collapsed="false">
      <c r="B28" s="72" t="s">
        <v>107</v>
      </c>
      <c r="C28" s="72"/>
      <c r="H28" s="73" t="s">
        <v>108</v>
      </c>
      <c r="I28" s="73"/>
    </row>
    <row r="29" customFormat="false" ht="19.5" hidden="false" customHeight="true" outlineLevel="0" collapsed="false">
      <c r="B29" s="74" t="s">
        <v>109</v>
      </c>
      <c r="C29" s="75"/>
      <c r="H29" s="74" t="s">
        <v>110</v>
      </c>
      <c r="I29" s="82" t="n">
        <f aca="false">'30'!$I$32</f>
        <v>4223</v>
      </c>
    </row>
    <row r="30" customFormat="false" ht="19.5" hidden="false" customHeight="true" outlineLevel="0" collapsed="false">
      <c r="B30" s="74" t="s">
        <v>111</v>
      </c>
      <c r="C30" s="75"/>
      <c r="H30" s="74" t="s">
        <v>112</v>
      </c>
      <c r="I30" s="76" t="n">
        <f aca="false">$C$32</f>
        <v>0</v>
      </c>
    </row>
    <row r="31" customFormat="false" ht="19.5" hidden="false" customHeight="true" outlineLevel="0" collapsed="false">
      <c r="B31" s="74" t="s">
        <v>113</v>
      </c>
      <c r="C31" s="75"/>
      <c r="H31" s="74" t="s">
        <v>114</v>
      </c>
      <c r="I31" s="77" t="n">
        <f aca="false">$C$26+$F$26+$I$26+$L$26</f>
        <v>0</v>
      </c>
    </row>
    <row r="32" customFormat="false" ht="19.5" hidden="false" customHeight="true" outlineLevel="0" collapsed="false">
      <c r="B32" s="78" t="s">
        <v>115</v>
      </c>
      <c r="C32" s="79" t="n">
        <f aca="false">SUM($C$29:$C$31)</f>
        <v>0</v>
      </c>
      <c r="H32" s="80" t="s">
        <v>116</v>
      </c>
      <c r="I32" s="81" t="n">
        <f aca="false">$I$29+$I$30-$I$31</f>
        <v>4223</v>
      </c>
    </row>
    <row r="34" customFormat="false" ht="27.75" hidden="false" customHeight="true" outlineLevel="0" collapsed="false">
      <c r="B34" s="30" t="s">
        <v>117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</row>
  </sheetData>
  <mergeCells count="19">
    <mergeCell ref="A1:M1"/>
    <mergeCell ref="A2:F2"/>
    <mergeCell ref="G2:M2"/>
    <mergeCell ref="A4:M4"/>
    <mergeCell ref="B6:C6"/>
    <mergeCell ref="E6:F6"/>
    <mergeCell ref="H6:I6"/>
    <mergeCell ref="K6:L6"/>
    <mergeCell ref="B7:C7"/>
    <mergeCell ref="E7:F7"/>
    <mergeCell ref="H7:I7"/>
    <mergeCell ref="K7:L7"/>
    <mergeCell ref="B10:C10"/>
    <mergeCell ref="E10:F10"/>
    <mergeCell ref="H10:I10"/>
    <mergeCell ref="K10:L10"/>
    <mergeCell ref="B28:C28"/>
    <mergeCell ref="H28:I28"/>
    <mergeCell ref="B34:L34"/>
  </mergeCells>
  <conditionalFormatting sqref="I32">
    <cfRule type="cellIs" priority="2" operator="lessThan" aboveAverage="0" equalAverage="0" bottom="0" percent="0" rank="0" text="" dxfId="5">
      <formula>0</formula>
    </cfRule>
  </conditionalFormatting>
  <dataValidations count="5">
    <dataValidation allowBlank="true" error="Tapez un nombre de dirhams, sans texte." errorStyle="stop" errorTitle="Montant invalide" operator="greaterThanOrEqual" showDropDown="false" showErrorMessage="true" showInputMessage="false" sqref="C12:C25 F12:F25 I12:I25 L12:L25" type="decimal">
      <formula1>0</formula1>
      <formula2>0</formula2>
    </dataValidation>
    <dataValidation allowBlank="true" errorStyle="stop" operator="between" prompt="Choisissez dans la liste, ou tapez un nouveau nom." promptTitle="Fournisseur" showDropDown="false" showErrorMessage="false" showInputMessage="true" sqref="B12:B25" type="list">
      <formula1>LISTES!$A$2:$A$19</formula1>
      <formula2>0</formula2>
    </dataValidation>
    <dataValidation allowBlank="true" errorStyle="stop" operator="between" showDropDown="false" showErrorMessage="false" showInputMessage="false" sqref="E20:E25" type="list">
      <formula1>LISTES!$B$2:$B$9</formula1>
      <formula2>0</formula2>
    </dataValidation>
    <dataValidation allowBlank="true" errorStyle="stop" operator="between" showDropDown="false" showErrorMessage="false" showInputMessage="false" sqref="H23:H25" type="list">
      <formula1>LISTES!$C$2:$C$12</formula1>
      <formula2>0</formula2>
    </dataValidation>
    <dataValidation allowBlank="true" errorStyle="stop" operator="between" showDropDown="false" showErrorMessage="false" showInputMessage="false" sqref="K18:K25" type="list">
      <formula1>LISTES!$D$2:$D$7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26A00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4"/>
  </cols>
  <sheetData>
    <row r="1" customFormat="false" ht="37.5" hidden="false" customHeight="true" outlineLevel="0" collapsed="false">
      <c r="B1" s="1" t="s">
        <v>118</v>
      </c>
      <c r="C1" s="1"/>
      <c r="D1" s="1"/>
      <c r="E1" s="1"/>
      <c r="F1" s="1"/>
    </row>
    <row r="2" customFormat="false" ht="18" hidden="false" customHeight="true" outlineLevel="0" collapsed="false">
      <c r="B2" s="2" t="s">
        <v>119</v>
      </c>
      <c r="C2" s="2"/>
      <c r="D2" s="2"/>
      <c r="E2" s="2"/>
      <c r="F2" s="2"/>
    </row>
    <row r="4" customFormat="false" ht="30" hidden="false" customHeight="true" outlineLevel="0" collapsed="false">
      <c r="B4" s="18" t="s">
        <v>120</v>
      </c>
      <c r="C4" s="18" t="s">
        <v>121</v>
      </c>
      <c r="D4" s="18" t="s">
        <v>122</v>
      </c>
      <c r="E4" s="18" t="s">
        <v>123</v>
      </c>
      <c r="F4" s="18" t="s">
        <v>124</v>
      </c>
    </row>
    <row r="5" customFormat="false" ht="18.75" hidden="false" customHeight="true" outlineLevel="0" collapsed="false">
      <c r="B5" s="83" t="s">
        <v>81</v>
      </c>
      <c r="C5" s="68" t="n">
        <v>17000</v>
      </c>
      <c r="D5" s="42" t="n">
        <f aca="false">'01'!$F$12+'02'!$F$12+'03'!$F$12+'04'!$F$12+'05'!$F$12+'06'!$F$12+'07'!$F$12+'08'!$F$12+'09'!$F$12+'10'!$F$12+'11'!$F$12+'12'!$F$12+'13'!$F$12+'14'!$F$12+'15'!$F$12+'16'!$F$12+'17'!$F$12+'18'!$F$12+'19'!$F$12+'20'!$F$12+'21'!$F$12+'22'!$F$12+'23'!$F$12+'24'!$F$12+'25'!$F$12+'26'!$F$12+'27'!$F$12+'28'!$F$12+'29'!$F$12+'30'!$F$12+'31'!$F$12</f>
        <v>0</v>
      </c>
      <c r="E5" s="39" t="n">
        <f aca="false">$C5-$D5</f>
        <v>17000</v>
      </c>
      <c r="F5" s="84" t="str">
        <f aca="false">IF(N($C5)=0,IF(N($D5)=0,"—","HORS BUDGET"),IF($D5&lt;=$C5,"OK","DÉPASSÉ"))</f>
        <v>OK</v>
      </c>
    </row>
    <row r="6" customFormat="false" ht="18.75" hidden="false" customHeight="true" outlineLevel="0" collapsed="false">
      <c r="B6" s="85" t="s">
        <v>84</v>
      </c>
      <c r="C6" s="68" t="n">
        <v>4000</v>
      </c>
      <c r="D6" s="49" t="n">
        <f aca="false">'01'!$F$13+'02'!$F$13+'03'!$F$13+'04'!$F$13+'05'!$F$13+'06'!$F$13+'07'!$F$13+'08'!$F$13+'09'!$F$13+'10'!$F$13+'11'!$F$13+'12'!$F$13+'13'!$F$13+'14'!$F$13+'15'!$F$13+'16'!$F$13+'17'!$F$13+'18'!$F$13+'19'!$F$13+'20'!$F$13+'21'!$F$13+'22'!$F$13+'23'!$F$13+'24'!$F$13+'25'!$F$13+'26'!$F$13+'27'!$F$13+'28'!$F$13+'29'!$F$13+'30'!$F$13+'31'!$F$13</f>
        <v>0</v>
      </c>
      <c r="E6" s="46" t="n">
        <f aca="false">$C6-$D6</f>
        <v>4000</v>
      </c>
      <c r="F6" s="86" t="str">
        <f aca="false">IF(N($C6)=0,IF(N($D6)=0,"—","HORS BUDGET"),IF($D6&lt;=$C6,"OK","DÉPASSÉ"))</f>
        <v>OK</v>
      </c>
    </row>
    <row r="7" customFormat="false" ht="18.75" hidden="false" customHeight="true" outlineLevel="0" collapsed="false">
      <c r="B7" s="83" t="s">
        <v>87</v>
      </c>
      <c r="C7" s="68" t="n">
        <v>500</v>
      </c>
      <c r="D7" s="42" t="n">
        <f aca="false">'01'!$F$14+'02'!$F$14+'03'!$F$14+'04'!$F$14+'05'!$F$14+'06'!$F$14+'07'!$F$14+'08'!$F$14+'09'!$F$14+'10'!$F$14+'11'!$F$14+'12'!$F$14+'13'!$F$14+'14'!$F$14+'15'!$F$14+'16'!$F$14+'17'!$F$14+'18'!$F$14+'19'!$F$14+'20'!$F$14+'21'!$F$14+'22'!$F$14+'23'!$F$14+'24'!$F$14+'25'!$F$14+'26'!$F$14+'27'!$F$14+'28'!$F$14+'29'!$F$14+'30'!$F$14+'31'!$F$14</f>
        <v>0</v>
      </c>
      <c r="E7" s="39" t="n">
        <f aca="false">$C7-$D7</f>
        <v>500</v>
      </c>
      <c r="F7" s="84" t="str">
        <f aca="false">IF(N($C7)=0,IF(N($D7)=0,"—","HORS BUDGET"),IF($D7&lt;=$C7,"OK","DÉPASSÉ"))</f>
        <v>OK</v>
      </c>
    </row>
    <row r="8" customFormat="false" ht="18.75" hidden="false" customHeight="true" outlineLevel="0" collapsed="false">
      <c r="B8" s="85" t="s">
        <v>90</v>
      </c>
      <c r="C8" s="68" t="n">
        <v>0</v>
      </c>
      <c r="D8" s="49" t="n">
        <f aca="false">'01'!$F$15+'02'!$F$15+'03'!$F$15+'04'!$F$15+'05'!$F$15+'06'!$F$15+'07'!$F$15+'08'!$F$15+'09'!$F$15+'10'!$F$15+'11'!$F$15+'12'!$F$15+'13'!$F$15+'14'!$F$15+'15'!$F$15+'16'!$F$15+'17'!$F$15+'18'!$F$15+'19'!$F$15+'20'!$F$15+'21'!$F$15+'22'!$F$15+'23'!$F$15+'24'!$F$15+'25'!$F$15+'26'!$F$15+'27'!$F$15+'28'!$F$15+'29'!$F$15+'30'!$F$15+'31'!$F$15</f>
        <v>0</v>
      </c>
      <c r="E8" s="46" t="n">
        <f aca="false">$C8-$D8</f>
        <v>0</v>
      </c>
      <c r="F8" s="86" t="str">
        <f aca="false">IF(N($C8)=0,IF(N($D8)=0,"—","HORS BUDGET"),IF($D8&lt;=$C8,"OK","DÉPASSÉ"))</f>
        <v>—</v>
      </c>
    </row>
    <row r="9" customFormat="false" ht="18.75" hidden="false" customHeight="true" outlineLevel="0" collapsed="false">
      <c r="B9" s="83" t="s">
        <v>93</v>
      </c>
      <c r="C9" s="68" t="n">
        <v>0</v>
      </c>
      <c r="D9" s="42" t="n">
        <f aca="false">'01'!$F$16+'02'!$F$16+'03'!$F$16+'04'!$F$16+'05'!$F$16+'06'!$F$16+'07'!$F$16+'08'!$F$16+'09'!$F$16+'10'!$F$16+'11'!$F$16+'12'!$F$16+'13'!$F$16+'14'!$F$16+'15'!$F$16+'16'!$F$16+'17'!$F$16+'18'!$F$16+'19'!$F$16+'20'!$F$16+'21'!$F$16+'22'!$F$16+'23'!$F$16+'24'!$F$16+'25'!$F$16+'26'!$F$16+'27'!$F$16+'28'!$F$16+'29'!$F$16+'30'!$F$16+'31'!$F$16</f>
        <v>0</v>
      </c>
      <c r="E9" s="39" t="n">
        <f aca="false">$C9-$D9</f>
        <v>0</v>
      </c>
      <c r="F9" s="84" t="str">
        <f aca="false">IF(N($C9)=0,IF(N($D9)=0,"—","HORS BUDGET"),IF($D9&lt;=$C9,"OK","DÉPASSÉ"))</f>
        <v>—</v>
      </c>
    </row>
    <row r="10" customFormat="false" ht="18.75" hidden="false" customHeight="true" outlineLevel="0" collapsed="false">
      <c r="B10" s="85" t="s">
        <v>96</v>
      </c>
      <c r="C10" s="68" t="n">
        <v>500</v>
      </c>
      <c r="D10" s="49" t="n">
        <f aca="false">'01'!$F$17+'02'!$F$17+'03'!$F$17+'04'!$F$17+'05'!$F$17+'06'!$F$17+'07'!$F$17+'08'!$F$17+'09'!$F$17+'10'!$F$17+'11'!$F$17+'12'!$F$17+'13'!$F$17+'14'!$F$17+'15'!$F$17+'16'!$F$17+'17'!$F$17+'18'!$F$17+'19'!$F$17+'20'!$F$17+'21'!$F$17+'22'!$F$17+'23'!$F$17+'24'!$F$17+'25'!$F$17+'26'!$F$17+'27'!$F$17+'28'!$F$17+'29'!$F$17+'30'!$F$17+'31'!$F$17</f>
        <v>0</v>
      </c>
      <c r="E10" s="46" t="n">
        <f aca="false">$C10-$D10</f>
        <v>500</v>
      </c>
      <c r="F10" s="86" t="str">
        <f aca="false">IF(N($C10)=0,IF(N($D10)=0,"—","HORS BUDGET"),IF($D10&lt;=$C10,"OK","DÉPASSÉ"))</f>
        <v>OK</v>
      </c>
    </row>
    <row r="11" customFormat="false" ht="18.75" hidden="false" customHeight="true" outlineLevel="0" collapsed="false">
      <c r="B11" s="83" t="s">
        <v>99</v>
      </c>
      <c r="C11" s="68" t="n">
        <v>0</v>
      </c>
      <c r="D11" s="42" t="n">
        <f aca="false">'01'!$F$18+'02'!$F$18+'03'!$F$18+'04'!$F$18+'05'!$F$18+'06'!$F$18+'07'!$F$18+'08'!$F$18+'09'!$F$18+'10'!$F$18+'11'!$F$18+'12'!$F$18+'13'!$F$18+'14'!$F$18+'15'!$F$18+'16'!$F$18+'17'!$F$18+'18'!$F$18+'19'!$F$18+'20'!$F$18+'21'!$F$18+'22'!$F$18+'23'!$F$18+'24'!$F$18+'25'!$F$18+'26'!$F$18+'27'!$F$18+'28'!$F$18+'29'!$F$18+'30'!$F$18+'31'!$F$18</f>
        <v>0</v>
      </c>
      <c r="E11" s="39" t="n">
        <f aca="false">$C11-$D11</f>
        <v>0</v>
      </c>
      <c r="F11" s="84" t="str">
        <f aca="false">IF(N($C11)=0,IF(N($D11)=0,"—","HORS BUDGET"),IF($D11&lt;=$C11,"OK","DÉPASSÉ"))</f>
        <v>—</v>
      </c>
    </row>
    <row r="12" customFormat="false" ht="18.75" hidden="false" customHeight="true" outlineLevel="0" collapsed="false">
      <c r="B12" s="85" t="s">
        <v>101</v>
      </c>
      <c r="C12" s="68" t="n">
        <v>0</v>
      </c>
      <c r="D12" s="49" t="n">
        <f aca="false">'01'!$F$19+'02'!$F$19+'03'!$F$19+'04'!$F$19+'05'!$F$19+'06'!$F$19+'07'!$F$19+'08'!$F$19+'09'!$F$19+'10'!$F$19+'11'!$F$19+'12'!$F$19+'13'!$F$19+'14'!$F$19+'15'!$F$19+'16'!$F$19+'17'!$F$19+'18'!$F$19+'19'!$F$19+'20'!$F$19+'21'!$F$19+'22'!$F$19+'23'!$F$19+'24'!$F$19+'25'!$F$19+'26'!$F$19+'27'!$F$19+'28'!$F$19+'29'!$F$19+'30'!$F$19+'31'!$F$19</f>
        <v>0</v>
      </c>
      <c r="E12" s="46" t="n">
        <f aca="false">$C12-$D12</f>
        <v>0</v>
      </c>
      <c r="F12" s="86" t="str">
        <f aca="false">IF(N($C12)=0,IF(N($D12)=0,"—","HORS BUDGET"),IF($D12&lt;=$C12,"OK","DÉPASSÉ"))</f>
        <v>—</v>
      </c>
    </row>
    <row r="13" customFormat="false" ht="24" hidden="false" customHeight="true" outlineLevel="0" collapsed="false">
      <c r="B13" s="27" t="s">
        <v>106</v>
      </c>
      <c r="C13" s="28" t="n">
        <f aca="false">SUM(C5:C12)</f>
        <v>22000</v>
      </c>
      <c r="D13" s="28" t="n">
        <f aca="false">SUM(D5:D12)</f>
        <v>0</v>
      </c>
      <c r="E13" s="28" t="n">
        <f aca="false">SUM(E5:E12)</f>
        <v>22000</v>
      </c>
      <c r="F13" s="87"/>
    </row>
    <row r="14" customFormat="false" ht="24" hidden="false" customHeight="true" outlineLevel="0" collapsed="false">
      <c r="B14" s="17" t="s">
        <v>125</v>
      </c>
      <c r="C14" s="17"/>
      <c r="D14" s="17"/>
      <c r="E14" s="17"/>
      <c r="F14" s="17"/>
    </row>
    <row r="15" customFormat="false" ht="30" hidden="false" customHeight="true" outlineLevel="0" collapsed="false">
      <c r="B15" s="18" t="s">
        <v>126</v>
      </c>
      <c r="C15" s="18" t="s">
        <v>127</v>
      </c>
      <c r="D15" s="18" t="s">
        <v>128</v>
      </c>
      <c r="E15" s="18" t="s">
        <v>129</v>
      </c>
      <c r="F15" s="18" t="s">
        <v>124</v>
      </c>
    </row>
    <row r="16" customFormat="false" ht="18.75" hidden="false" customHeight="true" outlineLevel="0" collapsed="false">
      <c r="B16" s="83" t="s">
        <v>82</v>
      </c>
      <c r="C16" s="68"/>
      <c r="D16" s="42" t="n">
        <f aca="false">'01'!$I$12+'02'!$I$12+'03'!$I$12+'04'!$I$12+'05'!$I$12+'06'!$I$12+'07'!$I$12+'08'!$I$12+'09'!$I$12+'10'!$I$12+'11'!$I$12+'12'!$I$12+'13'!$I$12+'14'!$I$12+'15'!$I$12+'16'!$I$12+'17'!$I$12+'18'!$I$12+'19'!$I$12+'20'!$I$12+'21'!$I$12+'22'!$I$12+'23'!$I$12+'24'!$I$12+'25'!$I$12+'26'!$I$12+'27'!$I$12+'28'!$I$12+'29'!$I$12+'30'!$I$12+'31'!$I$12</f>
        <v>0</v>
      </c>
      <c r="E16" s="39" t="n">
        <f aca="false">$C16-$D16</f>
        <v>0</v>
      </c>
      <c r="F16" s="84" t="str">
        <f aca="false">IF(N($C16)=0,IF(N($D16)=0,"—","HORS BUDGET"),IF($D16&lt;=$C16,"OK","DÉPASSÉ"))</f>
        <v>—</v>
      </c>
    </row>
    <row r="17" customFormat="false" ht="18.75" hidden="false" customHeight="true" outlineLevel="0" collapsed="false">
      <c r="B17" s="85" t="s">
        <v>85</v>
      </c>
      <c r="C17" s="68"/>
      <c r="D17" s="49" t="n">
        <f aca="false">'01'!$I$13+'02'!$I$13+'03'!$I$13+'04'!$I$13+'05'!$I$13+'06'!$I$13+'07'!$I$13+'08'!$I$13+'09'!$I$13+'10'!$I$13+'11'!$I$13+'12'!$I$13+'13'!$I$13+'14'!$I$13+'15'!$I$13+'16'!$I$13+'17'!$I$13+'18'!$I$13+'19'!$I$13+'20'!$I$13+'21'!$I$13+'22'!$I$13+'23'!$I$13+'24'!$I$13+'25'!$I$13+'26'!$I$13+'27'!$I$13+'28'!$I$13+'29'!$I$13+'30'!$I$13+'31'!$I$13</f>
        <v>0</v>
      </c>
      <c r="E17" s="46" t="n">
        <f aca="false">$C17-$D17</f>
        <v>0</v>
      </c>
      <c r="F17" s="86" t="str">
        <f aca="false">IF(N($C17)=0,IF(N($D17)=0,"—","HORS BUDGET"),IF($D17&lt;=$C17,"OK","DÉPASSÉ"))</f>
        <v>—</v>
      </c>
    </row>
    <row r="18" customFormat="false" ht="18.75" hidden="false" customHeight="true" outlineLevel="0" collapsed="false">
      <c r="B18" s="83" t="s">
        <v>88</v>
      </c>
      <c r="C18" s="68"/>
      <c r="D18" s="42" t="n">
        <f aca="false">'01'!$I$14+'02'!$I$14+'03'!$I$14+'04'!$I$14+'05'!$I$14+'06'!$I$14+'07'!$I$14+'08'!$I$14+'09'!$I$14+'10'!$I$14+'11'!$I$14+'12'!$I$14+'13'!$I$14+'14'!$I$14+'15'!$I$14+'16'!$I$14+'17'!$I$14+'18'!$I$14+'19'!$I$14+'20'!$I$14+'21'!$I$14+'22'!$I$14+'23'!$I$14+'24'!$I$14+'25'!$I$14+'26'!$I$14+'27'!$I$14+'28'!$I$14+'29'!$I$14+'30'!$I$14+'31'!$I$14</f>
        <v>0</v>
      </c>
      <c r="E18" s="39" t="n">
        <f aca="false">$C18-$D18</f>
        <v>0</v>
      </c>
      <c r="F18" s="84" t="str">
        <f aca="false">IF(N($C18)=0,IF(N($D18)=0,"—","HORS BUDGET"),IF($D18&lt;=$C18,"OK","DÉPASSÉ"))</f>
        <v>—</v>
      </c>
    </row>
    <row r="19" customFormat="false" ht="18.75" hidden="false" customHeight="true" outlineLevel="0" collapsed="false">
      <c r="B19" s="85" t="s">
        <v>91</v>
      </c>
      <c r="C19" s="68"/>
      <c r="D19" s="49" t="n">
        <f aca="false">'01'!$I$15+'02'!$I$15+'03'!$I$15+'04'!$I$15+'05'!$I$15+'06'!$I$15+'07'!$I$15+'08'!$I$15+'09'!$I$15+'10'!$I$15+'11'!$I$15+'12'!$I$15+'13'!$I$15+'14'!$I$15+'15'!$I$15+'16'!$I$15+'17'!$I$15+'18'!$I$15+'19'!$I$15+'20'!$I$15+'21'!$I$15+'22'!$I$15+'23'!$I$15+'24'!$I$15+'25'!$I$15+'26'!$I$15+'27'!$I$15+'28'!$I$15+'29'!$I$15+'30'!$I$15+'31'!$I$15</f>
        <v>0</v>
      </c>
      <c r="E19" s="46" t="n">
        <f aca="false">$C19-$D19</f>
        <v>0</v>
      </c>
      <c r="F19" s="86" t="str">
        <f aca="false">IF(N($C19)=0,IF(N($D19)=0,"—","HORS BUDGET"),IF($D19&lt;=$C19,"OK","DÉPASSÉ"))</f>
        <v>—</v>
      </c>
    </row>
    <row r="20" customFormat="false" ht="18.75" hidden="false" customHeight="true" outlineLevel="0" collapsed="false">
      <c r="B20" s="83" t="s">
        <v>94</v>
      </c>
      <c r="C20" s="68"/>
      <c r="D20" s="42" t="n">
        <f aca="false">'01'!$I$16+'02'!$I$16+'03'!$I$16+'04'!$I$16+'05'!$I$16+'06'!$I$16+'07'!$I$16+'08'!$I$16+'09'!$I$16+'10'!$I$16+'11'!$I$16+'12'!$I$16+'13'!$I$16+'14'!$I$16+'15'!$I$16+'16'!$I$16+'17'!$I$16+'18'!$I$16+'19'!$I$16+'20'!$I$16+'21'!$I$16+'22'!$I$16+'23'!$I$16+'24'!$I$16+'25'!$I$16+'26'!$I$16+'27'!$I$16+'28'!$I$16+'29'!$I$16+'30'!$I$16+'31'!$I$16</f>
        <v>0</v>
      </c>
      <c r="E20" s="39" t="n">
        <f aca="false">$C20-$D20</f>
        <v>0</v>
      </c>
      <c r="F20" s="84" t="str">
        <f aca="false">IF(N($C20)=0,IF(N($D20)=0,"—","HORS BUDGET"),IF($D20&lt;=$C20,"OK","DÉPASSÉ"))</f>
        <v>—</v>
      </c>
    </row>
    <row r="21" customFormat="false" ht="18.75" hidden="false" customHeight="true" outlineLevel="0" collapsed="false">
      <c r="B21" s="85" t="s">
        <v>97</v>
      </c>
      <c r="C21" s="68" t="n">
        <v>2000</v>
      </c>
      <c r="D21" s="49" t="n">
        <f aca="false">'01'!$I$17+'02'!$I$17+'03'!$I$17+'04'!$I$17+'05'!$I$17+'06'!$I$17+'07'!$I$17+'08'!$I$17+'09'!$I$17+'10'!$I$17+'11'!$I$17+'12'!$I$17+'13'!$I$17+'14'!$I$17+'15'!$I$17+'16'!$I$17+'17'!$I$17+'18'!$I$17+'19'!$I$17+'20'!$I$17+'21'!$I$17+'22'!$I$17+'23'!$I$17+'24'!$I$17+'25'!$I$17+'26'!$I$17+'27'!$I$17+'28'!$I$17+'29'!$I$17+'30'!$I$17+'31'!$I$17</f>
        <v>0</v>
      </c>
      <c r="E21" s="46" t="n">
        <f aca="false">$C21-$D21</f>
        <v>2000</v>
      </c>
      <c r="F21" s="86" t="str">
        <f aca="false">IF(N($C21)=0,IF(N($D21)=0,"—","HORS BUDGET"),IF($D21&lt;=$C21,"OK","DÉPASSÉ"))</f>
        <v>OK</v>
      </c>
    </row>
    <row r="22" customFormat="false" ht="18.75" hidden="false" customHeight="true" outlineLevel="0" collapsed="false">
      <c r="B22" s="83" t="s">
        <v>100</v>
      </c>
      <c r="C22" s="68" t="n">
        <v>7000</v>
      </c>
      <c r="D22" s="42" t="n">
        <f aca="false">'01'!$I$18+'02'!$I$18+'03'!$I$18+'04'!$I$18+'05'!$I$18+'06'!$I$18+'07'!$I$18+'08'!$I$18+'09'!$I$18+'10'!$I$18+'11'!$I$18+'12'!$I$18+'13'!$I$18+'14'!$I$18+'15'!$I$18+'16'!$I$18+'17'!$I$18+'18'!$I$18+'19'!$I$18+'20'!$I$18+'21'!$I$18+'22'!$I$18+'23'!$I$18+'24'!$I$18+'25'!$I$18+'26'!$I$18+'27'!$I$18+'28'!$I$18+'29'!$I$18+'30'!$I$18+'31'!$I$18</f>
        <v>0</v>
      </c>
      <c r="E22" s="39" t="n">
        <f aca="false">$C22-$D22</f>
        <v>7000</v>
      </c>
      <c r="F22" s="84" t="str">
        <f aca="false">IF(N($C22)=0,IF(N($D22)=0,"—","HORS BUDGET"),IF($D22&lt;=$C22,"OK","DÉPASSÉ"))</f>
        <v>OK</v>
      </c>
    </row>
    <row r="23" customFormat="false" ht="18.75" hidden="false" customHeight="true" outlineLevel="0" collapsed="false">
      <c r="B23" s="85" t="s">
        <v>102</v>
      </c>
      <c r="C23" s="68" t="n">
        <v>2400</v>
      </c>
      <c r="D23" s="49" t="n">
        <f aca="false">'01'!$I$19+'02'!$I$19+'03'!$I$19+'04'!$I$19+'05'!$I$19+'06'!$I$19+'07'!$I$19+'08'!$I$19+'09'!$I$19+'10'!$I$19+'11'!$I$19+'12'!$I$19+'13'!$I$19+'14'!$I$19+'15'!$I$19+'16'!$I$19+'17'!$I$19+'18'!$I$19+'19'!$I$19+'20'!$I$19+'21'!$I$19+'22'!$I$19+'23'!$I$19+'24'!$I$19+'25'!$I$19+'26'!$I$19+'27'!$I$19+'28'!$I$19+'29'!$I$19+'30'!$I$19+'31'!$I$19</f>
        <v>0</v>
      </c>
      <c r="E23" s="46" t="n">
        <f aca="false">$C23-$D23</f>
        <v>2400</v>
      </c>
      <c r="F23" s="86" t="str">
        <f aca="false">IF(N($C23)=0,IF(N($D23)=0,"—","HORS BUDGET"),IF($D23&lt;=$C23,"OK","DÉPASSÉ"))</f>
        <v>OK</v>
      </c>
    </row>
    <row r="24" customFormat="false" ht="18.75" hidden="false" customHeight="true" outlineLevel="0" collapsed="false">
      <c r="B24" s="83" t="s">
        <v>103</v>
      </c>
      <c r="C24" s="68" t="n">
        <v>1800</v>
      </c>
      <c r="D24" s="42" t="n">
        <f aca="false">'01'!$I$20+'02'!$I$20+'03'!$I$20+'04'!$I$20+'05'!$I$20+'06'!$I$20+'07'!$I$20+'08'!$I$20+'09'!$I$20+'10'!$I$20+'11'!$I$20+'12'!$I$20+'13'!$I$20+'14'!$I$20+'15'!$I$20+'16'!$I$20+'17'!$I$20+'18'!$I$20+'19'!$I$20+'20'!$I$20+'21'!$I$20+'22'!$I$20+'23'!$I$20+'24'!$I$20+'25'!$I$20+'26'!$I$20+'27'!$I$20+'28'!$I$20+'29'!$I$20+'30'!$I$20+'31'!$I$20</f>
        <v>0</v>
      </c>
      <c r="E24" s="39" t="n">
        <f aca="false">$C24-$D24</f>
        <v>1800</v>
      </c>
      <c r="F24" s="84" t="str">
        <f aca="false">IF(N($C24)=0,IF(N($D24)=0,"—","HORS BUDGET"),IF($D24&lt;=$C24,"OK","DÉPASSÉ"))</f>
        <v>OK</v>
      </c>
    </row>
    <row r="25" customFormat="false" ht="18.75" hidden="false" customHeight="true" outlineLevel="0" collapsed="false">
      <c r="B25" s="85" t="s">
        <v>104</v>
      </c>
      <c r="C25" s="68" t="n">
        <v>1800</v>
      </c>
      <c r="D25" s="49" t="n">
        <f aca="false">'01'!$I$21+'02'!$I$21+'03'!$I$21+'04'!$I$21+'05'!$I$21+'06'!$I$21+'07'!$I$21+'08'!$I$21+'09'!$I$21+'10'!$I$21+'11'!$I$21+'12'!$I$21+'13'!$I$21+'14'!$I$21+'15'!$I$21+'16'!$I$21+'17'!$I$21+'18'!$I$21+'19'!$I$21+'20'!$I$21+'21'!$I$21+'22'!$I$21+'23'!$I$21+'24'!$I$21+'25'!$I$21+'26'!$I$21+'27'!$I$21+'28'!$I$21+'29'!$I$21+'30'!$I$21+'31'!$I$21</f>
        <v>0</v>
      </c>
      <c r="E25" s="46" t="n">
        <f aca="false">$C25-$D25</f>
        <v>1800</v>
      </c>
      <c r="F25" s="86" t="str">
        <f aca="false">IF(N($C25)=0,IF(N($D25)=0,"—","HORS BUDGET"),IF($D25&lt;=$C25,"OK","DÉPASSÉ"))</f>
        <v>OK</v>
      </c>
    </row>
    <row r="26" customFormat="false" ht="18.75" hidden="false" customHeight="true" outlineLevel="0" collapsed="false">
      <c r="B26" s="83" t="s">
        <v>105</v>
      </c>
      <c r="C26" s="68" t="n">
        <v>2000</v>
      </c>
      <c r="D26" s="42" t="n">
        <f aca="false">'01'!$I$22+'02'!$I$22+'03'!$I$22+'04'!$I$22+'05'!$I$22+'06'!$I$22+'07'!$I$22+'08'!$I$22+'09'!$I$22+'10'!$I$22+'11'!$I$22+'12'!$I$22+'13'!$I$22+'14'!$I$22+'15'!$I$22+'16'!$I$22+'17'!$I$22+'18'!$I$22+'19'!$I$22+'20'!$I$22+'21'!$I$22+'22'!$I$22+'23'!$I$22+'24'!$I$22+'25'!$I$22+'26'!$I$22+'27'!$I$22+'28'!$I$22+'29'!$I$22+'30'!$I$22+'31'!$I$22</f>
        <v>0</v>
      </c>
      <c r="E26" s="39" t="n">
        <f aca="false">$C26-$D26</f>
        <v>2000</v>
      </c>
      <c r="F26" s="84" t="str">
        <f aca="false">IF(N($C26)=0,IF(N($D26)=0,"—","HORS BUDGET"),IF($D26&lt;=$C26,"OK","DÉPASSÉ"))</f>
        <v>OK</v>
      </c>
    </row>
    <row r="27" customFormat="false" ht="24" hidden="false" customHeight="true" outlineLevel="0" collapsed="false">
      <c r="B27" s="27" t="s">
        <v>106</v>
      </c>
      <c r="C27" s="28" t="n">
        <f aca="false">SUM(C16:C26)</f>
        <v>17000</v>
      </c>
      <c r="D27" s="28" t="n">
        <f aca="false">SUM(D16:D26)</f>
        <v>0</v>
      </c>
      <c r="E27" s="28" t="n">
        <f aca="false">SUM(E16:E26)</f>
        <v>17000</v>
      </c>
      <c r="F27" s="87"/>
    </row>
    <row r="29" customFormat="false" ht="24" hidden="false" customHeight="true" outlineLevel="0" collapsed="false">
      <c r="B29" s="17" t="s">
        <v>130</v>
      </c>
      <c r="C29" s="17"/>
      <c r="D29" s="17"/>
      <c r="E29" s="17"/>
      <c r="F29" s="17"/>
    </row>
    <row r="30" customFormat="false" ht="19.5" hidden="false" customHeight="true" outlineLevel="0" collapsed="false">
      <c r="B30" s="88" t="s">
        <v>28</v>
      </c>
      <c r="C30" s="89" t="n">
        <f aca="false">'RECAP DU JOURNAL'!$G$40</f>
        <v>0</v>
      </c>
    </row>
    <row r="31" customFormat="false" ht="19.5" hidden="false" customHeight="true" outlineLevel="0" collapsed="false">
      <c r="B31" s="88" t="s">
        <v>30</v>
      </c>
      <c r="C31" s="90" t="n">
        <f aca="false">$D$13</f>
        <v>0</v>
      </c>
    </row>
    <row r="32" customFormat="false" ht="19.5" hidden="false" customHeight="true" outlineLevel="0" collapsed="false">
      <c r="B32" s="88" t="s">
        <v>131</v>
      </c>
      <c r="C32" s="90" t="n">
        <f aca="false">$D$27</f>
        <v>0</v>
      </c>
    </row>
    <row r="33" customFormat="false" ht="19.5" hidden="false" customHeight="true" outlineLevel="0" collapsed="false">
      <c r="B33" s="88" t="s">
        <v>34</v>
      </c>
      <c r="C33" s="91" t="n">
        <f aca="false">'RECAP DU JOURNAL'!$J$40</f>
        <v>0</v>
      </c>
    </row>
    <row r="34" customFormat="false" ht="19.5" hidden="false" customHeight="true" outlineLevel="0" collapsed="false">
      <c r="B34" s="92" t="s">
        <v>132</v>
      </c>
      <c r="C34" s="93" t="n">
        <f aca="false">'RECAP DU JOURNAL'!$K$40</f>
        <v>0</v>
      </c>
    </row>
    <row r="35" customFormat="false" ht="19.5" hidden="false" customHeight="true" outlineLevel="0" collapsed="false">
      <c r="B35" s="88" t="s">
        <v>133</v>
      </c>
      <c r="C35" s="40" t="n">
        <f aca="false">'RECAP DU JOURNAL'!$F$40</f>
        <v>0</v>
      </c>
    </row>
    <row r="36" customFormat="false" ht="19.5" hidden="false" customHeight="true" outlineLevel="0" collapsed="false">
      <c r="B36" s="92" t="s">
        <v>134</v>
      </c>
      <c r="C36" s="94" t="n">
        <f aca="false">'RECAP DU JOURNAL'!$L$40</f>
        <v>0</v>
      </c>
    </row>
    <row r="38" customFormat="false" ht="24" hidden="false" customHeight="true" outlineLevel="0" collapsed="false">
      <c r="B38" s="17" t="s">
        <v>135</v>
      </c>
      <c r="C38" s="17"/>
      <c r="D38" s="17"/>
      <c r="E38" s="17"/>
      <c r="F38" s="17"/>
    </row>
    <row r="39" customFormat="false" ht="15" hidden="false" customHeight="false" outlineLevel="0" collapsed="false">
      <c r="B39" s="95" t="s">
        <v>136</v>
      </c>
      <c r="C39" s="96" t="n">
        <v>20500</v>
      </c>
    </row>
    <row r="40" customFormat="false" ht="15" hidden="false" customHeight="false" outlineLevel="0" collapsed="false">
      <c r="B40" s="95" t="s">
        <v>137</v>
      </c>
      <c r="C40" s="97" t="n">
        <f aca="false">IFERROR(($C$13+$C$27+$C$39)/30,0)</f>
        <v>1983.33333333333</v>
      </c>
    </row>
    <row r="41" customFormat="false" ht="15" hidden="false" customHeight="false" outlineLevel="0" collapsed="false">
      <c r="B41" s="95" t="s">
        <v>138</v>
      </c>
      <c r="C41" s="98" t="n">
        <f aca="false">IFERROR('RECAP DU JOURNAL'!$F$40/COUNTIF('RECAP DU JOURNAL'!$F$9:$F$39,"&gt;0"),0)</f>
        <v>0</v>
      </c>
    </row>
    <row r="42" customFormat="false" ht="15" hidden="false" customHeight="false" outlineLevel="0" collapsed="false">
      <c r="B42" s="95" t="s">
        <v>139</v>
      </c>
      <c r="C42" s="99" t="n">
        <f aca="false">$C$41-$C$40</f>
        <v>-1983.33333333333</v>
      </c>
    </row>
    <row r="44" customFormat="false" ht="45.75" hidden="false" customHeight="true" outlineLevel="0" collapsed="false">
      <c r="B44" s="30" t="s">
        <v>140</v>
      </c>
      <c r="C44" s="30"/>
      <c r="D44" s="30"/>
      <c r="E44" s="30"/>
      <c r="F44" s="30"/>
    </row>
  </sheetData>
  <mergeCells count="6">
    <mergeCell ref="B1:F1"/>
    <mergeCell ref="B2:F2"/>
    <mergeCell ref="B14:F14"/>
    <mergeCell ref="B29:F29"/>
    <mergeCell ref="B38:F38"/>
    <mergeCell ref="B44:F44"/>
  </mergeCells>
  <conditionalFormatting sqref="F5:F12">
    <cfRule type="cellIs" priority="2" operator="equal" aboveAverage="0" equalAverage="0" bottom="0" percent="0" rank="0" text="" dxfId="6">
      <formula>"OK"</formula>
    </cfRule>
    <cfRule type="cellIs" priority="3" operator="equal" aboveAverage="0" equalAverage="0" bottom="0" percent="0" rank="0" text="" dxfId="7">
      <formula>"DÉPASSÉ"</formula>
    </cfRule>
    <cfRule type="cellIs" priority="4" operator="equal" aboveAverage="0" equalAverage="0" bottom="0" percent="0" rank="0" text="" dxfId="8">
      <formula>"HORS BUDGET"</formula>
    </cfRule>
  </conditionalFormatting>
  <conditionalFormatting sqref="F16:F26">
    <cfRule type="cellIs" priority="5" operator="equal" aboveAverage="0" equalAverage="0" bottom="0" percent="0" rank="0" text="" dxfId="6">
      <formula>"OK"</formula>
    </cfRule>
    <cfRule type="cellIs" priority="6" operator="equal" aboveAverage="0" equalAverage="0" bottom="0" percent="0" rank="0" text="" dxfId="7">
      <formula>"DÉPASSÉ"</formula>
    </cfRule>
    <cfRule type="cellIs" priority="7" operator="equal" aboveAverage="0" equalAverage="0" bottom="0" percent="0" rank="0" text="" dxfId="8">
      <formula>"HORS BUDGET"</formula>
    </cfRule>
  </conditionalFormatting>
  <conditionalFormatting sqref="C36">
    <cfRule type="cellIs" priority="8" operator="lessThan" aboveAverage="0" equalAverage="0" bottom="0" percent="0" rank="0" text="" dxfId="9">
      <formula>0</formula>
    </cfRule>
  </conditionalFormatting>
  <conditionalFormatting sqref="C42">
    <cfRule type="cellIs" priority="9" operator="lessThan" aboveAverage="0" equalAverage="0" bottom="0" percent="0" rank="0" text="" dxfId="10">
      <formula>0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4037"/>
    <pageSetUpPr fitToPage="true"/>
  </sheetPr>
  <dimension ref="B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7"/>
    <col collapsed="false" customWidth="true" hidden="false" outlineLevel="0" max="4" min="3" style="0" width="15"/>
    <col collapsed="false" customWidth="true" hidden="false" outlineLevel="0" max="5" min="5" style="0" width="11"/>
    <col collapsed="false" customWidth="true" hidden="false" outlineLevel="0" max="7" min="6" style="0" width="15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4"/>
  </cols>
  <sheetData>
    <row r="1" customFormat="false" ht="37.5" hidden="false" customHeight="true" outlineLevel="0" collapsed="false">
      <c r="B1" s="1" t="s">
        <v>141</v>
      </c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B2" s="2" t="s">
        <v>142</v>
      </c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B4" s="18" t="s">
        <v>143</v>
      </c>
      <c r="C4" s="18" t="s">
        <v>144</v>
      </c>
      <c r="D4" s="18" t="s">
        <v>145</v>
      </c>
      <c r="E4" s="18" t="s">
        <v>146</v>
      </c>
      <c r="F4" s="18" t="s">
        <v>147</v>
      </c>
      <c r="G4" s="18" t="s">
        <v>64</v>
      </c>
      <c r="H4" s="18" t="s">
        <v>148</v>
      </c>
      <c r="I4" s="18" t="s">
        <v>149</v>
      </c>
    </row>
    <row r="5" customFormat="false" ht="18.75" hidden="false" customHeight="true" outlineLevel="0" collapsed="false">
      <c r="B5" s="100" t="n">
        <f aca="false">DATE('RECAP DU JOURNAL'!$C$3,1,1)</f>
        <v>46023</v>
      </c>
      <c r="C5" s="40" t="n">
        <f aca="false">IF(MONTH($B5)='RECAP DU JOURNAL'!$C$4,'RECAP DU JOURNAL'!$F$40,0)</f>
        <v>0</v>
      </c>
      <c r="D5" s="39" t="n">
        <f aca="false">IF(MONTH($B5)='RECAP DU JOURNAL'!$C$4,'RECAP DU JOURNAL'!$G$40,0)</f>
        <v>0</v>
      </c>
      <c r="E5" s="101" t="n">
        <f aca="false">IFERROR($D5/$C5,0)</f>
        <v>0</v>
      </c>
      <c r="F5" s="39" t="n">
        <f aca="false">IF(MONTH($B5)='RECAP DU JOURNAL'!$C$4,'RECAP DU JOURNAL'!$K$40-'RECAP DU JOURNAL'!$G$40,0)</f>
        <v>0</v>
      </c>
      <c r="G5" s="41" t="n">
        <f aca="false">$D5+$F5</f>
        <v>0</v>
      </c>
      <c r="H5" s="102" t="n">
        <f aca="false">IFERROR(($C5-$G5)/$C5,0)</f>
        <v>0</v>
      </c>
      <c r="I5" s="42" t="n">
        <f aca="false">$C5-$G5</f>
        <v>0</v>
      </c>
    </row>
    <row r="6" customFormat="false" ht="18.75" hidden="false" customHeight="true" outlineLevel="0" collapsed="false">
      <c r="B6" s="103" t="n">
        <f aca="false">DATE('RECAP DU JOURNAL'!$C$3,2,1)</f>
        <v>46054</v>
      </c>
      <c r="C6" s="47" t="n">
        <f aca="false">IF(MONTH($B6)='RECAP DU JOURNAL'!$C$4,'RECAP DU JOURNAL'!$F$40,0)</f>
        <v>0</v>
      </c>
      <c r="D6" s="46" t="n">
        <f aca="false">IF(MONTH($B6)='RECAP DU JOURNAL'!$C$4,'RECAP DU JOURNAL'!$G$40,0)</f>
        <v>0</v>
      </c>
      <c r="E6" s="104" t="n">
        <f aca="false">IFERROR($D6/$C6,0)</f>
        <v>0</v>
      </c>
      <c r="F6" s="46" t="n">
        <f aca="false">IF(MONTH($B6)='RECAP DU JOURNAL'!$C$4,'RECAP DU JOURNAL'!$K$40-'RECAP DU JOURNAL'!$G$40,0)</f>
        <v>0</v>
      </c>
      <c r="G6" s="48" t="n">
        <f aca="false">$D6+$F6</f>
        <v>0</v>
      </c>
      <c r="H6" s="105" t="n">
        <f aca="false">IFERROR(($C6-$G6)/$C6,0)</f>
        <v>0</v>
      </c>
      <c r="I6" s="49" t="n">
        <f aca="false">$C6-$G6</f>
        <v>0</v>
      </c>
    </row>
    <row r="7" customFormat="false" ht="18.75" hidden="false" customHeight="true" outlineLevel="0" collapsed="false">
      <c r="B7" s="100" t="n">
        <f aca="false">DATE('RECAP DU JOURNAL'!$C$3,3,1)</f>
        <v>46082</v>
      </c>
      <c r="C7" s="40" t="n">
        <f aca="false">IF(MONTH($B7)='RECAP DU JOURNAL'!$C$4,'RECAP DU JOURNAL'!$F$40,0)</f>
        <v>0</v>
      </c>
      <c r="D7" s="39" t="n">
        <f aca="false">IF(MONTH($B7)='RECAP DU JOURNAL'!$C$4,'RECAP DU JOURNAL'!$G$40,0)</f>
        <v>0</v>
      </c>
      <c r="E7" s="101" t="n">
        <f aca="false">IFERROR($D7/$C7,0)</f>
        <v>0</v>
      </c>
      <c r="F7" s="39" t="n">
        <f aca="false">IF(MONTH($B7)='RECAP DU JOURNAL'!$C$4,'RECAP DU JOURNAL'!$K$40-'RECAP DU JOURNAL'!$G$40,0)</f>
        <v>0</v>
      </c>
      <c r="G7" s="41" t="n">
        <f aca="false">$D7+$F7</f>
        <v>0</v>
      </c>
      <c r="H7" s="102" t="n">
        <f aca="false">IFERROR(($C7-$G7)/$C7,0)</f>
        <v>0</v>
      </c>
      <c r="I7" s="42" t="n">
        <f aca="false">$C7-$G7</f>
        <v>0</v>
      </c>
    </row>
    <row r="8" customFormat="false" ht="18.75" hidden="false" customHeight="true" outlineLevel="0" collapsed="false">
      <c r="B8" s="103" t="n">
        <f aca="false">DATE('RECAP DU JOURNAL'!$C$3,4,1)</f>
        <v>46113</v>
      </c>
      <c r="C8" s="47" t="n">
        <f aca="false">IF(MONTH($B8)='RECAP DU JOURNAL'!$C$4,'RECAP DU JOURNAL'!$F$40,0)</f>
        <v>0</v>
      </c>
      <c r="D8" s="46" t="n">
        <f aca="false">IF(MONTH($B8)='RECAP DU JOURNAL'!$C$4,'RECAP DU JOURNAL'!$G$40,0)</f>
        <v>0</v>
      </c>
      <c r="E8" s="104" t="n">
        <f aca="false">IFERROR($D8/$C8,0)</f>
        <v>0</v>
      </c>
      <c r="F8" s="46" t="n">
        <f aca="false">IF(MONTH($B8)='RECAP DU JOURNAL'!$C$4,'RECAP DU JOURNAL'!$K$40-'RECAP DU JOURNAL'!$G$40,0)</f>
        <v>0</v>
      </c>
      <c r="G8" s="48" t="n">
        <f aca="false">$D8+$F8</f>
        <v>0</v>
      </c>
      <c r="H8" s="105" t="n">
        <f aca="false">IFERROR(($C8-$G8)/$C8,0)</f>
        <v>0</v>
      </c>
      <c r="I8" s="49" t="n">
        <f aca="false">$C8-$G8</f>
        <v>0</v>
      </c>
    </row>
    <row r="9" customFormat="false" ht="18.75" hidden="false" customHeight="true" outlineLevel="0" collapsed="false">
      <c r="B9" s="100" t="n">
        <f aca="false">DATE('RECAP DU JOURNAL'!$C$3,5,1)</f>
        <v>46143</v>
      </c>
      <c r="C9" s="40" t="n">
        <f aca="false">IF(MONTH($B9)='RECAP DU JOURNAL'!$C$4,'RECAP DU JOURNAL'!$F$40,0)</f>
        <v>0</v>
      </c>
      <c r="D9" s="39" t="n">
        <f aca="false">IF(MONTH($B9)='RECAP DU JOURNAL'!$C$4,'RECAP DU JOURNAL'!$G$40,0)</f>
        <v>0</v>
      </c>
      <c r="E9" s="101" t="n">
        <f aca="false">IFERROR($D9/$C9,0)</f>
        <v>0</v>
      </c>
      <c r="F9" s="39" t="n">
        <f aca="false">IF(MONTH($B9)='RECAP DU JOURNAL'!$C$4,'RECAP DU JOURNAL'!$K$40-'RECAP DU JOURNAL'!$G$40,0)</f>
        <v>0</v>
      </c>
      <c r="G9" s="41" t="n">
        <f aca="false">$D9+$F9</f>
        <v>0</v>
      </c>
      <c r="H9" s="102" t="n">
        <f aca="false">IFERROR(($C9-$G9)/$C9,0)</f>
        <v>0</v>
      </c>
      <c r="I9" s="42" t="n">
        <f aca="false">$C9-$G9</f>
        <v>0</v>
      </c>
    </row>
    <row r="10" customFormat="false" ht="18.75" hidden="false" customHeight="true" outlineLevel="0" collapsed="false">
      <c r="B10" s="103" t="n">
        <f aca="false">DATE('RECAP DU JOURNAL'!$C$3,6,1)</f>
        <v>46174</v>
      </c>
      <c r="C10" s="47" t="n">
        <f aca="false">IF(MONTH($B10)='RECAP DU JOURNAL'!$C$4,'RECAP DU JOURNAL'!$F$40,0)</f>
        <v>0</v>
      </c>
      <c r="D10" s="46" t="n">
        <f aca="false">IF(MONTH($B10)='RECAP DU JOURNAL'!$C$4,'RECAP DU JOURNAL'!$G$40,0)</f>
        <v>0</v>
      </c>
      <c r="E10" s="104" t="n">
        <f aca="false">IFERROR($D10/$C10,0)</f>
        <v>0</v>
      </c>
      <c r="F10" s="46" t="n">
        <f aca="false">IF(MONTH($B10)='RECAP DU JOURNAL'!$C$4,'RECAP DU JOURNAL'!$K$40-'RECAP DU JOURNAL'!$G$40,0)</f>
        <v>0</v>
      </c>
      <c r="G10" s="48" t="n">
        <f aca="false">$D10+$F10</f>
        <v>0</v>
      </c>
      <c r="H10" s="105" t="n">
        <f aca="false">IFERROR(($C10-$G10)/$C10,0)</f>
        <v>0</v>
      </c>
      <c r="I10" s="49" t="n">
        <f aca="false">$C10-$G10</f>
        <v>0</v>
      </c>
    </row>
    <row r="11" customFormat="false" ht="18.75" hidden="false" customHeight="true" outlineLevel="0" collapsed="false">
      <c r="B11" s="100" t="n">
        <f aca="false">DATE('RECAP DU JOURNAL'!$C$3,7,1)</f>
        <v>46204</v>
      </c>
      <c r="C11" s="40" t="n">
        <f aca="false">IF(MONTH($B11)='RECAP DU JOURNAL'!$C$4,'RECAP DU JOURNAL'!$F$40,0)</f>
        <v>0</v>
      </c>
      <c r="D11" s="39" t="n">
        <f aca="false">IF(MONTH($B11)='RECAP DU JOURNAL'!$C$4,'RECAP DU JOURNAL'!$G$40,0)</f>
        <v>0</v>
      </c>
      <c r="E11" s="101" t="n">
        <f aca="false">IFERROR($D11/$C11,0)</f>
        <v>0</v>
      </c>
      <c r="F11" s="39" t="n">
        <f aca="false">IF(MONTH($B11)='RECAP DU JOURNAL'!$C$4,'RECAP DU JOURNAL'!$K$40-'RECAP DU JOURNAL'!$G$40,0)</f>
        <v>0</v>
      </c>
      <c r="G11" s="41" t="n">
        <f aca="false">$D11+$F11</f>
        <v>0</v>
      </c>
      <c r="H11" s="102" t="n">
        <f aca="false">IFERROR(($C11-$G11)/$C11,0)</f>
        <v>0</v>
      </c>
      <c r="I11" s="42" t="n">
        <f aca="false">$C11-$G11</f>
        <v>0</v>
      </c>
    </row>
    <row r="12" customFormat="false" ht="18.75" hidden="false" customHeight="true" outlineLevel="0" collapsed="false">
      <c r="B12" s="103" t="n">
        <f aca="false">DATE('RECAP DU JOURNAL'!$C$3,8,1)</f>
        <v>46235</v>
      </c>
      <c r="C12" s="47" t="n">
        <f aca="false">IF(MONTH($B12)='RECAP DU JOURNAL'!$C$4,'RECAP DU JOURNAL'!$F$40,0)</f>
        <v>0</v>
      </c>
      <c r="D12" s="46" t="n">
        <f aca="false">IF(MONTH($B12)='RECAP DU JOURNAL'!$C$4,'RECAP DU JOURNAL'!$G$40,0)</f>
        <v>0</v>
      </c>
      <c r="E12" s="104" t="n">
        <f aca="false">IFERROR($D12/$C12,0)</f>
        <v>0</v>
      </c>
      <c r="F12" s="46" t="n">
        <f aca="false">IF(MONTH($B12)='RECAP DU JOURNAL'!$C$4,'RECAP DU JOURNAL'!$K$40-'RECAP DU JOURNAL'!$G$40,0)</f>
        <v>0</v>
      </c>
      <c r="G12" s="48" t="n">
        <f aca="false">$D12+$F12</f>
        <v>0</v>
      </c>
      <c r="H12" s="105" t="n">
        <f aca="false">IFERROR(($C12-$G12)/$C12,0)</f>
        <v>0</v>
      </c>
      <c r="I12" s="49" t="n">
        <f aca="false">$C12-$G12</f>
        <v>0</v>
      </c>
    </row>
    <row r="13" customFormat="false" ht="18.75" hidden="false" customHeight="true" outlineLevel="0" collapsed="false">
      <c r="B13" s="100" t="n">
        <f aca="false">DATE('RECAP DU JOURNAL'!$C$3,9,1)</f>
        <v>46266</v>
      </c>
      <c r="C13" s="40" t="n">
        <f aca="false">IF(MONTH($B13)='RECAP DU JOURNAL'!$C$4,'RECAP DU JOURNAL'!$F$40,0)</f>
        <v>0</v>
      </c>
      <c r="D13" s="39" t="n">
        <f aca="false">IF(MONTH($B13)='RECAP DU JOURNAL'!$C$4,'RECAP DU JOURNAL'!$G$40,0)</f>
        <v>0</v>
      </c>
      <c r="E13" s="101" t="n">
        <f aca="false">IFERROR($D13/$C13,0)</f>
        <v>0</v>
      </c>
      <c r="F13" s="39" t="n">
        <f aca="false">IF(MONTH($B13)='RECAP DU JOURNAL'!$C$4,'RECAP DU JOURNAL'!$K$40-'RECAP DU JOURNAL'!$G$40,0)</f>
        <v>0</v>
      </c>
      <c r="G13" s="41" t="n">
        <f aca="false">$D13+$F13</f>
        <v>0</v>
      </c>
      <c r="H13" s="102" t="n">
        <f aca="false">IFERROR(($C13-$G13)/$C13,0)</f>
        <v>0</v>
      </c>
      <c r="I13" s="42" t="n">
        <f aca="false">$C13-$G13</f>
        <v>0</v>
      </c>
    </row>
    <row r="14" customFormat="false" ht="18.75" hidden="false" customHeight="true" outlineLevel="0" collapsed="false">
      <c r="B14" s="103" t="n">
        <f aca="false">DATE('RECAP DU JOURNAL'!$C$3,10,1)</f>
        <v>46296</v>
      </c>
      <c r="C14" s="47" t="n">
        <f aca="false">IF(MONTH($B14)='RECAP DU JOURNAL'!$C$4,'RECAP DU JOURNAL'!$F$40,0)</f>
        <v>0</v>
      </c>
      <c r="D14" s="46" t="n">
        <f aca="false">IF(MONTH($B14)='RECAP DU JOURNAL'!$C$4,'RECAP DU JOURNAL'!$G$40,0)</f>
        <v>0</v>
      </c>
      <c r="E14" s="104" t="n">
        <f aca="false">IFERROR($D14/$C14,0)</f>
        <v>0</v>
      </c>
      <c r="F14" s="46" t="n">
        <f aca="false">IF(MONTH($B14)='RECAP DU JOURNAL'!$C$4,'RECAP DU JOURNAL'!$K$40-'RECAP DU JOURNAL'!$G$40,0)</f>
        <v>0</v>
      </c>
      <c r="G14" s="48" t="n">
        <f aca="false">$D14+$F14</f>
        <v>0</v>
      </c>
      <c r="H14" s="105" t="n">
        <f aca="false">IFERROR(($C14-$G14)/$C14,0)</f>
        <v>0</v>
      </c>
      <c r="I14" s="49" t="n">
        <f aca="false">$C14-$G14</f>
        <v>0</v>
      </c>
    </row>
    <row r="15" customFormat="false" ht="18.75" hidden="false" customHeight="true" outlineLevel="0" collapsed="false">
      <c r="B15" s="100" t="n">
        <f aca="false">DATE('RECAP DU JOURNAL'!$C$3,11,1)</f>
        <v>46327</v>
      </c>
      <c r="C15" s="40" t="n">
        <f aca="false">IF(MONTH($B15)='RECAP DU JOURNAL'!$C$4,'RECAP DU JOURNAL'!$F$40,0)</f>
        <v>0</v>
      </c>
      <c r="D15" s="39" t="n">
        <f aca="false">IF(MONTH($B15)='RECAP DU JOURNAL'!$C$4,'RECAP DU JOURNAL'!$G$40,0)</f>
        <v>0</v>
      </c>
      <c r="E15" s="101" t="n">
        <f aca="false">IFERROR($D15/$C15,0)</f>
        <v>0</v>
      </c>
      <c r="F15" s="39" t="n">
        <f aca="false">IF(MONTH($B15)='RECAP DU JOURNAL'!$C$4,'RECAP DU JOURNAL'!$K$40-'RECAP DU JOURNAL'!$G$40,0)</f>
        <v>0</v>
      </c>
      <c r="G15" s="41" t="n">
        <f aca="false">$D15+$F15</f>
        <v>0</v>
      </c>
      <c r="H15" s="102" t="n">
        <f aca="false">IFERROR(($C15-$G15)/$C15,0)</f>
        <v>0</v>
      </c>
      <c r="I15" s="42" t="n">
        <f aca="false">$C15-$G15</f>
        <v>0</v>
      </c>
    </row>
    <row r="16" customFormat="false" ht="18.75" hidden="false" customHeight="true" outlineLevel="0" collapsed="false">
      <c r="B16" s="103" t="n">
        <f aca="false">DATE('RECAP DU JOURNAL'!$C$3,12,1)</f>
        <v>46357</v>
      </c>
      <c r="C16" s="47" t="n">
        <f aca="false">IF(MONTH($B16)='RECAP DU JOURNAL'!$C$4,'RECAP DU JOURNAL'!$F$40,0)</f>
        <v>0</v>
      </c>
      <c r="D16" s="46" t="n">
        <f aca="false">IF(MONTH($B16)='RECAP DU JOURNAL'!$C$4,'RECAP DU JOURNAL'!$G$40,0)</f>
        <v>0</v>
      </c>
      <c r="E16" s="104" t="n">
        <f aca="false">IFERROR($D16/$C16,0)</f>
        <v>0</v>
      </c>
      <c r="F16" s="46" t="n">
        <f aca="false">IF(MONTH($B16)='RECAP DU JOURNAL'!$C$4,'RECAP DU JOURNAL'!$K$40-'RECAP DU JOURNAL'!$G$40,0)</f>
        <v>0</v>
      </c>
      <c r="G16" s="48" t="n">
        <f aca="false">$D16+$F16</f>
        <v>0</v>
      </c>
      <c r="H16" s="105" t="n">
        <f aca="false">IFERROR(($C16-$G16)/$C16,0)</f>
        <v>0</v>
      </c>
      <c r="I16" s="49" t="n">
        <f aca="false">$C16-$G16</f>
        <v>0</v>
      </c>
    </row>
    <row r="17" customFormat="false" ht="24" hidden="false" customHeight="true" outlineLevel="0" collapsed="false">
      <c r="B17" s="27" t="s">
        <v>150</v>
      </c>
      <c r="C17" s="28" t="n">
        <f aca="false">SUM(C5:C16)</f>
        <v>0</v>
      </c>
      <c r="D17" s="28" t="n">
        <f aca="false">SUM(D5:D16)</f>
        <v>0</v>
      </c>
      <c r="E17" s="29" t="n">
        <f aca="false">IFERROR($D17/$C17,0)</f>
        <v>0</v>
      </c>
      <c r="F17" s="28" t="n">
        <f aca="false">SUM(F5:F16)</f>
        <v>0</v>
      </c>
      <c r="G17" s="28" t="n">
        <f aca="false">SUM(G5:G16)</f>
        <v>0</v>
      </c>
      <c r="H17" s="29" t="n">
        <f aca="false">IFERROR($I17/$C17,0)</f>
        <v>0</v>
      </c>
      <c r="I17" s="28" t="n">
        <f aca="false">SUM(I5:I16)</f>
        <v>0</v>
      </c>
    </row>
    <row r="19" customFormat="false" ht="24" hidden="false" customHeight="true" outlineLevel="0" collapsed="false">
      <c r="B19" s="17" t="s">
        <v>151</v>
      </c>
      <c r="C19" s="17"/>
      <c r="D19" s="17"/>
      <c r="E19" s="17"/>
    </row>
    <row r="20" customFormat="false" ht="30" hidden="false" customHeight="true" outlineLevel="0" collapsed="false">
      <c r="B20" s="18" t="s">
        <v>143</v>
      </c>
      <c r="C20" s="18" t="s">
        <v>144</v>
      </c>
      <c r="D20" s="18" t="s">
        <v>60</v>
      </c>
      <c r="E20" s="18" t="s">
        <v>146</v>
      </c>
    </row>
    <row r="21" customFormat="false" ht="16.5" hidden="false" customHeight="true" outlineLevel="0" collapsed="false">
      <c r="B21" s="106" t="n">
        <v>45658</v>
      </c>
      <c r="C21" s="107" t="n">
        <v>58097</v>
      </c>
      <c r="D21" s="107" t="n">
        <v>17550</v>
      </c>
      <c r="E21" s="108" t="n">
        <f aca="false">IFERROR($D21/$C21,0)</f>
        <v>0.302081002461401</v>
      </c>
    </row>
    <row r="22" customFormat="false" ht="16.5" hidden="false" customHeight="true" outlineLevel="0" collapsed="false">
      <c r="B22" s="109" t="n">
        <v>45689</v>
      </c>
      <c r="C22" s="110" t="n">
        <v>47774</v>
      </c>
      <c r="D22" s="110" t="n">
        <v>15723</v>
      </c>
      <c r="E22" s="111" t="n">
        <f aca="false">IFERROR($D22/$C22,0)</f>
        <v>0.329112069326412</v>
      </c>
    </row>
    <row r="23" customFormat="false" ht="16.5" hidden="false" customHeight="true" outlineLevel="0" collapsed="false">
      <c r="B23" s="106" t="n">
        <v>45717</v>
      </c>
      <c r="C23" s="107" t="n">
        <v>33629</v>
      </c>
      <c r="D23" s="107" t="n">
        <v>19497</v>
      </c>
      <c r="E23" s="108" t="n">
        <f aca="false">IFERROR($D23/$C23,0)</f>
        <v>0.579767462606679</v>
      </c>
    </row>
    <row r="24" customFormat="false" ht="16.5" hidden="false" customHeight="true" outlineLevel="0" collapsed="false">
      <c r="B24" s="109" t="n">
        <v>45748</v>
      </c>
      <c r="C24" s="110" t="n">
        <v>63101</v>
      </c>
      <c r="D24" s="110" t="n">
        <v>24871</v>
      </c>
      <c r="E24" s="111" t="n">
        <f aca="false">IFERROR($D24/$C24,0)</f>
        <v>0.394145893092027</v>
      </c>
    </row>
    <row r="25" customFormat="false" ht="16.5" hidden="false" customHeight="true" outlineLevel="0" collapsed="false">
      <c r="B25" s="106" t="n">
        <v>45778</v>
      </c>
      <c r="C25" s="107" t="n">
        <v>67697</v>
      </c>
      <c r="D25" s="107" t="n">
        <v>27947</v>
      </c>
      <c r="E25" s="108" t="n">
        <f aca="false">IFERROR($D25/$C25,0)</f>
        <v>0.412824792826861</v>
      </c>
    </row>
    <row r="26" customFormat="false" ht="16.5" hidden="false" customHeight="true" outlineLevel="0" collapsed="false">
      <c r="B26" s="109" t="n">
        <v>45809</v>
      </c>
      <c r="C26" s="110" t="n">
        <v>57443</v>
      </c>
      <c r="D26" s="110" t="n">
        <v>23534</v>
      </c>
      <c r="E26" s="111" t="n">
        <f aca="false">IFERROR($D26/$C26,0)</f>
        <v>0.409693087060216</v>
      </c>
    </row>
    <row r="27" customFormat="false" ht="16.5" hidden="false" customHeight="true" outlineLevel="0" collapsed="false">
      <c r="B27" s="106" t="n">
        <v>45839</v>
      </c>
      <c r="C27" s="107" t="n">
        <v>71948</v>
      </c>
      <c r="D27" s="107" t="n">
        <v>28425</v>
      </c>
      <c r="E27" s="108" t="n">
        <f aca="false">IFERROR($D27/$C27,0)</f>
        <v>0.395077000055596</v>
      </c>
    </row>
    <row r="28" customFormat="false" ht="16.5" hidden="false" customHeight="true" outlineLevel="0" collapsed="false">
      <c r="B28" s="109" t="n">
        <v>45870</v>
      </c>
      <c r="C28" s="110" t="n">
        <v>78294</v>
      </c>
      <c r="D28" s="110" t="n">
        <v>31683</v>
      </c>
      <c r="E28" s="111" t="n">
        <f aca="false">IFERROR($D28/$C28,0)</f>
        <v>0.404667024293049</v>
      </c>
    </row>
    <row r="29" customFormat="false" ht="16.5" hidden="false" customHeight="true" outlineLevel="0" collapsed="false">
      <c r="B29" s="106" t="n">
        <v>45901</v>
      </c>
      <c r="C29" s="107" t="n">
        <v>53925</v>
      </c>
      <c r="D29" s="107" t="n">
        <v>23474</v>
      </c>
      <c r="E29" s="108" t="n">
        <f aca="false">IFERROR($D29/$C29,0)</f>
        <v>0.435308298562819</v>
      </c>
    </row>
    <row r="30" customFormat="false" ht="16.5" hidden="false" customHeight="true" outlineLevel="0" collapsed="false">
      <c r="B30" s="109" t="n">
        <v>45931</v>
      </c>
      <c r="C30" s="110" t="n">
        <v>52669</v>
      </c>
      <c r="D30" s="110" t="n">
        <v>22122</v>
      </c>
      <c r="E30" s="111" t="n">
        <f aca="false">IFERROR($D30/$C30,0)</f>
        <v>0.42001936623061</v>
      </c>
    </row>
    <row r="31" customFormat="false" ht="16.5" hidden="false" customHeight="true" outlineLevel="0" collapsed="false">
      <c r="B31" s="106" t="n">
        <v>45962</v>
      </c>
      <c r="C31" s="107"/>
      <c r="D31" s="107"/>
      <c r="E31" s="108" t="n">
        <f aca="false">IFERROR($D31/$C31,0)</f>
        <v>0</v>
      </c>
    </row>
    <row r="32" customFormat="false" ht="16.5" hidden="false" customHeight="true" outlineLevel="0" collapsed="false">
      <c r="B32" s="109" t="n">
        <v>45992</v>
      </c>
      <c r="C32" s="110"/>
      <c r="D32" s="110"/>
      <c r="E32" s="111" t="n">
        <f aca="false">IFERROR($D32/$C32,0)</f>
        <v>0</v>
      </c>
    </row>
    <row r="33" customFormat="false" ht="24" hidden="false" customHeight="true" outlineLevel="0" collapsed="false">
      <c r="B33" s="27" t="s">
        <v>152</v>
      </c>
      <c r="C33" s="112" t="n">
        <f aca="false">SUM(C21:C32)</f>
        <v>584577</v>
      </c>
      <c r="D33" s="112" t="n">
        <f aca="false">SUM(D21:D32)</f>
        <v>234826</v>
      </c>
      <c r="E33" s="29" t="n">
        <f aca="false">IFERROR($D33/$C33,0)</f>
        <v>0.401702427567284</v>
      </c>
    </row>
    <row r="35" customFormat="false" ht="45.75" hidden="false" customHeight="true" outlineLevel="0" collapsed="false">
      <c r="B35" s="30" t="s">
        <v>153</v>
      </c>
      <c r="C35" s="30"/>
      <c r="D35" s="30"/>
      <c r="E35" s="30"/>
      <c r="F35" s="30"/>
      <c r="G35" s="30"/>
      <c r="H35" s="30"/>
      <c r="I35" s="30"/>
    </row>
  </sheetData>
  <mergeCells count="4">
    <mergeCell ref="B1:I1"/>
    <mergeCell ref="B2:I2"/>
    <mergeCell ref="B19:E19"/>
    <mergeCell ref="B35:I35"/>
  </mergeCells>
  <conditionalFormatting sqref="I5:I16">
    <cfRule type="cellIs" priority="2" operator="lessThan" aboveAverage="0" equalAverage="0" bottom="0" percent="0" rank="0" text="" dxfId="1">
      <formula>0</formula>
    </cfRule>
  </conditionalFormatting>
  <conditionalFormatting sqref="C5:C16">
    <cfRule type="dataBar" priority="3">
      <dataBar showValue="1" minLength="10" maxLength="90">
        <cfvo type="num" val="0"/>
        <cfvo type="percentile" val="100"/>
        <color rgb="FF9CCC9C"/>
      </dataBar>
      <extLst>
        <ext xmlns:x14="http://schemas.microsoft.com/office/spreadsheetml/2009/9/main" uri="{B025F937-C7B1-47D3-B67F-A62EFF666E3E}">
          <x14:id>{5E98839C-A5C8-4D2A-A539-7097FEE166F4}</x14:id>
        </ext>
      </extLst>
    </cfRule>
  </conditionalFormatting>
  <conditionalFormatting sqref="E5:E16">
    <cfRule type="colorScale" priority="4">
      <colorScale>
        <cfvo type="num" val="0.2"/>
        <cfvo type="num" val="0.4"/>
        <cfvo type="num" val="0.6"/>
        <color rgb="FFC8E6C9"/>
        <color rgb="FFFFF3C4"/>
        <color rgb="FFF5C6C0"/>
      </colorScale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98839C-A5C8-4D2A-A539-7097FEE166F4}">
            <x14:dataBar minLength="10" maxLength="90" axisPosition="none" gradient="true">
              <x14:cfvo type="num">
                <xm:f>0</xm:f>
              </x14:cfvo>
              <x14:cfvo type="percentile">
                <xm:f>100</xm:f>
              </x14:cfvo>
              <x14:negativeFillColor rgb="FF9CCC9C"/>
              <x14:axisColor rgb="FF000000"/>
            </x14:dataBar>
          </x14:cfRule>
          <xm:sqref>C5:C16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6E66"/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113" t="s">
        <v>154</v>
      </c>
      <c r="B1" s="113" t="s">
        <v>77</v>
      </c>
      <c r="C1" s="113" t="s">
        <v>155</v>
      </c>
      <c r="D1" s="113" t="s">
        <v>63</v>
      </c>
      <c r="F1" s="114" t="s">
        <v>156</v>
      </c>
    </row>
    <row r="2" customFormat="false" ht="15" hidden="false" customHeight="false" outlineLevel="0" collapsed="false">
      <c r="A2" s="0" t="s">
        <v>31</v>
      </c>
      <c r="B2" s="0" t="s">
        <v>81</v>
      </c>
      <c r="C2" s="0" t="s">
        <v>82</v>
      </c>
      <c r="D2" s="0" t="s">
        <v>83</v>
      </c>
      <c r="F2" s="114" t="s">
        <v>157</v>
      </c>
    </row>
    <row r="3" customFormat="false" ht="15" hidden="false" customHeight="false" outlineLevel="0" collapsed="false">
      <c r="A3" s="0" t="s">
        <v>29</v>
      </c>
      <c r="B3" s="0" t="s">
        <v>84</v>
      </c>
      <c r="C3" s="0" t="s">
        <v>85</v>
      </c>
      <c r="D3" s="0" t="s">
        <v>86</v>
      </c>
    </row>
    <row r="4" customFormat="false" ht="15" hidden="false" customHeight="false" outlineLevel="0" collapsed="false">
      <c r="A4" s="0" t="s">
        <v>38</v>
      </c>
      <c r="B4" s="0" t="s">
        <v>87</v>
      </c>
      <c r="C4" s="0" t="s">
        <v>88</v>
      </c>
      <c r="D4" s="0" t="s">
        <v>89</v>
      </c>
    </row>
    <row r="5" customFormat="false" ht="15" hidden="false" customHeight="false" outlineLevel="0" collapsed="false">
      <c r="A5" s="0" t="s">
        <v>35</v>
      </c>
      <c r="B5" s="0" t="s">
        <v>90</v>
      </c>
      <c r="C5" s="0" t="s">
        <v>91</v>
      </c>
      <c r="D5" s="0" t="s">
        <v>92</v>
      </c>
    </row>
    <row r="6" customFormat="false" ht="15" hidden="false" customHeight="false" outlineLevel="0" collapsed="false">
      <c r="A6" s="0" t="s">
        <v>44</v>
      </c>
      <c r="B6" s="0" t="s">
        <v>93</v>
      </c>
      <c r="C6" s="0" t="s">
        <v>94</v>
      </c>
      <c r="D6" s="0" t="s">
        <v>95</v>
      </c>
    </row>
    <row r="7" customFormat="false" ht="15" hidden="false" customHeight="false" outlineLevel="0" collapsed="false">
      <c r="A7" s="0" t="s">
        <v>39</v>
      </c>
      <c r="B7" s="0" t="s">
        <v>96</v>
      </c>
      <c r="C7" s="0" t="s">
        <v>97</v>
      </c>
      <c r="D7" s="0" t="s">
        <v>98</v>
      </c>
    </row>
    <row r="8" customFormat="false" ht="15" hidden="false" customHeight="false" outlineLevel="0" collapsed="false">
      <c r="A8" s="0" t="s">
        <v>158</v>
      </c>
      <c r="B8" s="0" t="s">
        <v>99</v>
      </c>
      <c r="C8" s="0" t="s">
        <v>100</v>
      </c>
    </row>
    <row r="9" customFormat="false" ht="15" hidden="false" customHeight="false" outlineLevel="0" collapsed="false">
      <c r="A9" s="0" t="s">
        <v>42</v>
      </c>
      <c r="B9" s="0" t="s">
        <v>101</v>
      </c>
      <c r="C9" s="0" t="s">
        <v>102</v>
      </c>
    </row>
    <row r="10" customFormat="false" ht="15" hidden="false" customHeight="false" outlineLevel="0" collapsed="false">
      <c r="A10" s="0" t="s">
        <v>159</v>
      </c>
      <c r="C10" s="0" t="s">
        <v>103</v>
      </c>
    </row>
    <row r="11" customFormat="false" ht="15" hidden="false" customHeight="false" outlineLevel="0" collapsed="false">
      <c r="A11" s="0" t="s">
        <v>160</v>
      </c>
      <c r="C11" s="0" t="s">
        <v>104</v>
      </c>
    </row>
    <row r="12" customFormat="false" ht="15" hidden="false" customHeight="false" outlineLevel="0" collapsed="false">
      <c r="A12" s="0" t="s">
        <v>43</v>
      </c>
      <c r="C12" s="0" t="s">
        <v>105</v>
      </c>
    </row>
    <row r="13" customFormat="false" ht="15" hidden="false" customHeight="false" outlineLevel="0" collapsed="false">
      <c r="A13" s="0" t="s">
        <v>161</v>
      </c>
    </row>
    <row r="14" customFormat="false" ht="15" hidden="false" customHeight="false" outlineLevel="0" collapsed="false">
      <c r="A14" s="0" t="s">
        <v>162</v>
      </c>
    </row>
    <row r="15" customFormat="false" ht="15" hidden="false" customHeight="false" outlineLevel="0" collapsed="false">
      <c r="A15" s="0" t="s">
        <v>40</v>
      </c>
    </row>
    <row r="16" customFormat="false" ht="15" hidden="false" customHeight="false" outlineLevel="0" collapsed="false">
      <c r="A16" s="0" t="s">
        <v>33</v>
      </c>
    </row>
    <row r="17" customFormat="false" ht="15" hidden="false" customHeight="false" outlineLevel="0" collapsed="false">
      <c r="A17" s="0" t="s">
        <v>37</v>
      </c>
    </row>
    <row r="18" customFormat="false" ht="15" hidden="false" customHeight="false" outlineLevel="0" collapsed="false">
      <c r="A18" s="0" t="s">
        <v>41</v>
      </c>
    </row>
    <row r="19" customFormat="false" ht="15" hidden="false" customHeight="false" outlineLevel="0" collapsed="false">
      <c r="A19" s="0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2026-08-29T18:37:48Z</dcterms:created>
  <dc:creator>openpyxl</dc:creator>
  <dc:description/>
  <dc:language>en-US</dc:language>
  <cp:lastModifiedBy/>
  <dcterms:modified xsi:type="dcterms:W3CDTF">2026-08-29T18:37:51Z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